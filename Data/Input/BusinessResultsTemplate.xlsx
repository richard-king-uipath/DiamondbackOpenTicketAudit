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uipath-my.sharepoint.com/personal/richard_king_uipath_com/Documents/Documents/Diamondback/OpenTicket_Audit/Data/Input/"/>
    </mc:Choice>
  </mc:AlternateContent>
  <xr:revisionPtr revIDLastSave="14" documentId="8_{0B71E841-B2DA-4B31-B340-01C8D8BE3533}" xr6:coauthVersionLast="47" xr6:coauthVersionMax="47" xr10:uidLastSave="{2BB5D43B-D47F-44C1-B7DA-57EBAE2AAE20}"/>
  <bookViews>
    <workbookView xWindow="-29100" yWindow="-7590" windowWidth="29040" windowHeight="15720" activeTab="1" xr2:uid="{00000000-000D-0000-FFFF-FFFF00000000}"/>
  </bookViews>
  <sheets>
    <sheet name="Sheet1" sheetId="3" r:id="rId1"/>
    <sheet name="Results" sheetId="1" r:id="rId2"/>
    <sheet name="Sheet5" sheetId="7" r:id="rId3"/>
    <sheet name="Sheet4" sheetId="6" r:id="rId4"/>
    <sheet name="Sheet3" sheetId="5" r:id="rId5"/>
    <sheet name="Sheet2" sheetId="4" r:id="rId6"/>
    <sheet name="Search Criteria" sheetId="2" r:id="rId7"/>
  </sheets>
  <definedNames>
    <definedName name="_xlnm._FilterDatabase" localSheetId="1" hidden="1">Results!$A$1:$G$4158</definedName>
  </definedNames>
  <calcPr calcId="191029"/>
  <pivotCaches>
    <pivotCache cacheId="0" r:id="rId8"/>
    <pivotCache cacheId="1" r:id="rId9"/>
    <pivotCache cacheId="2"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3" l="1"/>
  <c r="E6" i="3"/>
  <c r="E7" i="3"/>
  <c r="E8" i="3"/>
  <c r="E9" i="3"/>
  <c r="E10" i="3"/>
  <c r="E11" i="3"/>
  <c r="E12" i="3"/>
  <c r="E13" i="3"/>
  <c r="E14" i="3"/>
  <c r="E15" i="3"/>
  <c r="E16" i="3"/>
  <c r="E17" i="3"/>
  <c r="E4" i="3"/>
  <c r="F17" i="3"/>
  <c r="F16" i="3"/>
  <c r="F15" i="3"/>
  <c r="F14" i="3"/>
  <c r="F13" i="3"/>
  <c r="F12" i="3"/>
  <c r="F11" i="3"/>
  <c r="F10" i="3"/>
  <c r="F9" i="3"/>
  <c r="F8" i="3"/>
  <c r="F7" i="3"/>
  <c r="F6" i="3"/>
  <c r="F5" i="3"/>
  <c r="F4" i="3"/>
  <c r="E18" i="3" l="1"/>
  <c r="F18" i="3"/>
</calcChain>
</file>

<file path=xl/sharedStrings.xml><?xml version="1.0" encoding="utf-8"?>
<sst xmlns="http://schemas.openxmlformats.org/spreadsheetml/2006/main" count="461" uniqueCount="214">
  <si>
    <t>Ticket</t>
  </si>
  <si>
    <t>Supplier Name</t>
  </si>
  <si>
    <t>Requisitioner</t>
  </si>
  <si>
    <t>Superintendent</t>
  </si>
  <si>
    <t>Office Approver</t>
  </si>
  <si>
    <t>Ticket Description</t>
  </si>
  <si>
    <t>Currency</t>
  </si>
  <si>
    <t>GL Account</t>
  </si>
  <si>
    <t>Estimate Number</t>
  </si>
  <si>
    <t/>
  </si>
  <si>
    <t>Kari Rainey</t>
  </si>
  <si>
    <t>Richard Garcia</t>
  </si>
  <si>
    <t>5051057</t>
  </si>
  <si>
    <t>Britt Gunnels</t>
  </si>
  <si>
    <t>Beverly Patton</t>
  </si>
  <si>
    <t>Sally Dominguez</t>
  </si>
  <si>
    <t>5051049</t>
  </si>
  <si>
    <t>Joshua Bales</t>
  </si>
  <si>
    <t>Janet Locklar</t>
  </si>
  <si>
    <t>Megan Lane</t>
  </si>
  <si>
    <t>Cesar Galindo</t>
  </si>
  <si>
    <t>Colby Brunson</t>
  </si>
  <si>
    <t>Joey Heredia</t>
  </si>
  <si>
    <t>Gus Levario</t>
  </si>
  <si>
    <t>5051003</t>
  </si>
  <si>
    <t>Fernando DeHoyos</t>
  </si>
  <si>
    <t>Christopher Cain</t>
  </si>
  <si>
    <t>Hillary Terry</t>
  </si>
  <si>
    <t>Kelly Poynor</t>
  </si>
  <si>
    <t>Jack Lau</t>
  </si>
  <si>
    <t>Roy McNutt</t>
  </si>
  <si>
    <t>Taylor Smith</t>
  </si>
  <si>
    <t>5051044</t>
  </si>
  <si>
    <t>Maira Villa</t>
  </si>
  <si>
    <t>Lufkin US Acquisition Company LLC</t>
  </si>
  <si>
    <t>Bud Wilson</t>
  </si>
  <si>
    <t>Perry Jamison</t>
  </si>
  <si>
    <t>Fabian Lujan</t>
  </si>
  <si>
    <t>ACH Services, LLC</t>
  </si>
  <si>
    <t>Steven Salcedo</t>
  </si>
  <si>
    <t>Gary Cain</t>
  </si>
  <si>
    <t>5051027</t>
  </si>
  <si>
    <t>Ruben Alonso</t>
  </si>
  <si>
    <t>Jesus Rodriguez</t>
  </si>
  <si>
    <t>Justin Rodriguez</t>
  </si>
  <si>
    <t>Jet Specialty Inc</t>
  </si>
  <si>
    <t>Jennifer Navarro</t>
  </si>
  <si>
    <t>Tiffany Clay</t>
  </si>
  <si>
    <t>5051054</t>
  </si>
  <si>
    <t>Jacob Rogers</t>
  </si>
  <si>
    <t>Christopher Falcon</t>
  </si>
  <si>
    <t>Lone Star Instrumentation &amp; Electric Corp</t>
  </si>
  <si>
    <t>Nancy Sepulveda</t>
  </si>
  <si>
    <t>Marco Rodriguez</t>
  </si>
  <si>
    <t>Billy Brookshire</t>
  </si>
  <si>
    <t>5051023</t>
  </si>
  <si>
    <t>Clayton Marburger</t>
  </si>
  <si>
    <t>Jimmy Martin</t>
  </si>
  <si>
    <t>PARTS</t>
  </si>
  <si>
    <t>MD2608945</t>
  </si>
  <si>
    <t>Jobe Christon</t>
  </si>
  <si>
    <t>Redhead Services LLC</t>
  </si>
  <si>
    <t>Jazmine Enriquez</t>
  </si>
  <si>
    <t>Mark Ramos</t>
  </si>
  <si>
    <t>Alissa Washington</t>
  </si>
  <si>
    <t>P.A. Gonzales</t>
  </si>
  <si>
    <t>Kenneth Hodges</t>
  </si>
  <si>
    <t>Missael Silva</t>
  </si>
  <si>
    <t>Banny Wiebe</t>
  </si>
  <si>
    <t>Jesse Melendez</t>
  </si>
  <si>
    <t>Jose Villarreal</t>
  </si>
  <si>
    <t>Basin Trucking LLC</t>
  </si>
  <si>
    <t>5051026</t>
  </si>
  <si>
    <t>Michelle Fuller</t>
  </si>
  <si>
    <t>Kyle Jordan</t>
  </si>
  <si>
    <t>Bay Ltd</t>
  </si>
  <si>
    <t>Josh Clemmer</t>
  </si>
  <si>
    <t>David Fuerte</t>
  </si>
  <si>
    <t>Carlos Lopez</t>
  </si>
  <si>
    <t>250811071</t>
  </si>
  <si>
    <t>Range Technical Services LLC</t>
  </si>
  <si>
    <t>Service Call</t>
  </si>
  <si>
    <t>Dusty Gutierrez</t>
  </si>
  <si>
    <t>Royal Oilfield Services LLC</t>
  </si>
  <si>
    <t>ASAP Rentals, LLC</t>
  </si>
  <si>
    <t>2509303459</t>
  </si>
  <si>
    <t>Callen Elliott</t>
  </si>
  <si>
    <t>25047537</t>
  </si>
  <si>
    <t>Bobby Ramirez</t>
  </si>
  <si>
    <t>WORK DESCRIPTION: Mobilized equipment, isolated power, cleaned out all disconnects and safety switches, torqued connections to spec requirments, maintained bank, tightened all bushing connections, checked grounding system, tested all disconnect fuses, coordinated fuses.</t>
  </si>
  <si>
    <t>243532</t>
  </si>
  <si>
    <t>JC- I was asked to transfer fresh water to the pump trucks from the company acid tech services.</t>
  </si>
  <si>
    <t>ML POWER LLC</t>
  </si>
  <si>
    <t>Tommy White Supply Company, Inc.</t>
  </si>
  <si>
    <t>59235</t>
  </si>
  <si>
    <t>FESCO LTD</t>
  </si>
  <si>
    <t>AggieTech Energy Services LLC</t>
  </si>
  <si>
    <t>Misty Morrison</t>
  </si>
  <si>
    <t>Valdez Oil Services, L.L.C.</t>
  </si>
  <si>
    <t>Mark Allcorn</t>
  </si>
  <si>
    <t>RK Supply</t>
  </si>
  <si>
    <t>J&amp;R Roustabout, LLC</t>
  </si>
  <si>
    <t>591071</t>
  </si>
  <si>
    <t>REMOVING VRU AND HAULING TO YARD AND OFFLOADING THEN LOADING ANOTHER VRU TO SET AT FIRST LOCATION.</t>
  </si>
  <si>
    <t>670092</t>
  </si>
  <si>
    <t>Lance Gross</t>
  </si>
  <si>
    <t>395715</t>
  </si>
  <si>
    <t>LUIS ORTEGA</t>
  </si>
  <si>
    <t>PR1896805</t>
  </si>
  <si>
    <t>Mattr US Inc</t>
  </si>
  <si>
    <t>Clark Cattail Battery Rental Invoice</t>
  </si>
  <si>
    <t>64527</t>
  </si>
  <si>
    <t>DRAGO: Cleaned up spill from containment and transferred 20 bbl. of fluid into tank #7</t>
  </si>
  <si>
    <t>25093563</t>
  </si>
  <si>
    <t>WORK DESCRIPTION:Drove to location and set up truck. Began to de energize all equipment to begin installing all devices to well. Began to open up motor head cover and installed bushing to motor, pulled motor service into head and tightened down fitting, crimped on ground terminal and grounded motor ground. Began to wire up motor and tighten down all connections. Relocated brackets on unit for sensors and installed sensors to unit. Mounted support kit and load cell cable. Drilled holes for j box and mounted j box to unit. Shot all hilti shots needed and began to strap down all end devices and main service along with ground, terminated ground at well head and began to close up all equipment to begin testing, panel was not engaging so we opened panel to begin trouble shooting, found missing leg on top of starter, found all voltage good so we de energized disconnect and began to open up blades in panel to check connection, found blade insert loose causing connection to miss the phase, tightened down blade insert and put back together blade and began to energize panel. Checked balance on unit and found weights 72 and rods 61, motor rated for 99 amps, and was notified to leave unit down.</t>
  </si>
  <si>
    <t>205646</t>
  </si>
  <si>
    <t>Drove to location picked up roll of poly pipe and put on back of trailer truck, picked up base poly and put on utility trailer and discharge all in location.</t>
  </si>
  <si>
    <t>Viper Energy Services &amp; Transport, LLC</t>
  </si>
  <si>
    <t>Ramiro Rangel</t>
  </si>
  <si>
    <t>GTG Automation, Inc.</t>
  </si>
  <si>
    <t>2025-06978</t>
  </si>
  <si>
    <t>Service Time: 1000-1400 Truck: 110
Drove to location turn power off disconnected power to drive and transformer pull flexes and wires out drive and transformer then disconnected the automation wires and remove them from drive also disconnected ground wires on the outside of drive and transformer</t>
  </si>
  <si>
    <t>ML19715</t>
  </si>
  <si>
    <t>esp2rp Perform a JSA review to identify potential hazards. Verify voltage levels and identify potential hazards. Collect wire at the station yard. At the location, terminate the main service at the drive and disconnect. Flex and terminate the motor service. After completion, close line fuses and restore power to the unit. Verify voltage levels and test the unit to confirm functionality.</t>
  </si>
  <si>
    <t>BP-218426</t>
  </si>
  <si>
    <t>Rolfson Oil, LLC</t>
  </si>
  <si>
    <t>5-117260</t>
  </si>
  <si>
    <t>25047753</t>
  </si>
  <si>
    <t>WORK DESCRIPTION: Disconnected the ESP equipment from service.</t>
  </si>
  <si>
    <t>25047756</t>
  </si>
  <si>
    <t>WORK DESCRIPTION:Pulled cut outs on the bank to disconnect well from service.</t>
  </si>
  <si>
    <t>2025-06996</t>
  </si>
  <si>
    <t>Service Time: 0500-1300 Truck: PL309
Went out to location had a safety meeting before we started then went to each well pad and killed out banks and tightened all hardware on banks and also opened up disconnects and tightened and dusted off everything in the panels</t>
  </si>
  <si>
    <t>25047791</t>
  </si>
  <si>
    <t>WORK DESCRIPTION: Drive out to location go over task with company men and coordinate shut down then go to all affected pads kill power pull fuses then go through all jumpers and connections on bank tighten or adjust where needed then open disconnects and use torque wrench to tighten all connections inside disconnect to needed torque pressure and close back up make banks hot again and move to next pad and repeat process</t>
  </si>
  <si>
    <t>R-5291</t>
  </si>
  <si>
    <t>Drove to location to cut pipe plug off pipeline and plug on vacuum truck then drove to another spot to cut pipeline and put back using poly machine.</t>
  </si>
  <si>
    <t>ML19722</t>
  </si>
  <si>
    <t>esp2rp Conducted a JSA review to identify potential hazards. Verified voltage levels and identified potential hazards. Gathered necessary materials and wiring at Cain. Upon arrival at the site, installed the jbox and flex conduit for the permissive wires. Installed the flex conduit to the casing pt and tubing pt. Replaced the main service to the control box and terminated it to the disconnect, verifying the voltage at 120v, which is functioning correctly. Cleaned all trash. Departed the location and acquired a new radio and push pole at GDL.</t>
  </si>
  <si>
    <t>30135</t>
  </si>
  <si>
    <t>Well Solutions LLC</t>
  </si>
  <si>
    <t>50 BBL CASING 20 BBL FL</t>
  </si>
  <si>
    <t>25047788</t>
  </si>
  <si>
    <t>WORK DESCRIPTION: Disconnect and remove all flex and wire from drive transformer and disconnect. Load up material onto trailer. Get wire footage and make material list. Get driving directions and call in dig test. Unload material at yard</t>
  </si>
  <si>
    <t>51119914</t>
  </si>
  <si>
    <t>V-55785</t>
  </si>
  <si>
    <t>DROVE TO LOCATION AND EMPTY OUT TANK #1 AND TANK #2 AND STAND BY FOR CREW TO FINISHED REPLACING VALVES AND FITTINGS, DROVE TO BUCHANAN TO WASH OUT</t>
  </si>
  <si>
    <t>18325</t>
  </si>
  <si>
    <t>Bustamante Frontier Services LLC</t>
  </si>
  <si>
    <t>HYDROVAC TRUCK TO TRENCH LINES ON LOCATION.</t>
  </si>
  <si>
    <t>Billy Christy</t>
  </si>
  <si>
    <t>R-5358</t>
  </si>
  <si>
    <t>Drove to location to do weed control.</t>
  </si>
  <si>
    <t>10048</t>
  </si>
  <si>
    <t>Backhoes Plus, LLC</t>
  </si>
  <si>
    <t>10049</t>
  </si>
  <si>
    <t>52479</t>
  </si>
  <si>
    <t>10054</t>
  </si>
  <si>
    <t>26157</t>
  </si>
  <si>
    <t>Phoenix Services LLC</t>
  </si>
  <si>
    <t>10056</t>
  </si>
  <si>
    <t>R-5363</t>
  </si>
  <si>
    <t>Drove to location to install wind walls.</t>
  </si>
  <si>
    <t>R-5364</t>
  </si>
  <si>
    <t>18481</t>
  </si>
  <si>
    <t>R-5365</t>
  </si>
  <si>
    <t>R-5366</t>
  </si>
  <si>
    <t>10062</t>
  </si>
  <si>
    <t>10063</t>
  </si>
  <si>
    <t>10064</t>
  </si>
  <si>
    <t>R-5367</t>
  </si>
  <si>
    <t>R-5242</t>
  </si>
  <si>
    <t>10065</t>
  </si>
  <si>
    <t>52640</t>
  </si>
  <si>
    <t>Cody Casey</t>
  </si>
  <si>
    <t>10066</t>
  </si>
  <si>
    <t>10067</t>
  </si>
  <si>
    <t>10216</t>
  </si>
  <si>
    <t>10068</t>
  </si>
  <si>
    <t>R-5368</t>
  </si>
  <si>
    <t>10146</t>
  </si>
  <si>
    <t>10217</t>
  </si>
  <si>
    <t>10147</t>
  </si>
  <si>
    <t>10218</t>
  </si>
  <si>
    <t>10148</t>
  </si>
  <si>
    <t>10219</t>
  </si>
  <si>
    <t>10149</t>
  </si>
  <si>
    <t>R-5326</t>
  </si>
  <si>
    <t>Drove to location to power wash VRUs.</t>
  </si>
  <si>
    <t>R-5369</t>
  </si>
  <si>
    <t>11192</t>
  </si>
  <si>
    <t>Maintenance Roustabout - Installed auto drainer/ bleeder valve at scrubber air compressor.</t>
  </si>
  <si>
    <t>11194</t>
  </si>
  <si>
    <t>Maintenance Roustabout - Installed auto drainer/bleeder valve at scrubber air compressor.</t>
  </si>
  <si>
    <t>11195</t>
  </si>
  <si>
    <t>Ticket Search Detailed Report</t>
  </si>
  <si>
    <t>Diamondback E&amp;P LLC</t>
  </si>
  <si>
    <t>Generated On: 10/15/2025</t>
  </si>
  <si>
    <t>Buyer Name: Diamondback E&amp;P LLC</t>
  </si>
  <si>
    <t>Ticket Status: Confirmed, Approved</t>
  </si>
  <si>
    <t>Date Criteria: Confirmed Date</t>
  </si>
  <si>
    <t>Confirmed Date From: 10/14/2025</t>
  </si>
  <si>
    <t>Confirmed Date To: 10/14/2025</t>
  </si>
  <si>
    <t>Requisitioner: Alissa Washington, Beverly Patton, Janet Locklar, Jennifer Navarro, Kelly Poynor, Nancy Sepulveda, Sally Dominguez, Tiffany Clay, Maira Villa, Misty Morrison, Kimberly Grubbs, Kari Rainey, Ashley Hindson, Hillary Terry, Jazmine Enriquez, Megan Lane</t>
  </si>
  <si>
    <t>Count of Ticket</t>
  </si>
  <si>
    <t>Row Labels</t>
  </si>
  <si>
    <t>Grand Total</t>
  </si>
  <si>
    <t>Route Unconfirm</t>
  </si>
  <si>
    <t>Code Unconfirm</t>
  </si>
  <si>
    <t>Total Unconfirm</t>
  </si>
  <si>
    <t>Unconfirm %</t>
  </si>
  <si>
    <t>Comment (Pass? Or Why Failed)</t>
  </si>
  <si>
    <t>Ticket Number</t>
  </si>
  <si>
    <t>Requisitioner (who the RPA sent to Pass or 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</si>
</sst>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sz val="11"/>
      <color indexed="8"/>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rgb="FF92D050"/>
        <bgColor indexed="64"/>
      </patternFill>
    </fill>
  </fills>
  <borders count="4">
    <border>
      <left/>
      <right/>
      <top/>
      <bottom/>
      <diagonal/>
    </border>
    <border>
      <left/>
      <right/>
      <top/>
      <bottom style="thin">
        <color theme="4" tint="0.39997558519241921"/>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0" fillId="2" borderId="0" xfId="0" applyFill="1"/>
    <xf numFmtId="0" fontId="0" fillId="3" borderId="0" xfId="0" applyFill="1"/>
    <xf numFmtId="0" fontId="3" fillId="4" borderId="1" xfId="0" applyFont="1" applyFill="1" applyBorder="1"/>
    <xf numFmtId="0" fontId="0" fillId="0" borderId="0" xfId="0" pivotButton="1"/>
    <xf numFmtId="0" fontId="0" fillId="0" borderId="0" xfId="0" applyAlignment="1">
      <alignment horizontal="left"/>
    </xf>
    <xf numFmtId="0" fontId="2" fillId="0" borderId="0" xfId="0" applyFont="1"/>
    <xf numFmtId="0" fontId="2" fillId="3" borderId="0" xfId="0" applyFont="1" applyFill="1"/>
    <xf numFmtId="0" fontId="0" fillId="0" borderId="2" xfId="0" applyBorder="1"/>
    <xf numFmtId="9" fontId="0" fillId="0" borderId="0" xfId="1" applyFont="1"/>
    <xf numFmtId="9" fontId="0" fillId="0" borderId="2" xfId="1" applyFont="1" applyBorder="1"/>
    <xf numFmtId="9" fontId="0" fillId="0" borderId="0" xfId="0" applyNumberFormat="1"/>
    <xf numFmtId="0" fontId="2" fillId="0" borderId="0" xfId="0" applyFont="1" applyAlignment="1">
      <alignment horizontal="left"/>
    </xf>
    <xf numFmtId="9" fontId="2" fillId="0" borderId="0" xfId="1" applyFont="1"/>
    <xf numFmtId="0" fontId="0" fillId="5" borderId="0" xfId="0" applyFill="1"/>
    <xf numFmtId="0" fontId="4" fillId="0" borderId="0" xfId="0" applyFont="1"/>
    <xf numFmtId="0" fontId="0" fillId="5" borderId="0" xfId="0" applyFill="1" applyAlignment="1">
      <alignment wrapText="1"/>
    </xf>
    <xf numFmtId="0" fontId="0" fillId="0" borderId="3" xfId="0" applyBorder="1" applyAlignment="1">
      <alignment wrapText="1"/>
    </xf>
    <xf numFmtId="0" fontId="2" fillId="0" borderId="3" xfId="0" applyFont="1" applyBorder="1" applyAlignment="1">
      <alignment wrapText="1"/>
    </xf>
    <xf numFmtId="0" fontId="4" fillId="0" borderId="3" xfId="0" applyFont="1" applyBorder="1" applyAlignment="1">
      <alignment wrapText="1"/>
    </xf>
  </cellXfs>
  <cellStyles count="2">
    <cellStyle name="Normal" xfId="0" builtinId="0"/>
    <cellStyle name="Percent" xfId="1" builtinId="5"/>
  </cellStyles>
  <dxfs count="2">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mberly J. Grubbs" refreshedDate="45945.353702199071" createdVersion="8" refreshedVersion="8" minRefreshableVersion="3" recordCount="1488" xr:uid="{6A69C0D8-B540-4DFF-B765-35249AA2D64C}">
  <cacheSource type="worksheet">
    <worksheetSource ref="A1:G1048576" sheet="Results"/>
  </cacheSource>
  <cacheFields count="70">
    <cacheField name="Ticket" numFmtId="0">
      <sharedItems containsBlank="1"/>
    </cacheField>
    <cacheField name="Supplier Name" numFmtId="0">
      <sharedItems containsBlank="1"/>
    </cacheField>
    <cacheField name="Requisitioner" numFmtId="0">
      <sharedItems containsBlank="1" count="15">
        <s v="Kelly Poynor"/>
        <s v="Tiffany Clay"/>
        <s v="Hillary Terry"/>
        <s v="Janet Locklar"/>
        <s v="Sally Dominguez"/>
        <s v="Kari Rainey"/>
        <s v="Jennifer Navarro"/>
        <s v="Megan Lane"/>
        <s v="Beverly Patton"/>
        <s v="Jazmine Enriquez"/>
        <s v="Nancy Sepulveda"/>
        <s v="Alissa Washington"/>
        <s v="Maira Villa"/>
        <s v="Misty Morrison"/>
        <m/>
      </sharedItems>
    </cacheField>
    <cacheField name="Superintendent" numFmtId="0">
      <sharedItems containsBlank="1"/>
    </cacheField>
    <cacheField name="Office Approver" numFmtId="0">
      <sharedItems containsBlank="1"/>
    </cacheField>
    <cacheField name="Ticket Description" numFmtId="0">
      <sharedItems containsBlank="1" longText="1"/>
    </cacheField>
    <cacheField name="GL Account" numFmtId="0">
      <sharedItems containsBlank="1"/>
    </cacheField>
    <cacheField name="Category" numFmtId="0">
      <sharedItems containsBlank="1"/>
    </cacheField>
    <cacheField name="Estimate Number" numFmtId="0">
      <sharedItems containsBlank="1"/>
    </cacheField>
    <cacheField name="Currency" numFmtId="0">
      <sharedItems containsBlank="1"/>
    </cacheField>
    <cacheField name="Amount" numFmtId="0">
      <sharedItems containsString="0" containsBlank="1" containsNumber="1" minValue="-2119.41" maxValue="136398.74"/>
    </cacheField>
    <cacheField name="Submission Source" numFmtId="0">
      <sharedItems containsBlank="1"/>
    </cacheField>
    <cacheField name="Line Number" numFmtId="0">
      <sharedItems containsBlank="1"/>
    </cacheField>
    <cacheField name="Part # / Item ID" numFmtId="0">
      <sharedItems containsBlank="1"/>
    </cacheField>
    <cacheField name="Line Description" numFmtId="0">
      <sharedItems containsBlank="1" longText="1"/>
    </cacheField>
    <cacheField name="Category2" numFmtId="0">
      <sharedItems containsBlank="1"/>
    </cacheField>
    <cacheField name="Original Submission Date" numFmtId="0">
      <sharedItems containsNonDate="0" containsDate="1" containsString="0" containsBlank="1" minDate="2025-03-13T10:57:09" maxDate="2025-10-13T20:07:43"/>
    </cacheField>
    <cacheField name="Service Start" numFmtId="0">
      <sharedItems containsNonDate="0" containsDate="1" containsString="0" containsBlank="1" minDate="2024-10-16T08:00:00" maxDate="2025-10-12T16:45:00"/>
    </cacheField>
    <cacheField name="Service End" numFmtId="0">
      <sharedItems containsNonDate="0" containsDate="1" containsString="0" containsBlank="1" minDate="2024-10-16T08:00:00" maxDate="2025-10-12T19:30:00"/>
    </cacheField>
    <cacheField name="Hours Worked" numFmtId="0">
      <sharedItems containsDate="1" containsBlank="1" containsMixedTypes="1" minDate="1899-12-30T00:00:00" maxDate="1899-12-30T17:00:00"/>
    </cacheField>
    <cacheField name="Location" numFmtId="0">
      <sharedItems containsBlank="1"/>
    </cacheField>
    <cacheField name="Hauled Ticket" numFmtId="0">
      <sharedItems containsBlank="1"/>
    </cacheField>
    <cacheField name="Hauled Location" numFmtId="0">
      <sharedItems containsBlank="1"/>
    </cacheField>
    <cacheField name="Fluid Hauled" numFmtId="0">
      <sharedItems containsBlank="1"/>
    </cacheField>
    <cacheField name="BS&amp;W" numFmtId="0">
      <sharedItems containsBlank="1"/>
    </cacheField>
    <cacheField name="Equipment" numFmtId="0">
      <sharedItems containsBlank="1"/>
    </cacheField>
    <cacheField name="Old Seal" numFmtId="0">
      <sharedItems containsBlank="1"/>
    </cacheField>
    <cacheField name="New Seal" numFmtId="0">
      <sharedItems containsBlank="1"/>
    </cacheField>
    <cacheField name="Gauge Start (ft)" numFmtId="0">
      <sharedItems containsBlank="1" containsMixedTypes="1" containsNumber="1" containsInteger="1" minValue="0" maxValue="10"/>
    </cacheField>
    <cacheField name="Gauge Start (in)" numFmtId="0">
      <sharedItems containsBlank="1" containsMixedTypes="1" containsNumber="1" containsInteger="1" minValue="0" maxValue="10"/>
    </cacheField>
    <cacheField name="Gauge Finish (ft)" numFmtId="0">
      <sharedItems containsBlank="1" containsMixedTypes="1" containsNumber="1" containsInteger="1" minValue="0" maxValue="8"/>
    </cacheField>
    <cacheField name="Gauge Finish (in)" numFmtId="0">
      <sharedItems containsBlank="1" containsMixedTypes="1" containsNumber="1" containsInteger="1" minValue="0" maxValue="11"/>
    </cacheField>
    <cacheField name="Top Gauge Start" numFmtId="0">
      <sharedItems containsBlank="1" containsMixedTypes="1" containsNumber="1" containsInteger="1" minValue="0" maxValue="0"/>
    </cacheField>
    <cacheField name="Top Gauge Start SubUnit" numFmtId="0">
      <sharedItems containsBlank="1" containsMixedTypes="1" containsNumber="1" containsInteger="1" minValue="0" maxValue="0"/>
    </cacheField>
    <cacheField name="Bottom Gauge Start" numFmtId="0">
      <sharedItems containsBlank="1" containsMixedTypes="1" containsNumber="1" containsInteger="1" minValue="0" maxValue="0"/>
    </cacheField>
    <cacheField name="Bottom Gauge Start SubUnit" numFmtId="0">
      <sharedItems containsBlank="1" containsMixedTypes="1" containsNumber="1" containsInteger="1" minValue="0" maxValue="0"/>
    </cacheField>
    <cacheField name="Top Gauge Finish" numFmtId="0">
      <sharedItems containsBlank="1"/>
    </cacheField>
    <cacheField name="Top Gauge Finish SubUnit" numFmtId="0">
      <sharedItems containsBlank="1"/>
    </cacheField>
    <cacheField name="Bottom Gauge Finish" numFmtId="0">
      <sharedItems containsBlank="1"/>
    </cacheField>
    <cacheField name="Bottom Gauge Finish SubUnit" numFmtId="0">
      <sharedItems containsBlank="1"/>
    </cacheField>
    <cacheField name="Top/Bottom Gauge UOM" numFmtId="0">
      <sharedItems containsBlank="1"/>
    </cacheField>
    <cacheField name="Volume" numFmtId="0">
      <sharedItems containsBlank="1" containsMixedTypes="1" containsNumber="1" minValue="0" maxValue="212.3"/>
    </cacheField>
    <cacheField name="Volume Units" numFmtId="0">
      <sharedItems containsBlank="1"/>
    </cacheField>
    <cacheField name="Charge Type" numFmtId="0">
      <sharedItems containsBlank="1"/>
    </cacheField>
    <cacheField name="Crew Member" numFmtId="0">
      <sharedItems containsBlank="1"/>
    </cacheField>
    <cacheField name="License Number" numFmtId="0">
      <sharedItems containsBlank="1"/>
    </cacheField>
    <cacheField name="Equipment ID" numFmtId="0">
      <sharedItems containsBlank="1"/>
    </cacheField>
    <cacheField name="WBS/CC/PC" numFmtId="0">
      <sharedItems containsBlank="1"/>
    </cacheField>
    <cacheField name="WBS/CC/PC Property" numFmtId="0">
      <sharedItems containsBlank="1"/>
    </cacheField>
    <cacheField name="WBS/CC/PC Type" numFmtId="0">
      <sharedItems containsBlank="1"/>
    </cacheField>
    <cacheField name="WBS/CC/PC Entity" numFmtId="0">
      <sharedItems containsBlank="1"/>
    </cacheField>
    <cacheField name="Lease" numFmtId="0">
      <sharedItems containsBlank="1"/>
    </cacheField>
    <cacheField name="Lease Property" numFmtId="0">
      <sharedItems containsBlank="1"/>
    </cacheField>
    <cacheField name="Lease Type" numFmtId="0">
      <sharedItems containsBlank="1"/>
    </cacheField>
    <cacheField name="Lease Entity" numFmtId="0">
      <sharedItems containsBlank="1"/>
    </cacheField>
    <cacheField name="-" numFmtId="0">
      <sharedItems containsBlank="1"/>
    </cacheField>
    <cacheField name="PO Line" numFmtId="0">
      <sharedItems containsBlank="1"/>
    </cacheField>
    <cacheField name="Charge By" numFmtId="0">
      <sharedItems containsBlank="1"/>
    </cacheField>
    <cacheField name="Quantity" numFmtId="0">
      <sharedItems containsString="0" containsBlank="1" containsNumber="1" minValue="-8" maxValue="593038"/>
    </cacheField>
    <cacheField name="Units" numFmtId="0">
      <sharedItems containsBlank="1"/>
    </cacheField>
    <cacheField name="Rate" numFmtId="0">
      <sharedItems containsString="0" containsBlank="1" containsNumber="1" minValue="0" maxValue="12500"/>
    </cacheField>
    <cacheField name="Qualifier" numFmtId="0">
      <sharedItems containsBlank="1"/>
    </cacheField>
    <cacheField name="Subtotal" numFmtId="0">
      <sharedItems containsString="0" containsBlank="1" containsNumber="1" minValue="-2119.41" maxValue="136398.74"/>
    </cacheField>
    <cacheField name="Supplier Types" numFmtId="0">
      <sharedItems containsBlank="1"/>
    </cacheField>
    <cacheField name="Supplier Number" numFmtId="0">
      <sharedItems containsBlank="1"/>
    </cacheField>
    <cacheField name="Last Submitted Date" numFmtId="0">
      <sharedItems containsNonDate="0" containsDate="1" containsString="0" containsBlank="1" minDate="2025-09-15T10:33:56" maxDate="2025-10-14T15:17:46"/>
    </cacheField>
    <cacheField name="Buyer Site Name" numFmtId="0">
      <sharedItems containsBlank="1"/>
    </cacheField>
    <cacheField name="Buyer Site Code" numFmtId="0">
      <sharedItems containsBlank="1"/>
    </cacheField>
    <cacheField name="Dispute Reason" numFmtId="0">
      <sharedItems containsBlank="1"/>
    </cacheField>
    <cacheField name="Material Mast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mberly J. Grubbs" refreshedDate="45945.413508796293" createdVersion="8" refreshedVersion="8" minRefreshableVersion="3" recordCount="30" xr:uid="{7CBD897B-45EA-4B2B-BF73-983144CB8CE1}">
  <cacheSource type="worksheet">
    <worksheetSource ref="A1:E31" sheet="Sheet2"/>
  </cacheSource>
  <cacheFields count="5">
    <cacheField name="Ticket" numFmtId="0">
      <sharedItems/>
    </cacheField>
    <cacheField name="Supplier Name" numFmtId="0">
      <sharedItems/>
    </cacheField>
    <cacheField name="Requisitioner" numFmtId="0">
      <sharedItems count="5">
        <s v="Kelly Poynor"/>
        <s v="Tiffany Clay"/>
        <s v="Kari Rainey"/>
        <s v="Nancy Sepulveda"/>
        <s v="Janet Locklar"/>
      </sharedItems>
    </cacheField>
    <cacheField name="Superintendent" numFmtId="0">
      <sharedItems/>
    </cacheField>
    <cacheField name="Office Approver"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mberly J. Grubbs" refreshedDate="45945.488583449071" createdVersion="8" refreshedVersion="8" minRefreshableVersion="3" recordCount="34" xr:uid="{093DCFAF-318D-4B7C-A56E-A5EFAABDA911}">
  <cacheSource type="worksheet">
    <worksheetSource ref="A1:G35" sheet="Sheet4"/>
  </cacheSource>
  <cacheFields count="7">
    <cacheField name="Ticket" numFmtId="0">
      <sharedItems/>
    </cacheField>
    <cacheField name="Supplier Name" numFmtId="0">
      <sharedItems/>
    </cacheField>
    <cacheField name="Requisitioner" numFmtId="0">
      <sharedItems count="8">
        <s v="Beverly Patton"/>
        <s v="Janet Locklar"/>
        <s v="Kelly Poynor"/>
        <s v="Nancy Sepulveda"/>
        <s v="Megan Lane"/>
        <s v="Jazmine Enriquez"/>
        <s v="Kari Rainey"/>
        <s v="Tiffany Clay"/>
      </sharedItems>
    </cacheField>
    <cacheField name="Superintendent" numFmtId="0">
      <sharedItems/>
    </cacheField>
    <cacheField name="Office Approver" numFmtId="0">
      <sharedItems/>
    </cacheField>
    <cacheField name="Ticket Description" numFmtId="0">
      <sharedItems longText="1"/>
    </cacheField>
    <cacheField name="GL Accoun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8">
  <r>
    <s v="BP-218426"/>
    <s v="Rolfson Oil, LLC"/>
    <x v="0"/>
    <s v=""/>
    <s v=""/>
    <s v="PROPANE"/>
    <s v="5051032"/>
    <s v="Upstream"/>
    <s v=""/>
    <s v="USD"/>
    <n v="6830.45"/>
    <s v="Direct Entry"/>
    <s v="1"/>
    <s v="Propane"/>
    <s v="propane"/>
    <s v=""/>
    <d v="2025-10-10T16:33:53"/>
    <d v="2025-09-29T12:00:00"/>
    <d v="2025-09-29T12:00:00"/>
    <s v=""/>
    <s v=""/>
    <s v=""/>
    <s v=""/>
    <s v=""/>
    <s v=""/>
    <s v=""/>
    <s v=""/>
    <s v=""/>
    <s v=""/>
    <s v=""/>
    <s v=""/>
    <s v=""/>
    <s v=""/>
    <s v=""/>
    <s v=""/>
    <s v=""/>
    <s v=""/>
    <s v=""/>
    <s v=""/>
    <s v=""/>
    <s v=""/>
    <s v=""/>
    <s v=""/>
    <s v="Material"/>
    <s v=""/>
    <s v=""/>
    <s v=""/>
    <s v="9100001100"/>
    <s v="SDB-BLB 21C"/>
    <s v="Upstream"/>
    <s v="1046"/>
    <s v=""/>
    <s v=""/>
    <s v=""/>
    <s v=""/>
    <s v=""/>
    <s v=""/>
    <s v=""/>
    <n v="3090.7"/>
    <s v="EA"/>
    <n v="2.21"/>
    <s v=""/>
    <n v="6830.45"/>
    <s v="--multiple--"/>
    <s v="700348"/>
    <d v="2025-10-10T16:36:06"/>
    <s v=""/>
    <s v=""/>
    <s v=""/>
    <s v=""/>
  </r>
  <r>
    <s v="52479"/>
    <s v="Redhead Services LLC"/>
    <x v="1"/>
    <s v=""/>
    <s v=""/>
    <s v="Call Out"/>
    <s v="5051006"/>
    <s v="Upstream"/>
    <s v="169959"/>
    <s v="USD"/>
    <n v="507.5"/>
    <s v="B2B"/>
    <s v="1"/>
    <s v="Labor"/>
    <s v="Added oil"/>
    <s v=""/>
    <d v="2025-10-07T13:28:03"/>
    <d v="2025-10-06T12:00:00"/>
    <d v="2025-10-06T12:30:00"/>
    <s v=""/>
    <s v="Robertson Ranch 6 battery"/>
    <s v=""/>
    <s v=""/>
    <s v=""/>
    <s v=""/>
    <s v=""/>
    <s v=""/>
    <s v=""/>
    <s v=""/>
    <s v=""/>
    <s v=""/>
    <s v=""/>
    <s v=""/>
    <s v=""/>
    <s v=""/>
    <s v=""/>
    <s v=""/>
    <s v=""/>
    <s v=""/>
    <s v=""/>
    <s v=""/>
    <s v=""/>
    <s v=""/>
    <s v="Labor"/>
    <s v=""/>
    <s v=""/>
    <s v=""/>
    <s v="8000312500"/>
    <s v="ROBERTSON RANCH 3 BATTERY"/>
    <s v="Upstream"/>
    <s v="1046"/>
    <s v=""/>
    <s v=""/>
    <s v=""/>
    <s v=""/>
    <s v=""/>
    <s v=""/>
    <s v="Other"/>
    <n v="0.5"/>
    <s v="hour"/>
    <n v="110"/>
    <s v=""/>
    <n v="55"/>
    <s v="--multiple--"/>
    <s v="709146"/>
    <d v="2025-10-07T13:31:23"/>
    <s v=""/>
    <s v=""/>
    <s v=""/>
    <s v=""/>
  </r>
  <r>
    <s v="105076"/>
    <s v="A4 Oilfield Services, LLC"/>
    <x v="2"/>
    <s v="Alex Anez"/>
    <s v="Louis Valencia"/>
    <s v="Drove to location to replace 4&quot; vic clamp on ball valve on vent line, replace 2&quot; vic clamp in facility play out to flare, replace leaking vic clamps on sales separator back pressure valves and replace vic clamp fwko"/>
    <s v="5051006"/>
    <s v="Upstream"/>
    <s v="166463"/>
    <s v="USD"/>
    <n v="718.75"/>
    <s v="Direct Entry"/>
    <s v="1"/>
    <s v="ROUSTABOUT - 3 Man"/>
    <s v="ROUSTABOUT - 3 Man"/>
    <s v=""/>
    <d v="2025-10-06T12:44:34"/>
    <d v="2025-09-26T06:15:00"/>
    <d v="2025-09-26T12:00:00"/>
    <s v=""/>
    <s v="Blazer 14 Battery"/>
    <s v=""/>
    <s v=""/>
    <s v=""/>
    <s v=""/>
    <s v=""/>
    <s v=""/>
    <s v=""/>
    <s v=""/>
    <s v=""/>
    <s v=""/>
    <s v=""/>
    <s v=""/>
    <s v=""/>
    <s v=""/>
    <s v=""/>
    <s v=""/>
    <s v=""/>
    <s v=""/>
    <s v=""/>
    <s v=""/>
    <s v=""/>
    <s v=""/>
    <s v="Labor"/>
    <s v=""/>
    <s v=""/>
    <s v=""/>
    <s v="8000020600"/>
    <s v="BLAZER 14 BATTERY"/>
    <s v="Upstream"/>
    <s v="1046"/>
    <s v=""/>
    <s v=""/>
    <s v=""/>
    <s v=""/>
    <s v=""/>
    <s v=""/>
    <s v=""/>
    <n v="5.75"/>
    <s v="HR"/>
    <n v="125"/>
    <s v=""/>
    <n v="718.75"/>
    <s v="--multiple--"/>
    <s v="711551"/>
    <d v="2025-10-06T13:05:39"/>
    <s v=""/>
    <s v=""/>
    <s v=""/>
    <s v=""/>
  </r>
  <r>
    <s v="105081"/>
    <s v="A4 Oilfield Services, LLC"/>
    <x v="2"/>
    <s v="Alex Anez"/>
    <s v="Louis Valencia"/>
    <s v="Drove to location to install new high level control switch onto heater treater used manlift to assist trip test high level control switch on gas scrubber and over tank, turn around back to location to install bleeder rings onto flame arrestor on flare stack cut up bolts to proper size"/>
    <s v="5051052"/>
    <s v="Upstream"/>
    <s v="166387"/>
    <s v="USD"/>
    <n v="1031.25"/>
    <s v="Direct Entry"/>
    <s v="1"/>
    <s v="ROUSTABOUT - 3 Man"/>
    <s v="ROUSTABOUT - 3 Man"/>
    <s v=""/>
    <d v="2025-10-06T12:53:44"/>
    <d v="2025-09-29T14:00:00"/>
    <d v="2025-09-29T22:15:00"/>
    <s v=""/>
    <s v="Corsican Battery"/>
    <s v=""/>
    <s v=""/>
    <s v=""/>
    <s v=""/>
    <s v=""/>
    <s v=""/>
    <s v=""/>
    <s v=""/>
    <s v=""/>
    <s v=""/>
    <s v=""/>
    <s v=""/>
    <s v=""/>
    <s v=""/>
    <s v=""/>
    <s v=""/>
    <s v=""/>
    <s v=""/>
    <s v=""/>
    <s v=""/>
    <s v=""/>
    <s v=""/>
    <s v="Labor"/>
    <s v=""/>
    <s v=""/>
    <s v=""/>
    <s v="8000300500"/>
    <s v="CORSICAN BATTERY"/>
    <s v="Upstream"/>
    <s v="1046"/>
    <s v=""/>
    <s v=""/>
    <s v=""/>
    <s v=""/>
    <s v=""/>
    <s v=""/>
    <s v=""/>
    <n v="8.25"/>
    <s v="HR"/>
    <n v="125"/>
    <s v=""/>
    <n v="1031.25"/>
    <s v="--multiple--"/>
    <s v="711551"/>
    <d v="2025-10-06T13:08:21"/>
    <s v=""/>
    <s v=""/>
    <s v=""/>
    <s v=""/>
  </r>
  <r>
    <s v="52500"/>
    <s v="Redhead Services LLC"/>
    <x v="1"/>
    <s v="Andres Campos"/>
    <s v="Aron Nunez"/>
    <s v="Monthly Pm Service"/>
    <s v="5051064"/>
    <s v="Upstream"/>
    <s v="163788"/>
    <s v="USD"/>
    <n v="1540"/>
    <s v="B2B"/>
    <s v="1"/>
    <s v="Oil Change"/>
    <s v="Monthly Service PM"/>
    <s v=""/>
    <d v="2025-10-07T13:28:02"/>
    <d v="2025-10-06T00:00:00"/>
    <d v="2025-10-06T00:00:00"/>
    <s v=""/>
    <s v="Hydra 45-4"/>
    <s v=""/>
    <s v=""/>
    <s v=""/>
    <s v=""/>
    <s v=""/>
    <s v=""/>
    <s v=""/>
    <s v=""/>
    <s v=""/>
    <s v=""/>
    <s v=""/>
    <s v=""/>
    <s v=""/>
    <s v=""/>
    <s v=""/>
    <s v=""/>
    <s v=""/>
    <s v=""/>
    <s v=""/>
    <s v=""/>
    <s v=""/>
    <s v=""/>
    <s v="Labor"/>
    <s v=""/>
    <s v=""/>
    <s v=""/>
    <s v="8300113000"/>
    <s v="HYDRA 45-4 1 BATTERY"/>
    <s v="Upstream"/>
    <s v="1046"/>
    <s v=""/>
    <s v=""/>
    <s v=""/>
    <s v=""/>
    <s v=""/>
    <s v=""/>
    <s v="Other"/>
    <n v="1"/>
    <s v="each"/>
    <n v="385"/>
    <s v=""/>
    <n v="385"/>
    <s v="--multiple--"/>
    <s v="709146"/>
    <d v="2025-10-07T13:32:25"/>
    <s v=""/>
    <s v=""/>
    <s v=""/>
    <s v=""/>
  </r>
  <r>
    <s v="52509"/>
    <s v="Redhead Services LLC"/>
    <x v="1"/>
    <s v="Andres Campos"/>
    <s v="Aron Nunez"/>
    <s v="Call Out"/>
    <s v="5051064"/>
    <s v="Upstream"/>
    <s v="163999"/>
    <s v="USD"/>
    <n v="385"/>
    <s v="B2B"/>
    <s v="1"/>
    <s v="Oil Change"/>
    <s v="Monthly Service PM"/>
    <s v=""/>
    <d v="2025-10-07T13:28:04"/>
    <d v="2025-10-06T00:00:00"/>
    <d v="2025-10-06T00:00:00"/>
    <s v=""/>
    <s v="Shortes 45A 1"/>
    <s v=""/>
    <s v=""/>
    <s v=""/>
    <s v=""/>
    <s v=""/>
    <s v=""/>
    <s v=""/>
    <s v=""/>
    <s v=""/>
    <s v=""/>
    <s v=""/>
    <s v=""/>
    <s v=""/>
    <s v=""/>
    <s v=""/>
    <s v=""/>
    <s v=""/>
    <s v=""/>
    <s v=""/>
    <s v=""/>
    <s v=""/>
    <s v=""/>
    <s v="Labor"/>
    <s v=""/>
    <s v=""/>
    <s v=""/>
    <s v="8300151800"/>
    <s v="SHORTES 45A 1 BATTERY"/>
    <s v="Upstream"/>
    <s v="1046"/>
    <s v=""/>
    <s v=""/>
    <s v=""/>
    <s v=""/>
    <s v=""/>
    <s v=""/>
    <s v="Other"/>
    <n v="1"/>
    <s v="each"/>
    <n v="385"/>
    <s v=""/>
    <n v="385"/>
    <s v="--multiple--"/>
    <s v="709146"/>
    <d v="2025-10-07T13:32:27"/>
    <s v=""/>
    <s v=""/>
    <s v=""/>
    <s v=""/>
  </r>
  <r>
    <s v="52510"/>
    <s v="Redhead Services LLC"/>
    <x v="1"/>
    <s v="Andres Campos"/>
    <s v="Aron Nunez"/>
    <s v="Call Out"/>
    <s v="5051064"/>
    <s v="Upstream"/>
    <s v="164625"/>
    <s v="USD"/>
    <n v="770"/>
    <s v="B2B"/>
    <s v="1"/>
    <s v="Oil Change"/>
    <s v="Monthly Service PM"/>
    <s v=""/>
    <d v="2025-10-07T13:28:04"/>
    <d v="2025-10-06T00:00:00"/>
    <d v="2025-10-06T00:00:00"/>
    <s v=""/>
    <s v="Shortes/ Frazier 44-5"/>
    <s v=""/>
    <s v=""/>
    <s v=""/>
    <s v=""/>
    <s v=""/>
    <s v=""/>
    <s v=""/>
    <s v=""/>
    <s v=""/>
    <s v=""/>
    <s v=""/>
    <s v=""/>
    <s v=""/>
    <s v=""/>
    <s v=""/>
    <s v=""/>
    <s v=""/>
    <s v=""/>
    <s v=""/>
    <s v=""/>
    <s v=""/>
    <s v=""/>
    <s v="Labor"/>
    <s v=""/>
    <s v=""/>
    <s v=""/>
    <s v="8300152000"/>
    <s v="SHORTES-FRAZIER 44-5 BATTERY"/>
    <s v="Upstream"/>
    <s v="1046"/>
    <s v=""/>
    <s v=""/>
    <s v=""/>
    <s v=""/>
    <s v=""/>
    <s v=""/>
    <s v="Other"/>
    <n v="1"/>
    <s v="each"/>
    <n v="385"/>
    <s v=""/>
    <n v="385"/>
    <s v="--multiple--"/>
    <s v="709146"/>
    <d v="2025-10-07T13:32:28"/>
    <s v=""/>
    <s v=""/>
    <s v=""/>
    <s v=""/>
  </r>
  <r>
    <s v="51684"/>
    <s v="Redhead Services LLC"/>
    <x v="0"/>
    <s v="Andres Campos"/>
    <s v="Aron Nunez"/>
    <s v="Call Out"/>
    <s v="5051006"/>
    <s v="Upstream"/>
    <s v="154956"/>
    <s v="USD"/>
    <n v="535.1"/>
    <s v="B2B"/>
    <s v="1"/>
    <s v="Labor"/>
    <s v="Cody asked me to come check on this unit to make sure the suction pressure was matching with the Tank is reading_x000a_We scaled sensor so it matched with the pressure on the tank is _x000a_When we tried to start unit, it went down instantly on compressor fail _x000a_Found the set points in the drive had been erased_x000a_Input parameters and started unit _x000a_I found the toilet clamps were leaking, replaced all 2 inch Victaulic gaskets_x000a_Check for leak leaks and left in auto"/>
    <s v=""/>
    <d v="2025-09-17T08:23:04"/>
    <d v="2025-09-15T15:00:00"/>
    <d v="2025-09-15T18:00:00"/>
    <s v=""/>
    <s v="Zeus 7-6"/>
    <s v=""/>
    <s v=""/>
    <s v=""/>
    <s v=""/>
    <s v=""/>
    <s v=""/>
    <s v=""/>
    <s v=""/>
    <s v=""/>
    <s v=""/>
    <s v=""/>
    <s v=""/>
    <s v=""/>
    <s v=""/>
    <s v=""/>
    <s v=""/>
    <s v=""/>
    <s v=""/>
    <s v=""/>
    <s v=""/>
    <s v=""/>
    <s v=""/>
    <s v="Labor"/>
    <s v=""/>
    <s v=""/>
    <s v=""/>
    <s v="8300170300"/>
    <s v="ZEUS 7-6 BATTERY"/>
    <s v="Upstream"/>
    <s v="1046"/>
    <s v=""/>
    <s v=""/>
    <s v=""/>
    <s v=""/>
    <s v=""/>
    <s v=""/>
    <s v="Other"/>
    <n v="3"/>
    <s v="hour"/>
    <n v="110"/>
    <s v=""/>
    <n v="330"/>
    <s v="--multiple--"/>
    <s v="709146"/>
    <d v="2025-09-30T10:25:15"/>
    <s v=""/>
    <s v=""/>
    <s v="Attachment Issue | Attachment Issue"/>
    <s v=""/>
  </r>
  <r>
    <s v="117269"/>
    <s v="Premier Energy Services, LLC"/>
    <x v="0"/>
    <s v="Adolfo Chavez"/>
    <s v="Billy Brookshire"/>
    <s v="OFFICE CLEANING"/>
    <s v="5051021"/>
    <s v="Upstream"/>
    <s v=""/>
    <s v="USD"/>
    <n v="450"/>
    <s v="Direct Entry"/>
    <s v="1"/>
    <s v="SVOCST"/>
    <s v="Office Cleaning- Stanton"/>
    <s v=""/>
    <d v="2025-09-29T11:39:27"/>
    <d v="2025-09-29T07:00:00"/>
    <d v="2025-09-29T17:00:00"/>
    <s v=""/>
    <s v="STANTON OFFICE"/>
    <s v=""/>
    <s v=""/>
    <s v=""/>
    <s v=""/>
    <s v=""/>
    <s v=""/>
    <s v=""/>
    <s v=""/>
    <s v=""/>
    <s v=""/>
    <s v=""/>
    <s v=""/>
    <s v=""/>
    <s v=""/>
    <s v=""/>
    <s v=""/>
    <s v=""/>
    <s v=""/>
    <s v=""/>
    <s v=""/>
    <s v=""/>
    <s v=""/>
    <s v="Labor"/>
    <s v=""/>
    <s v="117269"/>
    <s v=""/>
    <s v="9000002400"/>
    <s v="SOUTH MIDLAND BASIN"/>
    <s v="Upstream"/>
    <s v="1046"/>
    <s v=""/>
    <s v=""/>
    <s v=""/>
    <s v=""/>
    <s v=""/>
    <s v=""/>
    <s v=""/>
    <n v="1"/>
    <s v="Day"/>
    <n v="450"/>
    <s v=""/>
    <n v="450"/>
    <s v="--multiple--"/>
    <s v="702081"/>
    <d v="2025-09-29T11:42:58"/>
    <s v=""/>
    <s v=""/>
    <s v=""/>
    <s v=""/>
  </r>
  <r>
    <s v="284572"/>
    <s v="Cowboy Pump &amp; Supply"/>
    <x v="3"/>
    <s v="Casey Grigg"/>
    <s v="Aron Nunez"/>
    <s v="PARTS DELIVERED"/>
    <s v="5051049"/>
    <s v="Upstream"/>
    <s v="105291"/>
    <s v="USD"/>
    <n v="509.49"/>
    <s v="Direct Entry"/>
    <s v="1"/>
    <s v="AS-2X6XXHNIPPLE"/>
    <s v="2&quot; X 6&quot; XXH NIPPLE"/>
    <s v="GROOVED OR THD NIP"/>
    <d v="2025-10-09T16:55:50"/>
    <d v="2025-05-30T00:00:00"/>
    <d v="2025-05-30T00:00:00"/>
    <s v=""/>
    <s v=""/>
    <s v=""/>
    <s v=""/>
    <s v=""/>
    <s v=""/>
    <s v=""/>
    <s v=""/>
    <s v=""/>
    <s v=""/>
    <s v=""/>
    <s v=""/>
    <s v=""/>
    <s v=""/>
    <s v=""/>
    <s v=""/>
    <s v=""/>
    <s v=""/>
    <s v=""/>
    <s v=""/>
    <s v=""/>
    <s v=""/>
    <s v=""/>
    <s v=""/>
    <s v="Material"/>
    <s v=""/>
    <s v=""/>
    <s v=""/>
    <s v="1001304300"/>
    <s v="HILL 61 C 1"/>
    <s v="Upstream"/>
    <s v="1046"/>
    <s v=""/>
    <s v=""/>
    <s v=""/>
    <s v=""/>
    <s v=""/>
    <s v=""/>
    <s v=""/>
    <n v="2"/>
    <s v="EA"/>
    <n v="12.42"/>
    <s v=""/>
    <n v="24.84"/>
    <s v="E-Maintenance"/>
    <s v="703921"/>
    <d v="2025-10-13T12:50:43"/>
    <s v=""/>
    <s v=""/>
    <s v="Attachment Issue"/>
    <s v=""/>
  </r>
  <r>
    <s v="1724315"/>
    <s v="Pate Trucking Company Inc."/>
    <x v="4"/>
    <s v="Casey Grigg"/>
    <s v="Aron Nunez"/>
    <s v="DRIVE TO LOC, ASST AS DIRECTED, DISP, WO"/>
    <s v="5051049"/>
    <s v="Upstream"/>
    <s v="162383"/>
    <s v="USD"/>
    <n v="600"/>
    <s v="Direct Entry"/>
    <s v="1"/>
    <s v="Vac Truck"/>
    <s v="VAC TRUCK"/>
    <s v=""/>
    <d v="2025-10-08T12:35:41"/>
    <d v="2025-09-09T06:30:00"/>
    <d v="2025-09-09T12:30:00"/>
    <d v="1899-12-30T06:00:00"/>
    <s v="KRONOS 61-7 BATTERY"/>
    <s v=""/>
    <s v=""/>
    <s v="VAC TRUCK"/>
    <s v=""/>
    <s v=""/>
    <s v=""/>
    <s v=""/>
    <s v=""/>
    <s v=""/>
    <s v=""/>
    <s v=""/>
    <s v=""/>
    <s v=""/>
    <s v=""/>
    <s v=""/>
    <s v=""/>
    <s v=""/>
    <s v=""/>
    <s v=""/>
    <s v=""/>
    <n v="0"/>
    <s v="bbl"/>
    <s v=""/>
    <s v=""/>
    <s v=""/>
    <s v=""/>
    <s v="8300118600"/>
    <s v="KRONOS 61-7 BATTERY"/>
    <s v="Upstream"/>
    <s v="1046"/>
    <s v=""/>
    <s v=""/>
    <s v=""/>
    <s v=""/>
    <s v=""/>
    <s v=""/>
    <s v="Hours Worked"/>
    <n v="6"/>
    <s v="hour"/>
    <n v="100"/>
    <s v=""/>
    <n v="600"/>
    <s v="--multiple--"/>
    <s v="708858"/>
    <d v="2025-10-10T13:19:41"/>
    <s v=""/>
    <s v=""/>
    <s v="Ticket Header Error"/>
    <s v=""/>
  </r>
  <r>
    <s v="1742029"/>
    <s v="Pate Trucking Company Inc."/>
    <x v="5"/>
    <s v="Casey Grigg"/>
    <s v="Aron Nunez"/>
    <s v="GO EMPTY, ASSIST CREW CLING TNKS"/>
    <s v="5051049"/>
    <s v="Upstream"/>
    <s v=""/>
    <s v="USD"/>
    <n v="400"/>
    <s v="Direct Entry"/>
    <s v="1"/>
    <s v="Vac Truck"/>
    <s v="VAC TRUCK"/>
    <s v=""/>
    <d v="2025-10-08T10:55:18"/>
    <d v="2025-09-17T06:00:00"/>
    <d v="2025-09-17T10:00:00"/>
    <d v="1899-12-30T04:00:00"/>
    <s v="ELIAS 16-9 BATTERY"/>
    <s v=""/>
    <s v=""/>
    <s v="VAC TRUCK"/>
    <s v=""/>
    <s v=""/>
    <s v=""/>
    <s v=""/>
    <s v=""/>
    <s v=""/>
    <s v=""/>
    <s v=""/>
    <s v=""/>
    <s v=""/>
    <s v=""/>
    <s v=""/>
    <s v=""/>
    <s v=""/>
    <s v=""/>
    <s v=""/>
    <s v=""/>
    <n v="0"/>
    <s v="bbl"/>
    <s v=""/>
    <s v=""/>
    <s v=""/>
    <s v=""/>
    <s v="8300171700"/>
    <s v="ELIAS 16-9 1 BATTERY"/>
    <s v="Upstream"/>
    <s v="1046"/>
    <s v=""/>
    <s v=""/>
    <s v=""/>
    <s v=""/>
    <s v=""/>
    <s v=""/>
    <s v="Hours Worked"/>
    <n v="4"/>
    <s v="hour"/>
    <n v="100"/>
    <s v=""/>
    <n v="400"/>
    <s v="--multiple--"/>
    <s v="708858"/>
    <d v="2025-10-08T10:56:45"/>
    <s v=""/>
    <s v=""/>
    <s v=""/>
    <s v=""/>
  </r>
  <r>
    <s v="1625259"/>
    <s v="Pate Trucking Company Inc."/>
    <x v="4"/>
    <s v="Casey Grigg"/>
    <s v="Aron Nunez"/>
    <s v="GO EMPTY/ PULL FLDS FRM HEATER TREATER"/>
    <s v="5051049"/>
    <s v="Upstream"/>
    <s v="162383"/>
    <s v="USD"/>
    <n v="600"/>
    <s v="Direct Entry"/>
    <s v="1"/>
    <s v="Vac Truck"/>
    <s v="VAC TRUCK"/>
    <s v=""/>
    <d v="2025-10-08T12:46:15"/>
    <d v="2025-09-19T05:00:00"/>
    <d v="2025-09-19T11:00:00"/>
    <d v="1899-12-30T06:00:00"/>
    <s v="KRONOS 61-7 BATTERY"/>
    <s v=""/>
    <s v=""/>
    <s v="VAC TRUCK"/>
    <s v=""/>
    <s v=""/>
    <s v=""/>
    <s v=""/>
    <s v=""/>
    <s v=""/>
    <s v=""/>
    <s v=""/>
    <s v=""/>
    <s v=""/>
    <s v=""/>
    <s v=""/>
    <s v=""/>
    <s v=""/>
    <s v=""/>
    <s v=""/>
    <s v=""/>
    <n v="0"/>
    <s v="bbl"/>
    <s v=""/>
    <s v=""/>
    <s v=""/>
    <s v=""/>
    <s v="8300118600"/>
    <s v="KRONOS 61-7 BATTERY"/>
    <s v="Upstream"/>
    <s v="1046"/>
    <s v=""/>
    <s v=""/>
    <s v=""/>
    <s v=""/>
    <s v=""/>
    <s v=""/>
    <s v="Hours Worked"/>
    <n v="6"/>
    <s v="hour"/>
    <n v="100"/>
    <s v=""/>
    <n v="600"/>
    <s v="--multiple--"/>
    <s v="708858"/>
    <d v="2025-10-10T13:14:15"/>
    <s v=""/>
    <s v=""/>
    <s v="Ticket Header Error"/>
    <s v=""/>
  </r>
  <r>
    <s v="1001983"/>
    <s v="B-P Supply Inc"/>
    <x v="3"/>
    <s v="Casey Grigg"/>
    <s v="Aron Nunez"/>
    <s v="PARTS ORDERED BY IVAN GONZALEZ - BLAGRAVE 54-59 BATTERY"/>
    <s v="5051049"/>
    <s v="Upstream"/>
    <s v="159118"/>
    <s v="USD"/>
    <n v="1274.04"/>
    <s v="B2B"/>
    <s v="1"/>
    <s v="0051T-36-FWA-DAC"/>
    <s v="36 FWA 60# TREATER VLV"/>
    <s v="Other"/>
    <d v="2025-09-25T10:05:09"/>
    <d v="2025-09-23T00:00:00"/>
    <d v="2025-09-23T00:00:00"/>
    <s v=""/>
    <s v=""/>
    <s v=""/>
    <s v=""/>
    <s v=""/>
    <s v=""/>
    <s v=""/>
    <s v=""/>
    <s v=""/>
    <s v=""/>
    <s v=""/>
    <s v=""/>
    <s v=""/>
    <s v=""/>
    <s v=""/>
    <s v=""/>
    <s v=""/>
    <s v=""/>
    <s v=""/>
    <s v=""/>
    <s v=""/>
    <s v=""/>
    <s v=""/>
    <s v=""/>
    <s v="Material"/>
    <s v=""/>
    <s v=""/>
    <s v=""/>
    <s v="8300080900"/>
    <s v="BLAGRAVE 54-59 BATTERY"/>
    <s v="Upstream"/>
    <s v="1046"/>
    <s v=""/>
    <s v=""/>
    <s v=""/>
    <s v=""/>
    <s v=""/>
    <s v=""/>
    <s v=""/>
    <n v="1"/>
    <s v="EA"/>
    <n v="1242.92"/>
    <s v=""/>
    <n v="1242.92"/>
    <s v="--multiple--"/>
    <s v="705219"/>
    <d v="2025-10-13T12:15:40"/>
    <s v=""/>
    <s v=""/>
    <s v="Attachment Issue"/>
    <s v=""/>
  </r>
  <r>
    <s v="1002189"/>
    <s v="B-P Supply Inc"/>
    <x v="4"/>
    <s v="Casey Grigg"/>
    <s v="Aron Nunez"/>
    <s v="PARTS ORDERED BY CASEY GRIGG - WATKINS 7 1 BATTERY"/>
    <s v="5051022"/>
    <s v="Upstream"/>
    <s v="159381"/>
    <s v="USD"/>
    <n v="146.34"/>
    <s v="B2B"/>
    <s v="1"/>
    <s v="0213-WRAP-12"/>
    <s v="3M 2&quot; X 100' BLACK PIPE WRAP TAPE"/>
    <s v="Other"/>
    <d v="2025-09-29T14:54:16"/>
    <d v="2025-09-24T00:00:00"/>
    <d v="2025-09-24T00:00:00"/>
    <s v=""/>
    <s v=""/>
    <s v=""/>
    <s v=""/>
    <s v=""/>
    <s v=""/>
    <s v=""/>
    <s v=""/>
    <s v=""/>
    <s v=""/>
    <s v=""/>
    <s v=""/>
    <s v=""/>
    <s v=""/>
    <s v=""/>
    <s v=""/>
    <s v=""/>
    <s v=""/>
    <s v=""/>
    <s v=""/>
    <s v=""/>
    <s v=""/>
    <s v=""/>
    <s v=""/>
    <s v="Material"/>
    <s v=""/>
    <s v=""/>
    <s v=""/>
    <s v="8300164900"/>
    <s v="WATKINS 7 1 BATTERY"/>
    <s v="Upstream"/>
    <s v="1046"/>
    <s v=""/>
    <s v=""/>
    <s v=""/>
    <s v=""/>
    <s v=""/>
    <s v=""/>
    <s v=""/>
    <n v="4"/>
    <s v="EA"/>
    <n v="20.48"/>
    <s v=""/>
    <n v="81.91"/>
    <s v="--multiple--"/>
    <s v="705219"/>
    <d v="2025-10-10T10:34:27"/>
    <s v=""/>
    <s v=""/>
    <s v=""/>
    <s v=""/>
  </r>
  <r>
    <s v="1002377"/>
    <s v="B-P Supply Inc"/>
    <x v="4"/>
    <s v="Casey Grigg"/>
    <s v="Aron Nunez"/>
    <s v="PARTS ORDERED BY CASEY GRIGG - ZEUS 7-6 BATTERY"/>
    <s v="5051049"/>
    <s v="Upstream"/>
    <s v="143292"/>
    <s v="USD"/>
    <n v="757.68"/>
    <s v="B2B"/>
    <s v="1"/>
    <s v="SPECIALORDER"/>
    <s v="GROOVING CHARGE FOR 8&quot; PIPE"/>
    <s v=""/>
    <d v="2025-09-29T14:54:49"/>
    <d v="2025-09-25T00:00:00"/>
    <d v="2025-09-25T00:00:00"/>
    <s v=""/>
    <s v=""/>
    <s v=""/>
    <s v=""/>
    <s v=""/>
    <s v=""/>
    <s v=""/>
    <s v=""/>
    <s v=""/>
    <s v=""/>
    <s v=""/>
    <s v=""/>
    <s v=""/>
    <s v=""/>
    <s v=""/>
    <s v=""/>
    <s v=""/>
    <s v=""/>
    <s v=""/>
    <s v=""/>
    <s v=""/>
    <s v=""/>
    <s v=""/>
    <s v=""/>
    <s v="Material"/>
    <s v=""/>
    <s v=""/>
    <s v=""/>
    <s v="8300170300"/>
    <s v="ZEUS 7-6 BATTERY"/>
    <s v="Upstream"/>
    <s v="1046"/>
    <s v=""/>
    <s v=""/>
    <s v=""/>
    <s v=""/>
    <s v=""/>
    <s v=""/>
    <s v=""/>
    <n v="3"/>
    <s v="EA"/>
    <n v="252.56"/>
    <s v=""/>
    <n v="757.68"/>
    <s v="--multiple--"/>
    <s v="705219"/>
    <d v="2025-10-10T12:33:33"/>
    <s v=""/>
    <s v=""/>
    <s v=""/>
    <s v=""/>
  </r>
  <r>
    <s v="1625273"/>
    <s v="Pate Trucking Company Inc."/>
    <x v="4"/>
    <s v="Casey Grigg"/>
    <s v="Aron Nunez"/>
    <s v="WRK AS DIRECTED/ WASH TNKS"/>
    <s v="5051049"/>
    <s v="Upstream"/>
    <s v="166961"/>
    <s v="USD"/>
    <n v="1175"/>
    <s v="Direct Entry"/>
    <s v="1"/>
    <s v="Vac Truck"/>
    <s v="VAC TRUCK"/>
    <s v=""/>
    <d v="2025-10-08T14:27:44"/>
    <d v="2025-09-26T06:30:00"/>
    <d v="2025-09-26T18:15:00"/>
    <d v="1899-12-30T11:45:00"/>
    <s v="KRONOS 61-7 BATTERY"/>
    <s v=""/>
    <s v=""/>
    <s v="VAC TRUCK"/>
    <s v=""/>
    <s v=""/>
    <s v=""/>
    <s v=""/>
    <s v=""/>
    <s v=""/>
    <s v=""/>
    <s v=""/>
    <s v=""/>
    <s v=""/>
    <s v=""/>
    <s v=""/>
    <s v=""/>
    <s v=""/>
    <s v=""/>
    <s v=""/>
    <s v=""/>
    <n v="0"/>
    <s v="bbl"/>
    <s v=""/>
    <s v=""/>
    <s v=""/>
    <s v=""/>
    <s v="8300118600"/>
    <s v="KRONOS 61-7 BATTERY"/>
    <s v="Upstream"/>
    <s v="1046"/>
    <s v=""/>
    <s v=""/>
    <s v=""/>
    <s v=""/>
    <s v=""/>
    <s v=""/>
    <s v="Hours Worked"/>
    <n v="11.75"/>
    <s v="hour"/>
    <n v="100"/>
    <s v=""/>
    <n v="1175"/>
    <s v="--multiple--"/>
    <s v="708858"/>
    <d v="2025-10-10T13:14:56"/>
    <s v=""/>
    <s v=""/>
    <s v="Ticket Header Error"/>
    <s v=""/>
  </r>
  <r>
    <s v="1002671"/>
    <s v="B-P Supply Inc"/>
    <x v="6"/>
    <s v="Casey Grigg"/>
    <s v="Aron Nunez"/>
    <s v="PARTS ORDERED BY EFRAIN LOPEZ - KRONOS 61-7 (1) BATTERY"/>
    <s v="5051049"/>
    <s v="Upstream"/>
    <s v="166961"/>
    <s v="USD"/>
    <n v="33.85"/>
    <s v="B2B"/>
    <s v="1"/>
    <s v="0049-753"/>
    <s v="BALL JOINT ASSEMBLY (KNUCKLE JOINT)"/>
    <s v="Other"/>
    <d v="2025-10-07T15:14:22"/>
    <d v="2025-09-29T00:00:00"/>
    <d v="2025-09-29T00:00:00"/>
    <s v=""/>
    <s v=""/>
    <s v=""/>
    <s v=""/>
    <s v=""/>
    <s v=""/>
    <s v=""/>
    <s v=""/>
    <s v=""/>
    <s v=""/>
    <s v=""/>
    <s v=""/>
    <s v=""/>
    <s v=""/>
    <s v=""/>
    <s v=""/>
    <s v=""/>
    <s v=""/>
    <s v=""/>
    <s v=""/>
    <s v=""/>
    <s v=""/>
    <s v=""/>
    <s v=""/>
    <s v="Material"/>
    <s v=""/>
    <s v=""/>
    <s v=""/>
    <s v="8300118600"/>
    <s v="KRONOS 61-7 BATTERY"/>
    <s v="Upstream"/>
    <s v="1046"/>
    <s v=""/>
    <s v=""/>
    <s v=""/>
    <s v=""/>
    <s v=""/>
    <s v=""/>
    <s v=""/>
    <n v="2"/>
    <s v="EA"/>
    <n v="16.93"/>
    <s v=""/>
    <n v="33.85"/>
    <s v="--multiple--"/>
    <s v="705219"/>
    <d v="2025-10-13T14:17:46"/>
    <s v=""/>
    <s v=""/>
    <s v=""/>
    <s v=""/>
  </r>
  <r>
    <s v="1002640"/>
    <s v="B-P Supply Inc"/>
    <x v="5"/>
    <s v="Casey Grigg"/>
    <s v="Aron Nunez"/>
    <s v="PARTS ORDERED BY AMTONY CASTRO - CYPERT/FROMAN BATTERY"/>
    <s v="5051049"/>
    <s v="Upstream"/>
    <s v="167684"/>
    <s v="USD"/>
    <n v="51.91"/>
    <s v="B2B"/>
    <s v="1"/>
    <s v="0075-12-200-Z"/>
    <s v="2&quot; FIG 200 UNION F/PC"/>
    <s v="Other"/>
    <d v="2025-10-07T15:14:33"/>
    <d v="2025-09-29T00:00:00"/>
    <d v="2025-09-29T00:00:00"/>
    <s v=""/>
    <s v=""/>
    <s v=""/>
    <s v=""/>
    <s v=""/>
    <s v=""/>
    <s v=""/>
    <s v=""/>
    <s v=""/>
    <s v=""/>
    <s v=""/>
    <s v=""/>
    <s v=""/>
    <s v=""/>
    <s v=""/>
    <s v=""/>
    <s v=""/>
    <s v=""/>
    <s v=""/>
    <s v=""/>
    <s v=""/>
    <s v=""/>
    <s v=""/>
    <s v=""/>
    <s v="Material"/>
    <s v=""/>
    <s v=""/>
    <s v=""/>
    <s v="8300093200"/>
    <s v="CYPERT FROMAN BATTERY"/>
    <s v="Upstream"/>
    <s v="1046"/>
    <s v=""/>
    <s v=""/>
    <s v=""/>
    <s v=""/>
    <s v=""/>
    <s v=""/>
    <s v=""/>
    <n v="1"/>
    <s v="EA"/>
    <n v="26.94"/>
    <s v=""/>
    <n v="26.94"/>
    <s v="--multiple--"/>
    <s v="705219"/>
    <d v="2025-10-13T13:05:12"/>
    <s v=""/>
    <s v=""/>
    <s v=""/>
    <s v=""/>
  </r>
  <r>
    <s v="1002706"/>
    <s v="B-P Supply Inc"/>
    <x v="5"/>
    <s v="Casey Grigg"/>
    <s v="Aron Nunez"/>
    <s v="PARTS ORDERED BY ANTONY CASTRO - HILL 61E 1"/>
    <s v="5051049"/>
    <s v="Upstream"/>
    <s v="1677799"/>
    <s v="USD"/>
    <n v="221.8"/>
    <s v="B2B"/>
    <s v="1"/>
    <s v="0103-12-S80"/>
    <s v="2&quot; SCH80 X 21' T&amp;C PIPE SRL"/>
    <s v="Other"/>
    <d v="2025-10-07T15:16:37"/>
    <d v="2025-09-29T00:00:00"/>
    <d v="2025-09-29T00:00:00"/>
    <s v=""/>
    <s v=""/>
    <s v=""/>
    <s v=""/>
    <s v=""/>
    <s v=""/>
    <s v=""/>
    <s v=""/>
    <s v=""/>
    <s v=""/>
    <s v=""/>
    <s v=""/>
    <s v=""/>
    <s v=""/>
    <s v=""/>
    <s v=""/>
    <s v=""/>
    <s v=""/>
    <s v=""/>
    <s v=""/>
    <s v=""/>
    <s v=""/>
    <s v=""/>
    <s v=""/>
    <s v="Material"/>
    <s v=""/>
    <s v=""/>
    <s v=""/>
    <s v="1001366800"/>
    <s v="HILL 61 E 1"/>
    <s v="Upstream"/>
    <s v="1046"/>
    <s v=""/>
    <s v=""/>
    <s v=""/>
    <s v=""/>
    <s v=""/>
    <s v=""/>
    <s v=""/>
    <n v="1"/>
    <s v="EA"/>
    <n v="197.72"/>
    <s v=""/>
    <n v="197.72"/>
    <s v="--multiple--"/>
    <s v="705219"/>
    <d v="2025-10-13T14:22:00"/>
    <s v=""/>
    <s v=""/>
    <s v=""/>
    <s v=""/>
  </r>
  <r>
    <s v="52299"/>
    <s v="TCC Sandblasting &amp; Coating"/>
    <x v="3"/>
    <s v="Casey Grigg"/>
    <s v="Aron Nunez"/>
    <s v="TCC provided safety for roustabout crew with respiratory protection while crew cleaned out PRV's on oil tank 1 and 2"/>
    <s v="5051049"/>
    <s v="Upstream"/>
    <s v="166961"/>
    <s v="USD"/>
    <n v="704"/>
    <s v="Direct Entry"/>
    <s v="1"/>
    <s v="Air Trailer - Daily"/>
    <s v="Air Trailer - Daily"/>
    <s v=""/>
    <d v="2025-10-09T12:40:59"/>
    <d v="2025-09-29T06:30:00"/>
    <d v="2025-09-29T12:00:00"/>
    <s v=""/>
    <s v=""/>
    <s v=""/>
    <s v=""/>
    <s v=""/>
    <s v=""/>
    <s v=""/>
    <s v=""/>
    <s v=""/>
    <s v=""/>
    <s v=""/>
    <s v=""/>
    <s v=""/>
    <s v=""/>
    <s v=""/>
    <s v=""/>
    <s v=""/>
    <s v=""/>
    <s v=""/>
    <s v=""/>
    <s v=""/>
    <s v=""/>
    <s v=""/>
    <s v=""/>
    <s v="Equipment"/>
    <s v=""/>
    <s v=""/>
    <s v=""/>
    <s v="8300118600"/>
    <s v="KRONOS 61-7 BATTERY"/>
    <s v="Upstream"/>
    <s v="1046"/>
    <s v=""/>
    <s v=""/>
    <s v=""/>
    <s v=""/>
    <s v=""/>
    <s v=""/>
    <s v=""/>
    <n v="1"/>
    <s v="Day"/>
    <n v="175"/>
    <s v=""/>
    <n v="175"/>
    <s v="--multiple--"/>
    <s v="704988"/>
    <d v="2025-10-13T11:54:19"/>
    <s v=""/>
    <s v=""/>
    <s v="Service Date/Time Issue"/>
    <s v=""/>
  </r>
  <r>
    <s v="1002806"/>
    <s v="B-P Supply Inc"/>
    <x v="6"/>
    <s v="Casey Grigg"/>
    <s v="Aron Nunez"/>
    <s v="PARTS ORDERED BY ANTONY CASTRO - KRAKEN 10-3 BATTERY"/>
    <s v="5051049"/>
    <s v="Upstream"/>
    <s v="158921"/>
    <s v="USD"/>
    <n v="404.85"/>
    <s v="B2B"/>
    <s v="1"/>
    <s v="0100-21-E"/>
    <s v="8&quot; 150# FLEXSEAL GASKET"/>
    <s v="Other"/>
    <d v="2025-10-07T15:16:28"/>
    <d v="2025-09-30T00:00:00"/>
    <d v="2025-09-30T00:00:00"/>
    <s v=""/>
    <s v=""/>
    <s v=""/>
    <s v=""/>
    <s v=""/>
    <s v=""/>
    <s v=""/>
    <s v=""/>
    <s v=""/>
    <s v=""/>
    <s v=""/>
    <s v=""/>
    <s v=""/>
    <s v=""/>
    <s v=""/>
    <s v=""/>
    <s v=""/>
    <s v=""/>
    <s v=""/>
    <s v=""/>
    <s v=""/>
    <s v=""/>
    <s v=""/>
    <s v=""/>
    <s v="Material"/>
    <s v=""/>
    <s v=""/>
    <s v=""/>
    <s v="8300187800"/>
    <s v="KRAKEN 10-3 BATTERY"/>
    <s v="Upstream"/>
    <s v="1046"/>
    <s v=""/>
    <s v=""/>
    <s v=""/>
    <s v=""/>
    <s v=""/>
    <s v=""/>
    <s v=""/>
    <n v="6"/>
    <s v="EA"/>
    <n v="12.2"/>
    <s v=""/>
    <n v="73.2"/>
    <s v="--multiple--"/>
    <s v="705219"/>
    <d v="2025-10-13T15:55:49"/>
    <s v=""/>
    <s v=""/>
    <s v=""/>
    <s v=""/>
  </r>
  <r>
    <s v="54460"/>
    <s v="TCC Sandblasting &amp; Coating"/>
    <x v="6"/>
    <s v="Casey Grigg"/>
    <s v="Aron Nunez"/>
    <s v="Picked up forklift from yard and delivered to location"/>
    <s v="5051027"/>
    <s v="Upstream"/>
    <s v="163160"/>
    <s v="USD"/>
    <n v="1017.5"/>
    <s v="Direct Entry"/>
    <s v="1"/>
    <s v="Haul Truck - Lowboy"/>
    <s v="Haul Truck - Lowboy"/>
    <s v=""/>
    <d v="2025-10-07T13:37:53"/>
    <d v="2025-10-02T07:15:00"/>
    <d v="2025-10-02T12:45:00"/>
    <s v=""/>
    <s v=""/>
    <s v=""/>
    <s v=""/>
    <s v=""/>
    <s v=""/>
    <s v=""/>
    <s v=""/>
    <s v=""/>
    <s v=""/>
    <s v=""/>
    <s v=""/>
    <s v=""/>
    <s v=""/>
    <s v=""/>
    <s v=""/>
    <s v=""/>
    <s v=""/>
    <s v=""/>
    <s v=""/>
    <s v=""/>
    <s v=""/>
    <s v=""/>
    <s v=""/>
    <s v="Equipment"/>
    <s v=""/>
    <s v=""/>
    <s v=""/>
    <s v="8300113000"/>
    <s v="HYDRA 45-4 1 BATTERY"/>
    <s v="Upstream"/>
    <s v="1046"/>
    <s v=""/>
    <s v=""/>
    <s v=""/>
    <s v=""/>
    <s v=""/>
    <s v=""/>
    <s v=""/>
    <n v="5.5"/>
    <s v="HR"/>
    <n v="185"/>
    <s v=""/>
    <n v="1017.5"/>
    <s v="--multiple--"/>
    <s v="704988"/>
    <d v="2025-10-13T14:45:18"/>
    <s v=""/>
    <s v=""/>
    <s v="Electronic Field Ticket Issue | Attachment Issue"/>
    <s v=""/>
  </r>
  <r>
    <s v="117368"/>
    <s v="ProLift Rigging Company LLC"/>
    <x v="1"/>
    <s v="Casey Grigg"/>
    <s v="Aron Nunez"/>
    <s v="Travel to location, spot crane, move tank, set tank, rig down, return to PLR yard, post trip, end time."/>
    <s v="5051049"/>
    <s v="Upstream"/>
    <s v="165736"/>
    <s v="USD"/>
    <n v="3605"/>
    <s v="Direct Entry"/>
    <s v="1"/>
    <s v=""/>
    <s v="Rigger Hourly Rate"/>
    <s v="Drilling Services, Exploration, &amp; Wellwork"/>
    <d v="2025-10-07T12:14:31"/>
    <d v="2025-10-02T14:00:00"/>
    <d v="2025-10-02T20:00:00"/>
    <s v=""/>
    <s v="Shockley 9"/>
    <s v=""/>
    <s v=""/>
    <s v=""/>
    <s v=""/>
    <s v=""/>
    <s v=""/>
    <s v=""/>
    <s v=""/>
    <s v=""/>
    <s v=""/>
    <s v=""/>
    <s v=""/>
    <s v=""/>
    <s v=""/>
    <s v=""/>
    <s v=""/>
    <s v=""/>
    <s v=""/>
    <s v=""/>
    <s v=""/>
    <s v=""/>
    <s v=""/>
    <s v="Labor"/>
    <s v="Copeland, Caleb"/>
    <s v=""/>
    <s v=""/>
    <s v="8300197400"/>
    <s v="SHOCKLEY 9 BATTERY"/>
    <s v="Upstream"/>
    <s v="1046"/>
    <s v=""/>
    <s v=""/>
    <s v=""/>
    <s v=""/>
    <s v=""/>
    <s v=""/>
    <s v=""/>
    <n v="6"/>
    <s v="HR"/>
    <n v="100"/>
    <s v=""/>
    <n v="600"/>
    <s v=""/>
    <s v="713009"/>
    <d v="2025-10-07T12:18:18"/>
    <s v=""/>
    <s v=""/>
    <s v=""/>
    <s v=""/>
  </r>
  <r>
    <s v="53722"/>
    <s v="TCC Sandblasting &amp; Coating"/>
    <x v="6"/>
    <s v="Casey Grigg"/>
    <s v="Aron Nunez"/>
    <s v="Put insulation on the kim rays, dump valves, and regulators"/>
    <s v="5051022"/>
    <s v="Upstream"/>
    <s v="168947"/>
    <s v="USD"/>
    <n v="422.5"/>
    <s v="Direct Entry"/>
    <s v="1"/>
    <s v="3-Man Roustabout w/Truck"/>
    <s v="3-Man Roustabout w/Truck"/>
    <s v=""/>
    <d v="2025-10-09T08:52:33"/>
    <d v="2025-10-03T10:00:00"/>
    <d v="2025-10-03T13:15:00"/>
    <s v=""/>
    <s v=""/>
    <s v=""/>
    <s v=""/>
    <s v=""/>
    <s v=""/>
    <s v=""/>
    <s v=""/>
    <s v=""/>
    <s v=""/>
    <s v=""/>
    <s v=""/>
    <s v=""/>
    <s v=""/>
    <s v=""/>
    <s v=""/>
    <s v=""/>
    <s v=""/>
    <s v=""/>
    <s v=""/>
    <s v=""/>
    <s v=""/>
    <s v=""/>
    <s v=""/>
    <s v="Labor"/>
    <s v=""/>
    <s v=""/>
    <s v=""/>
    <s v="8300197400"/>
    <s v="SHOCKLEY 9 BATTERY"/>
    <s v="Upstream"/>
    <s v="1046"/>
    <s v=""/>
    <s v=""/>
    <s v=""/>
    <s v=""/>
    <s v=""/>
    <s v=""/>
    <s v=""/>
    <n v="3.25"/>
    <s v="HR"/>
    <n v="130"/>
    <s v=""/>
    <n v="422.5"/>
    <s v="--multiple--"/>
    <s v="704988"/>
    <d v="2025-10-09T11:45:48"/>
    <s v=""/>
    <s v=""/>
    <s v=""/>
    <s v=""/>
  </r>
  <r>
    <s v="53723"/>
    <s v="TCC Sandblasting &amp; Coating"/>
    <x v="6"/>
    <s v="Casey Grigg"/>
    <s v="Aron Nunez"/>
    <s v="Put insulation on the kim rays, dump valves, and regulators"/>
    <s v="5051022"/>
    <s v="Upstream"/>
    <s v="168946"/>
    <s v="USD"/>
    <n v="390"/>
    <s v="Direct Entry"/>
    <s v="1"/>
    <s v="3-Man Roustabout w/Truck"/>
    <s v="3-Man Roustabout w/Truck"/>
    <s v=""/>
    <d v="2025-10-09T08:53:54"/>
    <d v="2025-10-03T13:30:00"/>
    <d v="2025-10-03T16:15:00"/>
    <s v=""/>
    <s v=""/>
    <s v=""/>
    <s v=""/>
    <s v=""/>
    <s v=""/>
    <s v=""/>
    <s v=""/>
    <s v=""/>
    <s v=""/>
    <s v=""/>
    <s v=""/>
    <s v=""/>
    <s v=""/>
    <s v=""/>
    <s v=""/>
    <s v=""/>
    <s v=""/>
    <s v=""/>
    <s v=""/>
    <s v=""/>
    <s v=""/>
    <s v=""/>
    <s v=""/>
    <s v="Labor"/>
    <s v=""/>
    <s v=""/>
    <s v=""/>
    <s v="8300151200"/>
    <s v="SHAW FARMS BATTERY"/>
    <s v="Upstream"/>
    <s v="1046"/>
    <s v=""/>
    <s v=""/>
    <s v=""/>
    <s v=""/>
    <s v=""/>
    <s v=""/>
    <s v=""/>
    <n v="3"/>
    <s v="HR"/>
    <n v="130"/>
    <s v=""/>
    <n v="390"/>
    <s v="--multiple--"/>
    <s v="704988"/>
    <d v="2025-10-09T11:45:47"/>
    <s v=""/>
    <s v=""/>
    <s v=""/>
    <s v=""/>
  </r>
  <r>
    <s v="53724"/>
    <s v="TCC Sandblasting &amp; Coating"/>
    <x v="3"/>
    <s v="Casey Grigg"/>
    <s v="Aron Nunez"/>
    <s v="Replaced the water inlet pipe and the 90 degree clamp"/>
    <s v="5051049"/>
    <s v="Upstream"/>
    <s v="169613"/>
    <s v="USD"/>
    <n v="877.5"/>
    <s v="Direct Entry"/>
    <s v="1"/>
    <s v="3-Man Roustabout w/Truck"/>
    <s v="3-Man Roustabout w/Truck"/>
    <s v=""/>
    <d v="2025-10-09T08:57:14"/>
    <d v="2025-10-04T06:30:00"/>
    <d v="2025-10-04T13:15:00"/>
    <s v=""/>
    <s v=""/>
    <s v=""/>
    <s v=""/>
    <s v=""/>
    <s v=""/>
    <s v=""/>
    <s v=""/>
    <s v=""/>
    <s v=""/>
    <s v=""/>
    <s v=""/>
    <s v=""/>
    <s v=""/>
    <s v=""/>
    <s v=""/>
    <s v=""/>
    <s v=""/>
    <s v=""/>
    <s v=""/>
    <s v=""/>
    <s v=""/>
    <s v=""/>
    <s v=""/>
    <s v="Labor"/>
    <s v=""/>
    <s v=""/>
    <s v=""/>
    <s v="1001378400"/>
    <s v="HARPER-BAYES 16 1"/>
    <s v="Upstream"/>
    <s v="1046"/>
    <s v=""/>
    <s v=""/>
    <s v=""/>
    <s v=""/>
    <s v=""/>
    <s v=""/>
    <s v=""/>
    <n v="6.75"/>
    <s v="HR"/>
    <n v="130"/>
    <s v=""/>
    <n v="877.5"/>
    <s v="--multiple--"/>
    <s v="704988"/>
    <d v="2025-10-13T09:21:05"/>
    <s v=""/>
    <s v=""/>
    <s v="Service Date/Time Issue"/>
    <s v=""/>
  </r>
  <r>
    <s v="53727"/>
    <s v="TCC Sandblasting &amp; Coating"/>
    <x v="6"/>
    <s v="Casey Grigg"/>
    <s v="Aron Nunez"/>
    <s v="Insulated kim rays, regulators and dump valves"/>
    <s v="5051022"/>
    <s v="Upstream"/>
    <s v="168948"/>
    <s v="USD"/>
    <n v="455"/>
    <s v="Direct Entry"/>
    <s v="1"/>
    <s v="3-Man Roustabout w/Truck"/>
    <s v="3-Man Roustabout w/Truck"/>
    <s v=""/>
    <d v="2025-10-09T09:05:42"/>
    <d v="2025-10-06T13:15:00"/>
    <d v="2025-10-06T17:00:00"/>
    <s v=""/>
    <s v=""/>
    <s v=""/>
    <s v=""/>
    <s v=""/>
    <s v=""/>
    <s v=""/>
    <s v=""/>
    <s v=""/>
    <s v=""/>
    <s v=""/>
    <s v=""/>
    <s v=""/>
    <s v=""/>
    <s v=""/>
    <s v=""/>
    <s v=""/>
    <s v=""/>
    <s v=""/>
    <s v=""/>
    <s v=""/>
    <s v=""/>
    <s v=""/>
    <s v=""/>
    <s v="Labor"/>
    <s v=""/>
    <s v=""/>
    <s v=""/>
    <s v="8300197600"/>
    <s v="SHOCKLEY 9A-5 BATTERY"/>
    <s v="Upstream"/>
    <s v="1046"/>
    <s v=""/>
    <s v=""/>
    <s v=""/>
    <s v=""/>
    <s v=""/>
    <s v=""/>
    <s v=""/>
    <n v="3.5"/>
    <s v="HR"/>
    <n v="130"/>
    <s v=""/>
    <n v="455"/>
    <s v="--multiple--"/>
    <s v="704988"/>
    <d v="2025-10-09T11:45:42"/>
    <s v=""/>
    <s v=""/>
    <s v=""/>
    <s v=""/>
  </r>
  <r>
    <s v="53728"/>
    <s v="TCC Sandblasting &amp; Coating"/>
    <x v="6"/>
    <s v="Casey Grigg"/>
    <s v="Aron Nunez"/>
    <s v="Insulated kim rays, regulators and dump valves"/>
    <s v="5051022"/>
    <s v="Upstream"/>
    <s v="168951"/>
    <s v="USD"/>
    <n v="520"/>
    <s v="Direct Entry"/>
    <s v="1"/>
    <s v="3-Man Roustabout w/Truck"/>
    <s v="3-Man Roustabout w/Truck"/>
    <s v=""/>
    <d v="2025-10-09T09:09:39"/>
    <d v="2025-10-07T06:15:00"/>
    <d v="2025-10-07T10:15:00"/>
    <s v=""/>
    <s v=""/>
    <s v=""/>
    <s v=""/>
    <s v=""/>
    <s v=""/>
    <s v=""/>
    <s v=""/>
    <s v=""/>
    <s v=""/>
    <s v=""/>
    <s v=""/>
    <s v=""/>
    <s v=""/>
    <s v=""/>
    <s v=""/>
    <s v=""/>
    <s v=""/>
    <s v=""/>
    <s v=""/>
    <s v=""/>
    <s v=""/>
    <s v=""/>
    <s v=""/>
    <s v="Labor"/>
    <s v=""/>
    <s v=""/>
    <s v=""/>
    <s v="8300197500"/>
    <s v="SHOCKLEY 9A BATTERY"/>
    <s v="Upstream"/>
    <s v="1046"/>
    <s v=""/>
    <s v=""/>
    <s v=""/>
    <s v=""/>
    <s v=""/>
    <s v=""/>
    <s v=""/>
    <n v="4"/>
    <s v="HR"/>
    <n v="130"/>
    <s v=""/>
    <n v="520"/>
    <s v="--multiple--"/>
    <s v="704988"/>
    <d v="2025-10-09T11:45:40"/>
    <s v=""/>
    <s v=""/>
    <s v=""/>
    <s v=""/>
  </r>
  <r>
    <s v="1719140"/>
    <s v="Pate Trucking Company Inc."/>
    <x v="4"/>
    <s v="Casey Grigg"/>
    <s v="Aron Nunez"/>
    <s v="PULL FLDS, HAUL 10BBLS TO DISP, WO"/>
    <s v="5051049"/>
    <s v="Upstream"/>
    <s v="143292"/>
    <s v="USD"/>
    <n v="1100"/>
    <s v="Direct Entry"/>
    <s v="1"/>
    <s v="Vac Truck"/>
    <s v="VAC TRUCK"/>
    <s v=""/>
    <d v="2025-10-11T10:03:34"/>
    <d v="2025-10-07T09:00:00"/>
    <d v="2025-10-07T20:00:00"/>
    <d v="1899-12-30T11:00:00"/>
    <s v="ZEUS 7-6 UNIT 1 BATTERY"/>
    <s v=""/>
    <s v=""/>
    <s v="VAC TRUCK"/>
    <s v=""/>
    <s v=""/>
    <s v=""/>
    <s v=""/>
    <s v=""/>
    <s v=""/>
    <s v=""/>
    <s v=""/>
    <s v=""/>
    <s v=""/>
    <s v=""/>
    <s v=""/>
    <s v=""/>
    <s v=""/>
    <s v=""/>
    <s v=""/>
    <s v=""/>
    <n v="0"/>
    <s v="bbl"/>
    <s v=""/>
    <s v=""/>
    <s v=""/>
    <s v=""/>
    <s v="8300170300"/>
    <s v="ZEUS 7-6 BATTERY"/>
    <s v="Upstream"/>
    <s v="1046"/>
    <s v=""/>
    <s v=""/>
    <s v=""/>
    <s v=""/>
    <s v=""/>
    <s v=""/>
    <s v="Hours Worked"/>
    <n v="11"/>
    <s v="hour"/>
    <n v="100"/>
    <s v=""/>
    <n v="1100"/>
    <s v="--multiple--"/>
    <s v="708858"/>
    <d v="2025-10-11T10:07:06"/>
    <s v=""/>
    <s v=""/>
    <s v=""/>
    <s v=""/>
  </r>
  <r>
    <s v="53729"/>
    <s v="TCC Sandblasting &amp; Coating"/>
    <x v="6"/>
    <s v="Casey Grigg"/>
    <s v="Aron Nunez"/>
    <s v="Insulated kim rays, regulators and dump valves"/>
    <s v="5051022"/>
    <s v="Upstream"/>
    <s v="168952"/>
    <s v="USD"/>
    <n v="357.5"/>
    <s v="Direct Entry"/>
    <s v="1"/>
    <s v="3-Man Roustabout w/Truck"/>
    <s v="3-Man Roustabout w/Truck"/>
    <s v=""/>
    <d v="2025-10-09T09:10:57"/>
    <d v="2025-10-07T10:30:00"/>
    <d v="2025-10-07T13:15:00"/>
    <s v=""/>
    <s v=""/>
    <s v=""/>
    <s v=""/>
    <s v=""/>
    <s v=""/>
    <s v=""/>
    <s v=""/>
    <s v=""/>
    <s v=""/>
    <s v=""/>
    <s v=""/>
    <s v=""/>
    <s v=""/>
    <s v=""/>
    <s v=""/>
    <s v=""/>
    <s v=""/>
    <s v=""/>
    <s v=""/>
    <s v=""/>
    <s v=""/>
    <s v=""/>
    <s v=""/>
    <s v="Labor"/>
    <s v=""/>
    <s v=""/>
    <s v=""/>
    <s v="8300151100"/>
    <s v="SHAW FARMS 5 BATTERY"/>
    <s v="Upstream"/>
    <s v="1046"/>
    <s v=""/>
    <s v=""/>
    <s v=""/>
    <s v=""/>
    <s v=""/>
    <s v=""/>
    <s v=""/>
    <n v="2.75"/>
    <s v="HR"/>
    <n v="130"/>
    <s v=""/>
    <n v="357.5"/>
    <s v="--multiple--"/>
    <s v="704988"/>
    <d v="2025-10-09T11:45:38"/>
    <s v=""/>
    <s v=""/>
    <s v=""/>
    <s v=""/>
  </r>
  <r>
    <s v="53735"/>
    <s v="TCC Sandblasting &amp; Coating"/>
    <x v="6"/>
    <s v="Casey Grigg"/>
    <s v="Aron Nunez"/>
    <s v="Insulated kim rays, dump valves, fuel pot, and regulator"/>
    <s v="5051022"/>
    <s v="Upstream"/>
    <s v="168961"/>
    <s v="USD"/>
    <n v="520"/>
    <s v="Direct Entry"/>
    <s v="1"/>
    <s v="3-Man Roustabout w/Truck"/>
    <s v="3-Man Roustabout w/Truck"/>
    <s v=""/>
    <d v="2025-10-10T09:18:20"/>
    <d v="2025-10-09T06:15:00"/>
    <d v="2025-10-09T10:15:00"/>
    <s v=""/>
    <s v=""/>
    <s v=""/>
    <s v=""/>
    <s v=""/>
    <s v=""/>
    <s v=""/>
    <s v=""/>
    <s v=""/>
    <s v=""/>
    <s v=""/>
    <s v=""/>
    <s v=""/>
    <s v=""/>
    <s v=""/>
    <s v=""/>
    <s v=""/>
    <s v=""/>
    <s v=""/>
    <s v=""/>
    <s v=""/>
    <s v=""/>
    <s v=""/>
    <s v=""/>
    <s v="Labor"/>
    <s v=""/>
    <s v=""/>
    <s v=""/>
    <s v="8300097600"/>
    <s v="ELLSBERRY 64A 1 BATTERY"/>
    <s v="Upstream"/>
    <s v="1046"/>
    <s v=""/>
    <s v=""/>
    <s v=""/>
    <s v=""/>
    <s v=""/>
    <s v=""/>
    <s v=""/>
    <n v="4"/>
    <s v="HR"/>
    <n v="130"/>
    <s v=""/>
    <n v="520"/>
    <s v="--multiple--"/>
    <s v="704988"/>
    <d v="2025-10-10T10:20:27"/>
    <s v=""/>
    <s v=""/>
    <s v=""/>
    <s v=""/>
  </r>
  <r>
    <s v="53736"/>
    <s v="TCC Sandblasting &amp; Coating"/>
    <x v="6"/>
    <s v="Casey Grigg"/>
    <s v="Aron Nunez"/>
    <s v="Insulated kim rays, dump valves, and regulator"/>
    <s v="5051022"/>
    <s v="Upstream"/>
    <s v="168963"/>
    <s v="USD"/>
    <n v="455"/>
    <s v="Direct Entry"/>
    <s v="2"/>
    <s v="3-Man Roustabout w/Truck"/>
    <s v="3-Man Roustabout w/Truck"/>
    <s v=""/>
    <d v="2025-10-10T09:20:04"/>
    <d v="2025-10-09T10:30:00"/>
    <d v="2025-10-09T14:00:00"/>
    <s v=""/>
    <s v=""/>
    <s v=""/>
    <s v=""/>
    <s v=""/>
    <s v=""/>
    <s v=""/>
    <s v=""/>
    <s v=""/>
    <s v=""/>
    <s v=""/>
    <s v=""/>
    <s v=""/>
    <s v=""/>
    <s v=""/>
    <s v=""/>
    <s v=""/>
    <s v=""/>
    <s v=""/>
    <s v=""/>
    <s v=""/>
    <s v=""/>
    <s v=""/>
    <s v=""/>
    <s v="Labor"/>
    <s v=""/>
    <s v=""/>
    <s v=""/>
    <s v="8300097600"/>
    <s v="ELLSBERRY 64A 1 BATTERY"/>
    <s v="Upstream"/>
    <s v="1046"/>
    <s v=""/>
    <s v=""/>
    <s v=""/>
    <s v=""/>
    <s v=""/>
    <s v=""/>
    <s v=""/>
    <n v="3.5"/>
    <s v="HR"/>
    <n v="130"/>
    <s v=""/>
    <n v="455"/>
    <s v="--multiple--"/>
    <s v="704988"/>
    <d v="2025-10-10T10:20:26"/>
    <s v=""/>
    <s v=""/>
    <s v=""/>
    <s v=""/>
  </r>
  <r>
    <s v="55206"/>
    <s v="TCC Sandblasting &amp; Coating"/>
    <x v="3"/>
    <s v="Casey Grigg"/>
    <s v="Aron Nunez"/>
    <s v="Insulated kim rays, regulators, dump valves, and fuel pot"/>
    <s v="5051022"/>
    <s v="Upstream"/>
    <s v="168965"/>
    <s v="USD"/>
    <n v="455"/>
    <s v="Direct Entry"/>
    <s v="1"/>
    <s v="3-Man Roustabout w/Truck"/>
    <s v="3-Man Roustabout w/Truck"/>
    <s v=""/>
    <d v="2025-10-13T13:37:06"/>
    <d v="2025-10-10T06:45:00"/>
    <d v="2025-10-10T10:15:00"/>
    <s v=""/>
    <s v=""/>
    <s v=""/>
    <s v=""/>
    <s v=""/>
    <s v=""/>
    <s v=""/>
    <s v=""/>
    <s v=""/>
    <s v=""/>
    <s v=""/>
    <s v=""/>
    <s v=""/>
    <s v=""/>
    <s v=""/>
    <s v=""/>
    <s v=""/>
    <s v=""/>
    <s v=""/>
    <s v=""/>
    <s v=""/>
    <s v=""/>
    <s v=""/>
    <s v=""/>
    <s v="Labor"/>
    <s v=""/>
    <s v=""/>
    <s v=""/>
    <s v="8300079200"/>
    <s v="BARNETT 63 BATTERY"/>
    <s v="Upstream"/>
    <s v="1046"/>
    <s v=""/>
    <s v=""/>
    <s v=""/>
    <s v=""/>
    <s v=""/>
    <s v=""/>
    <s v=""/>
    <n v="3.5"/>
    <s v="HR"/>
    <n v="130"/>
    <s v=""/>
    <n v="455"/>
    <s v="--multiple--"/>
    <s v="704988"/>
    <d v="2025-10-13T14:49:16"/>
    <s v=""/>
    <s v=""/>
    <s v=""/>
    <s v=""/>
  </r>
  <r>
    <s v="53741"/>
    <s v="TCC Sandblasting &amp; Coating"/>
    <x v="6"/>
    <s v="Casey Grigg"/>
    <s v="Aron Nunez"/>
    <s v="Insulated kim rays, regulators, dump valves, fuel pot, and head switch. Also replace dump valve"/>
    <s v="5051022"/>
    <s v="Upstream"/>
    <s v="168966"/>
    <s v="USD"/>
    <n v="455"/>
    <s v="Direct Entry"/>
    <s v="1"/>
    <s v="3-Man Roustabout w/Truck"/>
    <s v="3-Man Roustabout w/Truck"/>
    <s v=""/>
    <d v="2025-10-13T13:11:57"/>
    <d v="2025-10-10T13:30:00"/>
    <d v="2025-10-10T17:00:00"/>
    <s v=""/>
    <s v=""/>
    <s v=""/>
    <s v=""/>
    <s v=""/>
    <s v=""/>
    <s v=""/>
    <s v=""/>
    <s v=""/>
    <s v=""/>
    <s v=""/>
    <s v=""/>
    <s v=""/>
    <s v=""/>
    <s v=""/>
    <s v=""/>
    <s v=""/>
    <s v=""/>
    <s v=""/>
    <s v=""/>
    <s v=""/>
    <s v=""/>
    <s v=""/>
    <s v=""/>
    <s v="Labor"/>
    <s v=""/>
    <s v=""/>
    <s v=""/>
    <s v="8300128400"/>
    <s v="MWS 63 BATTERY"/>
    <s v="Upstream"/>
    <s v="1046"/>
    <s v=""/>
    <s v=""/>
    <s v=""/>
    <s v=""/>
    <s v=""/>
    <s v=""/>
    <s v=""/>
    <n v="3.5"/>
    <s v="HR"/>
    <n v="130"/>
    <s v=""/>
    <n v="455"/>
    <s v="--multiple--"/>
    <s v="704988"/>
    <d v="2025-10-13T14:49:14"/>
    <s v=""/>
    <s v=""/>
    <s v=""/>
    <s v=""/>
  </r>
  <r>
    <s v="82104"/>
    <s v="ACI Compressors"/>
    <x v="7"/>
    <s v="Justin Riffe"/>
    <s v="Aron Nunez"/>
    <s v="Sept. rental"/>
    <s v="5051064"/>
    <s v="Upstream"/>
    <s v=""/>
    <s v="USD"/>
    <n v="1000"/>
    <s v="Direct Entry"/>
    <s v="1"/>
    <s v=""/>
    <s v="Compressor Rental"/>
    <s v=""/>
    <d v="2025-10-10T18:09:29"/>
    <d v="2025-09-01T00:00:00"/>
    <d v="2025-09-30T00:00:00"/>
    <s v=""/>
    <s v="Shaw Farms"/>
    <s v=""/>
    <s v=""/>
    <s v=""/>
    <s v=""/>
    <s v=""/>
    <s v=""/>
    <s v=""/>
    <s v=""/>
    <s v=""/>
    <s v=""/>
    <s v=""/>
    <s v=""/>
    <s v=""/>
    <s v=""/>
    <s v=""/>
    <s v=""/>
    <s v=""/>
    <s v=""/>
    <s v=""/>
    <s v=""/>
    <s v=""/>
    <s v=""/>
    <s v="Equipment"/>
    <s v=""/>
    <s v=""/>
    <s v=""/>
    <s v="8300151200"/>
    <s v="SHAW FARMS BATTERY"/>
    <s v="Upstream"/>
    <s v="1046"/>
    <s v=""/>
    <s v=""/>
    <s v=""/>
    <s v=""/>
    <s v=""/>
    <s v=""/>
    <s v=""/>
    <n v="1"/>
    <s v="MON"/>
    <n v="1000"/>
    <s v=""/>
    <n v="1000"/>
    <s v="Pricebook"/>
    <s v="711351"/>
    <d v="2025-10-10T18:11:05"/>
    <s v=""/>
    <s v=""/>
    <s v=""/>
    <s v=""/>
  </r>
  <r>
    <s v="89101"/>
    <s v="ACI Compressors"/>
    <x v="7"/>
    <s v="Justin Riffe"/>
    <s v="Aron Nunez"/>
    <s v="Sept. rental"/>
    <s v="5051064"/>
    <s v="Upstream"/>
    <s v=""/>
    <s v="USD"/>
    <n v="650"/>
    <s v="Direct Entry"/>
    <s v="1"/>
    <s v=""/>
    <s v="Compressor Rental"/>
    <s v=""/>
    <d v="2025-10-10T18:16:16"/>
    <d v="2025-09-01T00:00:00"/>
    <d v="2025-09-30T00:00:00"/>
    <s v=""/>
    <s v="Shockley 9A-5"/>
    <s v=""/>
    <s v=""/>
    <s v=""/>
    <s v=""/>
    <s v=""/>
    <s v=""/>
    <s v=""/>
    <s v=""/>
    <s v=""/>
    <s v=""/>
    <s v=""/>
    <s v=""/>
    <s v=""/>
    <s v=""/>
    <s v=""/>
    <s v=""/>
    <s v=""/>
    <s v=""/>
    <s v=""/>
    <s v=""/>
    <s v=""/>
    <s v=""/>
    <s v="Equipment"/>
    <s v=""/>
    <s v=""/>
    <s v=""/>
    <s v="8300197600"/>
    <s v="SHOCKLEY 9A-5 BATTERY"/>
    <s v="Upstream"/>
    <s v="1046"/>
    <s v=""/>
    <s v=""/>
    <s v=""/>
    <s v=""/>
    <s v=""/>
    <s v=""/>
    <s v=""/>
    <n v="1"/>
    <s v="MON"/>
    <n v="650"/>
    <s v=""/>
    <n v="650"/>
    <s v="Pricebook"/>
    <s v="711351"/>
    <d v="2025-10-10T18:20:50"/>
    <s v=""/>
    <s v=""/>
    <s v=""/>
    <s v=""/>
  </r>
  <r>
    <s v="91102"/>
    <s v="ACI Compressors"/>
    <x v="7"/>
    <s v="Justin Riffe"/>
    <s v="Aron Nunez"/>
    <s v="Sept. rental"/>
    <s v="5051064"/>
    <s v="Upstream"/>
    <s v=""/>
    <s v="USD"/>
    <n v="400"/>
    <s v="Direct Entry"/>
    <s v="1"/>
    <s v=""/>
    <s v="Compressor Rental"/>
    <s v=""/>
    <d v="2025-10-10T18:24:07"/>
    <d v="2025-09-01T00:00:00"/>
    <d v="2025-09-30T00:00:00"/>
    <s v=""/>
    <s v="Shortes Frazier 44-5"/>
    <s v=""/>
    <s v=""/>
    <s v=""/>
    <s v=""/>
    <s v=""/>
    <s v=""/>
    <s v=""/>
    <s v=""/>
    <s v=""/>
    <s v=""/>
    <s v=""/>
    <s v=""/>
    <s v=""/>
    <s v=""/>
    <s v=""/>
    <s v=""/>
    <s v=""/>
    <s v=""/>
    <s v=""/>
    <s v=""/>
    <s v=""/>
    <s v=""/>
    <s v="Equipment"/>
    <s v=""/>
    <s v=""/>
    <s v=""/>
    <s v="8300152000"/>
    <s v="SHORTES-FRAZIER 44-5 BATTERY"/>
    <s v="Upstream"/>
    <s v="1046"/>
    <s v=""/>
    <s v=""/>
    <s v=""/>
    <s v=""/>
    <s v=""/>
    <s v=""/>
    <s v=""/>
    <n v="1"/>
    <s v="MON"/>
    <n v="400"/>
    <s v=""/>
    <n v="400"/>
    <s v="Pricebook"/>
    <s v="711351"/>
    <d v="2025-10-10T18:25:54"/>
    <s v=""/>
    <s v=""/>
    <s v=""/>
    <s v=""/>
  </r>
  <r>
    <s v="35141"/>
    <s v="ACI Compressors"/>
    <x v="7"/>
    <s v="Justin Riffe"/>
    <s v="Aron Nunez"/>
    <s v="Sept. rental"/>
    <s v="5051064"/>
    <s v="Upstream"/>
    <s v=""/>
    <s v="USD"/>
    <n v="400"/>
    <s v="Direct Entry"/>
    <s v="1"/>
    <s v=""/>
    <s v="Compressor Rental"/>
    <s v=""/>
    <d v="2025-10-13T15:11:27"/>
    <d v="2025-09-01T00:00:00"/>
    <d v="2025-09-30T00:00:00"/>
    <s v=""/>
    <s v="Peterson 8"/>
    <s v=""/>
    <s v=""/>
    <s v=""/>
    <s v=""/>
    <s v=""/>
    <s v=""/>
    <s v=""/>
    <s v=""/>
    <s v=""/>
    <s v=""/>
    <s v=""/>
    <s v=""/>
    <s v=""/>
    <s v=""/>
    <s v=""/>
    <s v=""/>
    <s v=""/>
    <s v=""/>
    <s v=""/>
    <s v=""/>
    <s v=""/>
    <s v=""/>
    <s v="Equipment"/>
    <s v=""/>
    <s v=""/>
    <s v=""/>
    <s v="8300137300"/>
    <s v="PETERSON 8 1 BATTERY"/>
    <s v="Upstream"/>
    <s v="1046"/>
    <s v=""/>
    <s v=""/>
    <s v=""/>
    <s v=""/>
    <s v=""/>
    <s v=""/>
    <s v=""/>
    <n v="1"/>
    <s v="MON"/>
    <n v="400"/>
    <s v=""/>
    <n v="400"/>
    <s v="Pricebook"/>
    <s v="711351"/>
    <d v="2025-10-13T15:16:37"/>
    <s v=""/>
    <s v=""/>
    <s v=""/>
    <s v=""/>
  </r>
  <r>
    <s v="241448"/>
    <s v="NLP Enterprises, LLC"/>
    <x v="5"/>
    <s v="Adolfo Chavez"/>
    <s v="Billy Brookshire"/>
    <s v="Night Pumper"/>
    <s v="5051012"/>
    <s v="Upstream"/>
    <s v=""/>
    <s v="USD"/>
    <n v="900"/>
    <s v="Direct Entry"/>
    <s v="1"/>
    <s v="D22"/>
    <s v="Night Pumper"/>
    <s v=""/>
    <d v="2025-10-13T14:30:25"/>
    <d v="2025-09-30T18:00:00"/>
    <d v="2025-10-01T06:00:00"/>
    <s v=""/>
    <s v=""/>
    <s v=""/>
    <s v=""/>
    <s v=""/>
    <s v=""/>
    <s v=""/>
    <s v=""/>
    <s v=""/>
    <s v=""/>
    <s v=""/>
    <s v=""/>
    <s v=""/>
    <s v=""/>
    <s v=""/>
    <s v=""/>
    <s v=""/>
    <s v=""/>
    <s v=""/>
    <s v=""/>
    <s v=""/>
    <s v=""/>
    <s v=""/>
    <s v=""/>
    <s v="Labor"/>
    <s v=""/>
    <s v=""/>
    <s v=""/>
    <s v="9100005000"/>
    <s v="FRM RTE-BROOKSHIRE BILLY"/>
    <s v="Upstream"/>
    <s v="1046"/>
    <s v=""/>
    <s v=""/>
    <s v=""/>
    <s v=""/>
    <s v=""/>
    <s v=""/>
    <s v=""/>
    <n v="12"/>
    <s v="HR"/>
    <n v="75"/>
    <s v=""/>
    <n v="900"/>
    <s v="--multiple--"/>
    <s v="700289"/>
    <d v="2025-10-13T14:34:34"/>
    <s v=""/>
    <s v=""/>
    <s v=""/>
    <s v=""/>
  </r>
  <r>
    <s v="51765"/>
    <s v="Redhead Services LLC"/>
    <x v="1"/>
    <s v="Justin Riffe"/>
    <s v="Aron Nunez"/>
    <s v="Monthly Pm Service"/>
    <s v="5051064"/>
    <s v="Upstream"/>
    <s v="148410"/>
    <s v="USD"/>
    <n v="2442.5"/>
    <s v="B2B"/>
    <s v="1"/>
    <s v="Oil Change"/>
    <s v="Monthly Service PM"/>
    <s v=""/>
    <d v="2025-09-17T11:31:39"/>
    <d v="2025-09-15T00:00:00"/>
    <d v="2025-09-15T00:00:00"/>
    <s v=""/>
    <s v="Elias 16-9"/>
    <s v=""/>
    <s v=""/>
    <s v=""/>
    <s v=""/>
    <s v=""/>
    <s v=""/>
    <s v=""/>
    <s v=""/>
    <s v=""/>
    <s v=""/>
    <s v=""/>
    <s v=""/>
    <s v=""/>
    <s v=""/>
    <s v=""/>
    <s v=""/>
    <s v=""/>
    <s v=""/>
    <s v=""/>
    <s v=""/>
    <s v=""/>
    <s v=""/>
    <s v="Labor"/>
    <s v=""/>
    <s v=""/>
    <s v=""/>
    <s v="8300171700"/>
    <s v="ELIAS 16-9 1 BATTERY"/>
    <s v="Upstream"/>
    <s v="1046"/>
    <s v=""/>
    <s v=""/>
    <s v=""/>
    <s v=""/>
    <s v=""/>
    <s v=""/>
    <s v="Other"/>
    <n v="1"/>
    <s v="each"/>
    <n v="385"/>
    <s v=""/>
    <n v="385"/>
    <s v="--multiple--"/>
    <s v="709146"/>
    <d v="2025-10-07T13:56:47"/>
    <s v=""/>
    <s v=""/>
    <s v="Requisitioner Error | Missing GPS Data | Electronic Field Ticket Issue | Requisitioner Error"/>
    <s v=""/>
  </r>
  <r>
    <s v="172133"/>
    <s v="Flowco Productions LLC"/>
    <x v="0"/>
    <s v="Justin Riffe"/>
    <s v="Aron Nunez"/>
    <s v="Artificial Lift Equipment and Services - CYPERT G57-51 281 -   - INVOICE 775606"/>
    <s v="5051031"/>
    <s v="Upstream"/>
    <s v=""/>
    <s v="USD"/>
    <n v="1695"/>
    <s v="API"/>
    <s v="1"/>
    <s v="27-ANV-SPG"/>
    <s v="ANVIL SPRING 2-7/8"/>
    <s v="E&amp;M"/>
    <d v="2025-09-25T07:22:50"/>
    <d v="2025-09-23T00:00:00"/>
    <d v="2025-09-23T00:00:00"/>
    <s v=""/>
    <s v="CYPERT G57-51 281"/>
    <s v=""/>
    <s v=""/>
    <s v=""/>
    <s v=""/>
    <s v=""/>
    <s v=""/>
    <s v=""/>
    <s v=""/>
    <s v=""/>
    <s v=""/>
    <s v=""/>
    <s v=""/>
    <s v=""/>
    <s v=""/>
    <s v=""/>
    <s v=""/>
    <s v=""/>
    <s v=""/>
    <s v=""/>
    <s v=""/>
    <s v=""/>
    <s v=""/>
    <s v="Equipment"/>
    <s v=""/>
    <s v=""/>
    <s v=""/>
    <s v="1001427300"/>
    <s v="CYPERT G57-51 281"/>
    <s v="Upstream"/>
    <s v="1046"/>
    <s v=""/>
    <s v=""/>
    <s v=""/>
    <s v=""/>
    <s v=""/>
    <s v=""/>
    <s v=""/>
    <n v="1"/>
    <s v="EA"/>
    <n v="100"/>
    <s v=""/>
    <n v="100"/>
    <s v="Pricebook"/>
    <s v="713866"/>
    <d v="2025-09-29T13:15:44"/>
    <s v=""/>
    <s v=""/>
    <s v=""/>
    <s v=""/>
  </r>
  <r>
    <s v="172130"/>
    <s v="Flowco Productions LLC"/>
    <x v="0"/>
    <s v="Justin Riffe"/>
    <s v="Aron Nunez"/>
    <s v="Artificial Lift Equipment and Services - Cypert D 57-51 #242 -   - INVOICE 775609"/>
    <s v="5051031"/>
    <s v="Upstream"/>
    <s v=""/>
    <s v="USD"/>
    <n v="1695"/>
    <s v="API"/>
    <s v="1"/>
    <s v="27-ROD-SPG"/>
    <s v="ROD SPRING 2-7/8"/>
    <s v="E&amp;M"/>
    <d v="2025-09-25T07:22:54"/>
    <d v="2025-09-23T00:00:00"/>
    <d v="2025-09-23T00:00:00"/>
    <s v=""/>
    <s v="Cypert D 57-51 #242"/>
    <s v=""/>
    <s v=""/>
    <s v=""/>
    <s v=""/>
    <s v=""/>
    <s v=""/>
    <s v=""/>
    <s v=""/>
    <s v=""/>
    <s v=""/>
    <s v=""/>
    <s v=""/>
    <s v=""/>
    <s v=""/>
    <s v=""/>
    <s v=""/>
    <s v=""/>
    <s v=""/>
    <s v=""/>
    <s v=""/>
    <s v=""/>
    <s v=""/>
    <s v="Equipment"/>
    <s v=""/>
    <s v=""/>
    <s v=""/>
    <s v="1001418600"/>
    <s v="CYPERT D57-51 242"/>
    <s v="Upstream"/>
    <s v="1046"/>
    <s v=""/>
    <s v=""/>
    <s v=""/>
    <s v=""/>
    <s v=""/>
    <s v=""/>
    <s v=""/>
    <n v="1"/>
    <s v="EA"/>
    <n v="70"/>
    <s v=""/>
    <n v="70"/>
    <s v="Pricebook"/>
    <s v="713866"/>
    <d v="2025-09-29T13:14:40"/>
    <s v=""/>
    <s v=""/>
    <s v=""/>
    <s v=""/>
  </r>
  <r>
    <s v="G5843827"/>
    <s v="NLP Enterprises, LLC"/>
    <x v="5"/>
    <s v="Adolfo Chavez"/>
    <s v="Billy Brookshire"/>
    <s v="We emptied the separator with the help of the vac truck and washed it with the help of the vac truck and the water pump"/>
    <s v="5051057"/>
    <s v="Upstream"/>
    <s v=""/>
    <s v="USD"/>
    <n v="1620"/>
    <s v="API"/>
    <s v="1"/>
    <s v="D3"/>
    <s v="Production-Pusher and 2 Hands"/>
    <s v=""/>
    <d v="2025-10-10T13:32:36"/>
    <d v="2025-10-01T06:30:00"/>
    <d v="2025-10-01T18:30:00"/>
    <s v=""/>
    <s v="ROBERTSON RANCH WEST BATTERY"/>
    <s v=""/>
    <s v="ROBERTSON RANCH WEST BATTERY"/>
    <s v=""/>
    <s v=""/>
    <s v=""/>
    <s v=""/>
    <s v=""/>
    <s v=""/>
    <s v=""/>
    <s v=""/>
    <s v=""/>
    <s v=""/>
    <s v=""/>
    <s v=""/>
    <s v=""/>
    <s v=""/>
    <s v=""/>
    <s v=""/>
    <s v=""/>
    <s v=""/>
    <s v=""/>
    <s v=""/>
    <s v="Labor"/>
    <s v="Gonzalez, Jeronimo"/>
    <s v=""/>
    <s v=""/>
    <s v="8000312600"/>
    <s v="ROBERTSON RANCH WEST BATTERY"/>
    <s v="Upstream"/>
    <s v="1046"/>
    <s v=""/>
    <s v=""/>
    <s v=""/>
    <s v=""/>
    <s v=""/>
    <s v=""/>
    <s v=""/>
    <n v="12"/>
    <s v="HR"/>
    <n v="135"/>
    <s v=""/>
    <n v="1620"/>
    <s v="--multiple--"/>
    <s v="700289"/>
    <d v="2025-10-13T15:18:01"/>
    <s v=""/>
    <s v=""/>
    <s v=""/>
    <s v=""/>
  </r>
  <r>
    <s v="024896"/>
    <s v="T-P Rentals, LLC"/>
    <x v="8"/>
    <s v="Adrian Juarez Jr"/>
    <s v="Omar Gonzales"/>
    <s v="CTT"/>
    <s v="5051037"/>
    <s v="Upstream"/>
    <s v=""/>
    <s v="USD"/>
    <n v="1050"/>
    <s v="Direct Entry"/>
    <s v="2"/>
    <s v="COMBO TRASH TRAILER"/>
    <s v="COMBO TRASH TRAILER"/>
    <s v=""/>
    <d v="2025-10-03T10:37:48"/>
    <d v="2025-09-01T00:00:00"/>
    <d v="2025-09-30T00:00:00"/>
    <s v=""/>
    <s v="ALS JOHNSON BATTERY"/>
    <s v=""/>
    <s v=""/>
    <s v=""/>
    <s v=""/>
    <s v=""/>
    <s v=""/>
    <s v=""/>
    <s v=""/>
    <s v=""/>
    <s v=""/>
    <s v=""/>
    <s v=""/>
    <s v=""/>
    <s v=""/>
    <s v=""/>
    <s v=""/>
    <s v=""/>
    <s v=""/>
    <s v=""/>
    <s v=""/>
    <s v=""/>
    <s v=""/>
    <s v="Equipment"/>
    <s v=""/>
    <s v=""/>
    <s v=""/>
    <s v="8000312900"/>
    <s v="ALS JOHNSON BATTERY"/>
    <s v="Upstream"/>
    <s v="1046"/>
    <s v=""/>
    <s v=""/>
    <s v=""/>
    <s v=""/>
    <s v=""/>
    <s v=""/>
    <s v=""/>
    <n v="30"/>
    <s v="Day"/>
    <n v="35"/>
    <s v=""/>
    <n v="1050"/>
    <s v="--multiple--"/>
    <s v="709885"/>
    <d v="2025-10-03T10:38:41"/>
    <s v=""/>
    <s v=""/>
    <s v=""/>
    <s v=""/>
  </r>
  <r>
    <s v="1518971847"/>
    <s v="ThompsonGas, LLC"/>
    <x v="8"/>
    <s v="Adrian Juarez Jr"/>
    <s v="Omar Gonzales"/>
    <s v="TANK RENT- EAGLES NEST   TANK RENT 09/01/25-09/30/25"/>
    <s v="5051032"/>
    <s v="Upstream"/>
    <s v=""/>
    <s v="USD"/>
    <n v="1400"/>
    <s v="Direct Entry"/>
    <s v="1"/>
    <s v="1006"/>
    <s v="Propane Tank"/>
    <s v=""/>
    <d v="2025-10-03T13:42:07"/>
    <d v="2025-09-01T12:00:00"/>
    <d v="2025-09-30T12:00:00"/>
    <s v=""/>
    <s v="EAGLES NEST"/>
    <s v=""/>
    <s v=""/>
    <s v=""/>
    <s v=""/>
    <s v=""/>
    <s v=""/>
    <s v=""/>
    <s v=""/>
    <s v=""/>
    <s v=""/>
    <s v=""/>
    <s v=""/>
    <s v=""/>
    <s v=""/>
    <s v=""/>
    <s v=""/>
    <s v=""/>
    <s v=""/>
    <s v=""/>
    <s v=""/>
    <s v=""/>
    <s v=""/>
    <s v="Equipment"/>
    <s v=""/>
    <s v=""/>
    <s v=""/>
    <s v="1000750500"/>
    <s v="EAGLES NEST 01-31 M 4LS"/>
    <s v="Upstream"/>
    <s v="1046"/>
    <s v=""/>
    <s v=""/>
    <s v=""/>
    <s v=""/>
    <s v=""/>
    <s v=""/>
    <s v=""/>
    <n v="0.25"/>
    <s v="EA"/>
    <n v="1400"/>
    <s v=""/>
    <n v="350"/>
    <s v=""/>
    <s v="713391"/>
    <d v="2025-10-03T13:49:52"/>
    <s v=""/>
    <s v=""/>
    <s v=""/>
    <s v=""/>
  </r>
  <r>
    <s v="WT200-057932"/>
    <s v="T-P Rentals, LLC"/>
    <x v="8"/>
    <s v="Adrian Juarez Jr"/>
    <s v="Omar Gonzales"/>
    <s v="Use winch truck for pick up tank got them wash out"/>
    <s v="5051037"/>
    <s v="Upstream"/>
    <s v=""/>
    <s v="USD"/>
    <n v="300"/>
    <s v="Direct Entry"/>
    <s v="1"/>
    <s v="Winch Truck"/>
    <s v="WINCH TRUCK"/>
    <s v="Service"/>
    <d v="2025-10-02T07:55:56"/>
    <d v="2025-09-29T07:00:00"/>
    <d v="2025-09-29T09:00:00"/>
    <s v=""/>
    <s v="SALLIE D BATTERY"/>
    <s v=""/>
    <s v=""/>
    <s v=""/>
    <s v=""/>
    <s v=""/>
    <s v=""/>
    <s v=""/>
    <s v=""/>
    <s v=""/>
    <s v=""/>
    <s v=""/>
    <s v=""/>
    <s v=""/>
    <s v=""/>
    <s v=""/>
    <s v=""/>
    <s v=""/>
    <s v=""/>
    <s v=""/>
    <s v=""/>
    <s v=""/>
    <s v=""/>
    <s v="Equipment"/>
    <s v=""/>
    <s v=""/>
    <s v=""/>
    <s v="8000307300"/>
    <s v="SALLIE D BATTERY"/>
    <s v="Upstream"/>
    <s v="1046"/>
    <s v=""/>
    <s v=""/>
    <s v=""/>
    <s v=""/>
    <s v=""/>
    <s v=""/>
    <s v=""/>
    <n v="2"/>
    <s v="HR"/>
    <n v="105"/>
    <s v=""/>
    <n v="210"/>
    <s v="--multiple--"/>
    <s v="709885"/>
    <d v="2025-10-02T07:56:39"/>
    <s v=""/>
    <s v=""/>
    <s v=""/>
    <s v=""/>
  </r>
  <r>
    <s v="VT300-067368"/>
    <s v="T-P Rentals, LLC"/>
    <x v="9"/>
    <s v="Adrian Juarez Jr"/>
    <s v="Omar Gonzales"/>
    <s v="VACUUM TRUCK"/>
    <s v="5051057"/>
    <s v="Upstream"/>
    <s v=""/>
    <s v="USD"/>
    <n v="405"/>
    <s v="Direct Entry"/>
    <s v="1"/>
    <s v="Vacuum Truck"/>
    <s v="VACUUM TRUCK"/>
    <s v="Service"/>
    <d v="2025-10-02T09:45:20"/>
    <d v="2025-09-30T06:30:00"/>
    <d v="2025-09-30T10:00:00"/>
    <d v="1899-12-30T03:30:00"/>
    <s v="XANADO 31"/>
    <s v=""/>
    <s v=""/>
    <s v="4.5"/>
    <s v=""/>
    <s v=""/>
    <s v=""/>
    <s v=""/>
    <s v=""/>
    <s v=""/>
    <s v=""/>
    <s v=""/>
    <s v=""/>
    <s v=""/>
    <s v=""/>
    <s v=""/>
    <s v=""/>
    <s v=""/>
    <s v=""/>
    <s v=""/>
    <s v=""/>
    <n v="0"/>
    <s v="bbl"/>
    <s v=""/>
    <s v=""/>
    <s v=""/>
    <s v=""/>
    <s v="8000080400"/>
    <s v="XANADU 31 1H BATTERY"/>
    <s v="Upstream"/>
    <s v="1046"/>
    <s v=""/>
    <s v=""/>
    <s v=""/>
    <s v=""/>
    <s v=""/>
    <s v=""/>
    <s v="Other"/>
    <n v="4.5"/>
    <s v="HR"/>
    <n v="90"/>
    <s v=""/>
    <n v="405"/>
    <s v="--multiple--"/>
    <s v="709885"/>
    <d v="2025-10-14T08:44:24"/>
    <s v=""/>
    <s v=""/>
    <s v="Service Date/Time Issue"/>
    <s v=""/>
  </r>
  <r>
    <s v="VT300-067369"/>
    <s v="T-P Rentals, LLC"/>
    <x v="9"/>
    <s v="Adrian Juarez Jr"/>
    <s v="Omar Gonzales"/>
    <s v="VACUUM TRUCK"/>
    <s v="5051057"/>
    <s v="Upstream"/>
    <s v=""/>
    <s v="USD"/>
    <n v="405"/>
    <s v="Direct Entry"/>
    <s v="1"/>
    <s v="Vacuum Truck"/>
    <s v="VACUUM TRUCK"/>
    <s v="Service"/>
    <d v="2025-10-02T09:36:16"/>
    <d v="2025-09-30T10:00:00"/>
    <d v="2025-09-30T14:30:00"/>
    <d v="1899-12-30T04:30:00"/>
    <s v="LUPIN WEST EDGE"/>
    <s v=""/>
    <s v=""/>
    <s v="4.5"/>
    <s v=""/>
    <s v=""/>
    <s v=""/>
    <s v=""/>
    <s v=""/>
    <s v=""/>
    <s v=""/>
    <s v=""/>
    <s v=""/>
    <s v=""/>
    <s v=""/>
    <s v=""/>
    <s v=""/>
    <s v=""/>
    <s v=""/>
    <s v=""/>
    <s v=""/>
    <n v="0"/>
    <s v="bbl"/>
    <s v=""/>
    <s v=""/>
    <s v=""/>
    <s v=""/>
    <s v="8000303900"/>
    <s v="LUPIN WEST EDGE BATTERY"/>
    <s v="Upstream"/>
    <s v="1046"/>
    <s v=""/>
    <s v=""/>
    <s v=""/>
    <s v=""/>
    <s v=""/>
    <s v=""/>
    <s v="Other"/>
    <n v="4.5"/>
    <s v="HR"/>
    <n v="90"/>
    <s v=""/>
    <n v="405"/>
    <s v="--multiple--"/>
    <s v="709885"/>
    <d v="2025-10-02T09:44:51"/>
    <s v=""/>
    <s v=""/>
    <s v=""/>
    <s v=""/>
  </r>
  <r>
    <s v="88714"/>
    <s v="JAZ LLC"/>
    <x v="9"/>
    <s v="Adrian Juarez Jr"/>
    <s v="Omar Gonzales"/>
    <s v="Drove to location, loaded and hauled 360bbls of produced water from battery to the disposal."/>
    <s v="5051054"/>
    <s v="Upstream"/>
    <s v=""/>
    <s v="USD"/>
    <n v="1039.5"/>
    <s v="Direct Entry"/>
    <s v="1"/>
    <s v="Vacuum Trucks"/>
    <s v="Vacuum Trucks"/>
    <s v=""/>
    <d v="2025-10-13T15:21:56"/>
    <d v="2025-10-02T07:00:00"/>
    <d v="2025-10-02T14:45:00"/>
    <d v="1899-12-30T07:45:00"/>
    <s v="ALS JOHNSON BATTERY"/>
    <s v=""/>
    <s v=""/>
    <s v="Produced Water"/>
    <s v=""/>
    <s v=""/>
    <s v=""/>
    <s v=""/>
    <s v=""/>
    <s v=""/>
    <s v=""/>
    <s v=""/>
    <s v=""/>
    <s v=""/>
    <s v=""/>
    <s v=""/>
    <s v=""/>
    <s v=""/>
    <s v=""/>
    <s v=""/>
    <s v=""/>
    <n v="0"/>
    <s v="bbl"/>
    <s v=""/>
    <s v=""/>
    <s v=""/>
    <s v=""/>
    <s v="8000312900"/>
    <s v="ALS JOHNSON BATTERY"/>
    <s v="Upstream"/>
    <s v="1046"/>
    <s v=""/>
    <s v=""/>
    <s v=""/>
    <s v=""/>
    <s v=""/>
    <s v=""/>
    <s v="Hours Worked"/>
    <n v="7.75"/>
    <s v="hour"/>
    <n v="90"/>
    <s v=""/>
    <n v="697.5"/>
    <s v="Pricebook"/>
    <s v="702277"/>
    <d v="2025-10-13T15:24:41"/>
    <s v=""/>
    <s v=""/>
    <s v=""/>
    <s v=""/>
  </r>
  <r>
    <s v="88716"/>
    <s v="JAZ LLC"/>
    <x v="9"/>
    <s v="Adrian Juarez Jr"/>
    <s v="Omar Gonzales"/>
    <s v="Drove to location, loaded and hauled 600bbls of produced water from battery to the disposal."/>
    <s v="5051054"/>
    <s v="Upstream"/>
    <s v=""/>
    <s v="USD"/>
    <n v="1830"/>
    <s v="Direct Entry"/>
    <s v="1"/>
    <s v="Vacuum Trucks"/>
    <s v="Vacuum Trucks"/>
    <s v=""/>
    <d v="2025-10-13T15:14:27"/>
    <d v="2025-10-03T04:30:00"/>
    <d v="2025-10-03T18:30:00"/>
    <d v="1899-12-30T14:00:00"/>
    <s v="ALS JOHNSON BATTERY"/>
    <s v=""/>
    <s v=""/>
    <s v="Produced Water"/>
    <s v=""/>
    <s v=""/>
    <s v=""/>
    <s v=""/>
    <s v=""/>
    <s v=""/>
    <s v=""/>
    <s v=""/>
    <s v=""/>
    <s v=""/>
    <s v=""/>
    <s v=""/>
    <s v=""/>
    <s v=""/>
    <s v=""/>
    <s v=""/>
    <s v=""/>
    <n v="0"/>
    <s v="bbl"/>
    <s v=""/>
    <s v=""/>
    <s v=""/>
    <s v=""/>
    <s v="8000312900"/>
    <s v="ALS JOHNSON BATTERY"/>
    <s v="Upstream"/>
    <s v="1046"/>
    <s v=""/>
    <s v=""/>
    <s v=""/>
    <s v=""/>
    <s v=""/>
    <s v=""/>
    <s v="Hours Worked"/>
    <n v="14"/>
    <s v="hour"/>
    <n v="90"/>
    <s v=""/>
    <n v="1260"/>
    <s v="Pricebook"/>
    <s v="702277"/>
    <d v="2025-10-13T15:20:28"/>
    <s v=""/>
    <s v=""/>
    <s v=""/>
    <s v=""/>
  </r>
  <r>
    <s v="86648"/>
    <s v="JAZ LLC"/>
    <x v="9"/>
    <s v="Adrian Juarez Jr"/>
    <s v="Omar Gonzales"/>
    <s v="Drove to location, loaded and hauled 600bbls of produced water from battery to the disposal."/>
    <s v="5051054"/>
    <s v="Upstream"/>
    <s v=""/>
    <s v="USD"/>
    <n v="1830"/>
    <s v="Direct Entry"/>
    <s v="1"/>
    <s v="Vacuum Trucks"/>
    <s v="Vacuum Trucks"/>
    <s v=""/>
    <d v="2025-10-13T15:18:27"/>
    <d v="2025-10-03T17:00:00"/>
    <d v="2025-10-04T07:00:00"/>
    <d v="1899-12-30T14:00:00"/>
    <s v="ALS JOHNSON BATTERY"/>
    <s v=""/>
    <s v=""/>
    <s v="Produced Water"/>
    <s v=""/>
    <s v=""/>
    <s v=""/>
    <s v=""/>
    <s v=""/>
    <s v=""/>
    <s v=""/>
    <s v=""/>
    <s v=""/>
    <s v=""/>
    <s v=""/>
    <s v=""/>
    <s v=""/>
    <s v=""/>
    <s v=""/>
    <s v=""/>
    <s v=""/>
    <n v="0"/>
    <s v="bbl"/>
    <s v=""/>
    <s v=""/>
    <s v=""/>
    <s v=""/>
    <s v="8000312900"/>
    <s v="ALS JOHNSON BATTERY"/>
    <s v="Upstream"/>
    <s v="1046"/>
    <s v=""/>
    <s v=""/>
    <s v=""/>
    <s v=""/>
    <s v=""/>
    <s v=""/>
    <s v="Hours Worked"/>
    <n v="14"/>
    <s v="hour"/>
    <n v="90"/>
    <s v=""/>
    <n v="1260"/>
    <s v="Pricebook"/>
    <s v="702277"/>
    <d v="2025-10-13T15:20:27"/>
    <s v=""/>
    <s v=""/>
    <s v=""/>
    <s v=""/>
  </r>
  <r>
    <s v="T-437515"/>
    <s v="Liberty Lift Solutions LLC"/>
    <x v="6"/>
    <s v="Paden Black"/>
    <s v="Aron Nunez"/>
    <s v="Completed Job _x000a__x000a_Set good unit / remove old unit and haul to flakes yard_x000a_Requested by: Paden Black_x000a_LL Rep: Ray Rodriguez"/>
    <s v="5051035"/>
    <s v="Upstream"/>
    <s v="156931"/>
    <s v="USD"/>
    <n v="9400"/>
    <s v="B2B"/>
    <s v="1"/>
    <s v="NP0008"/>
    <s v="Field Technician"/>
    <s v="Service"/>
    <d v="2025-10-13T14:48:44"/>
    <d v="2025-09-18T06:00:00"/>
    <d v="2025-09-18T18:00:00"/>
    <s v=""/>
    <s v="Lawana 62-1"/>
    <s v=""/>
    <s v=""/>
    <s v=""/>
    <s v=""/>
    <s v=""/>
    <s v=""/>
    <s v=""/>
    <s v=""/>
    <s v=""/>
    <s v=""/>
    <s v=""/>
    <s v=""/>
    <s v=""/>
    <s v=""/>
    <s v=""/>
    <s v=""/>
    <s v=""/>
    <s v=""/>
    <s v=""/>
    <s v=""/>
    <s v=""/>
    <s v=""/>
    <s v="Labor"/>
    <s v=""/>
    <s v=""/>
    <s v=""/>
    <s v="1001315000"/>
    <s v="LAWANA 62 1"/>
    <s v="Upstream"/>
    <s v="1046"/>
    <s v=""/>
    <s v=""/>
    <s v=""/>
    <s v=""/>
    <s v=""/>
    <s v=""/>
    <s v="Other"/>
    <n v="12"/>
    <s v="HR"/>
    <n v="65"/>
    <s v=""/>
    <n v="780"/>
    <s v="--multiple--"/>
    <s v="708256"/>
    <d v="2025-10-13T15:53:43"/>
    <s v=""/>
    <s v=""/>
    <s v=""/>
    <s v=""/>
  </r>
  <r>
    <s v="51118485"/>
    <s v="Lufkin US Acquisition Company LLC"/>
    <x v="3"/>
    <s v="Caleb Dimas"/>
    <s v="Bill Thompson"/>
    <s v="BOARD LWM SRE"/>
    <s v="5051035"/>
    <s v="Upstream"/>
    <s v=""/>
    <s v="USD"/>
    <n v="391"/>
    <s v="Direct Entry"/>
    <s v="3"/>
    <s v="520.7500R"/>
    <s v="Board LWM SRE"/>
    <s v=""/>
    <d v="2025-10-02T13:08:38"/>
    <d v="2025-10-01T00:00:00"/>
    <d v="2025-10-01T00:00:00"/>
    <s v=""/>
    <s v="UL CARPENTER 7-20 UNIT 3LS"/>
    <s v=""/>
    <s v=""/>
    <s v=""/>
    <s v=""/>
    <s v=""/>
    <s v=""/>
    <s v=""/>
    <s v=""/>
    <s v=""/>
    <s v=""/>
    <s v=""/>
    <s v=""/>
    <s v=""/>
    <s v=""/>
    <s v=""/>
    <s v=""/>
    <s v=""/>
    <s v=""/>
    <s v=""/>
    <s v=""/>
    <s v=""/>
    <s v=""/>
    <s v="Material"/>
    <s v=""/>
    <s v=""/>
    <s v=""/>
    <s v="1000564800"/>
    <s v="UL CARPENTER 7-20 UNIT 3LS"/>
    <s v="Upstream"/>
    <s v="1046"/>
    <s v=""/>
    <s v=""/>
    <s v=""/>
    <s v=""/>
    <s v=""/>
    <s v=""/>
    <s v=""/>
    <n v="1"/>
    <s v="EA"/>
    <n v="391"/>
    <s v=""/>
    <n v="391"/>
    <s v="--multiple--"/>
    <s v="706723"/>
    <d v="2025-10-02T13:09:18"/>
    <s v=""/>
    <s v=""/>
    <s v=""/>
    <s v=""/>
  </r>
  <r>
    <s v="VT300-067378"/>
    <s v="T-P Rentals, LLC"/>
    <x v="9"/>
    <s v="Adrian Juarez Jr"/>
    <s v="Omar Gonzales"/>
    <s v="VACUUM TRUCK"/>
    <s v="5051054"/>
    <s v="Upstream"/>
    <s v=""/>
    <s v="USD"/>
    <n v="350"/>
    <s v="Direct Entry"/>
    <s v="1"/>
    <s v="Vacuum Truck"/>
    <s v="VACUUM TRUCK"/>
    <s v="Service"/>
    <d v="2025-10-13T08:36:20"/>
    <d v="2025-10-09T12:30:00"/>
    <d v="2025-10-09T15:30:00"/>
    <d v="1899-12-30T03:00:00"/>
    <s v="RFD BATTERY"/>
    <s v=""/>
    <s v=""/>
    <s v="3"/>
    <s v=""/>
    <s v=""/>
    <s v=""/>
    <s v=""/>
    <s v=""/>
    <s v=""/>
    <s v=""/>
    <s v=""/>
    <s v=""/>
    <s v=""/>
    <s v=""/>
    <s v=""/>
    <s v=""/>
    <s v=""/>
    <s v=""/>
    <s v=""/>
    <s v=""/>
    <n v="0"/>
    <s v="bbl"/>
    <s v=""/>
    <s v=""/>
    <s v=""/>
    <s v=""/>
    <s v="8000306200"/>
    <s v="RFD BATTERY"/>
    <s v="Upstream"/>
    <s v="1046"/>
    <s v=""/>
    <s v=""/>
    <s v=""/>
    <s v=""/>
    <s v=""/>
    <s v=""/>
    <s v="Other"/>
    <n v="3"/>
    <s v="HR"/>
    <n v="90"/>
    <s v=""/>
    <n v="270"/>
    <s v="--multiple--"/>
    <s v="709885"/>
    <d v="2025-10-13T08:38:23"/>
    <s v=""/>
    <s v=""/>
    <s v=""/>
    <s v=""/>
  </r>
  <r>
    <s v="428877"/>
    <s v="Diamond Pump and Transport, LLC"/>
    <x v="9"/>
    <s v="Adrian Juarez Jr"/>
    <s v="Omar Gonzales"/>
    <s v="428877-PULL LOAD OF P WATER FROM TANK HAULED TO PUBLIC SWD 100BBLS"/>
    <s v="5051054"/>
    <s v="Upstream"/>
    <s v=""/>
    <s v="USD"/>
    <n v="275"/>
    <s v="Direct Entry"/>
    <s v="1"/>
    <s v="Vacuum Truck"/>
    <s v="Vac Truck"/>
    <s v=""/>
    <d v="2025-10-13T11:55:48"/>
    <d v="2025-10-11T06:30:00"/>
    <d v="2025-10-11T08:30:00"/>
    <d v="1899-12-30T02:00:00"/>
    <s v="SALLIE D BAT"/>
    <s v=""/>
    <s v=""/>
    <s v="*"/>
    <s v=""/>
    <s v=""/>
    <s v=""/>
    <s v=""/>
    <s v=""/>
    <s v=""/>
    <s v=""/>
    <s v=""/>
    <s v=""/>
    <s v=""/>
    <s v=""/>
    <s v=""/>
    <s v=""/>
    <s v=""/>
    <s v=""/>
    <s v=""/>
    <s v=""/>
    <n v="0"/>
    <s v="bbl"/>
    <s v=""/>
    <s v=""/>
    <s v=""/>
    <s v=""/>
    <s v="8000307300"/>
    <s v="SALLIE D BATTERY"/>
    <s v="Upstream"/>
    <s v="1046"/>
    <s v=""/>
    <s v=""/>
    <s v=""/>
    <s v=""/>
    <s v=""/>
    <s v=""/>
    <s v="Hours Worked"/>
    <n v="2"/>
    <s v="hour"/>
    <n v="95"/>
    <s v=""/>
    <n v="190"/>
    <s v="Pricebook"/>
    <s v="705890"/>
    <d v="2025-10-13T15:31:18"/>
    <s v=""/>
    <s v=""/>
    <s v=""/>
    <s v=""/>
  </r>
  <r>
    <s v="428878"/>
    <s v="Diamond Pump and Transport, LLC"/>
    <x v="9"/>
    <s v="Adrian Juarez Jr"/>
    <s v="Omar Gonzales"/>
    <s v="428878-PULL 3 LOADS OF P WATER HAULED TO PUBLIC SWD"/>
    <s v="5051054"/>
    <s v="Upstream"/>
    <s v=""/>
    <s v="USD"/>
    <n v="658.75"/>
    <s v="Direct Entry"/>
    <s v="1"/>
    <s v="Vacuum Truck"/>
    <s v="Vac Truck"/>
    <s v=""/>
    <d v="2025-10-13T11:48:53"/>
    <d v="2025-10-11T08:30:00"/>
    <d v="2025-10-11T12:45:00"/>
    <d v="1899-12-30T04:15:00"/>
    <s v="OTG BAT"/>
    <s v=""/>
    <s v=""/>
    <s v="*"/>
    <s v=""/>
    <s v=""/>
    <s v=""/>
    <s v=""/>
    <s v=""/>
    <s v=""/>
    <s v=""/>
    <s v=""/>
    <s v=""/>
    <s v=""/>
    <s v=""/>
    <s v=""/>
    <s v=""/>
    <s v=""/>
    <s v=""/>
    <s v=""/>
    <s v=""/>
    <n v="0"/>
    <s v="bbl"/>
    <s v=""/>
    <s v=""/>
    <s v=""/>
    <s v=""/>
    <s v="8000305500"/>
    <s v="OTG BATTERY"/>
    <s v="Upstream"/>
    <s v="1046"/>
    <s v=""/>
    <s v=""/>
    <s v=""/>
    <s v=""/>
    <s v=""/>
    <s v=""/>
    <s v="Hours Worked"/>
    <n v="4.25"/>
    <s v="hour"/>
    <n v="95"/>
    <s v=""/>
    <n v="403.75"/>
    <s v="Pricebook"/>
    <s v="705890"/>
    <d v="2025-10-13T15:36:12"/>
    <s v=""/>
    <s v=""/>
    <s v=""/>
    <s v=""/>
  </r>
  <r>
    <s v="DB092525-1"/>
    <s v="Clearflow Energy Services"/>
    <x v="5"/>
    <s v="Andrew Bazewicz"/>
    <s v="Javier Barrera"/>
    <s v="SEPARATOR WELL TEST"/>
    <s v="5051037"/>
    <s v="Upstream"/>
    <s v=""/>
    <s v="USD"/>
    <n v="2732.16"/>
    <s v="Direct Entry"/>
    <s v="1"/>
    <s v="36&quot; 1440 PSI Test Separator"/>
    <s v="Separator Well Test"/>
    <s v=""/>
    <d v="2025-10-02T06:21:35"/>
    <d v="2025-08-14T00:00:00"/>
    <d v="2025-09-08T00:00:00"/>
    <s v=""/>
    <s v="BLACKSTONE STATE 1-12 G #4WA"/>
    <s v=""/>
    <s v=""/>
    <s v=""/>
    <s v=""/>
    <s v=""/>
    <s v=""/>
    <s v=""/>
    <s v=""/>
    <s v=""/>
    <s v=""/>
    <s v=""/>
    <s v=""/>
    <s v=""/>
    <s v=""/>
    <s v=""/>
    <s v=""/>
    <s v=""/>
    <s v=""/>
    <s v=""/>
    <s v=""/>
    <s v=""/>
    <s v=""/>
    <s v="Equipment"/>
    <s v=""/>
    <s v=""/>
    <s v=""/>
    <s v="1000225700"/>
    <s v="BLACK STONE STATE 1-12 G 4WA"/>
    <s v="Upstream"/>
    <s v="1046"/>
    <s v=""/>
    <s v=""/>
    <s v=""/>
    <s v=""/>
    <s v=""/>
    <s v=""/>
    <s v=""/>
    <n v="1"/>
    <s v="Day"/>
    <n v="2732.16"/>
    <s v=""/>
    <n v="2732.16"/>
    <s v="Pricebook"/>
    <s v="712933"/>
    <d v="2025-10-02T06:26:56"/>
    <s v=""/>
    <s v=""/>
    <s v=""/>
    <s v=""/>
  </r>
  <r>
    <s v="DB092525-2"/>
    <s v="Clearflow Energy Services"/>
    <x v="5"/>
    <s v="Andrew Bazewicz"/>
    <s v="Javier Barrera"/>
    <s v="SEPARATOR WELL TEST"/>
    <s v="5051037"/>
    <s v="Upstream"/>
    <s v=""/>
    <s v="USD"/>
    <n v="2732.16"/>
    <s v="Direct Entry"/>
    <s v="1"/>
    <s v="36&quot; 1440 PSI Test Separator"/>
    <s v="Separator Well Test"/>
    <s v=""/>
    <d v="2025-10-02T06:27:34"/>
    <d v="2025-08-14T00:00:00"/>
    <d v="2025-09-08T00:00:00"/>
    <s v=""/>
    <s v="BLACKSTONE STATE 1-12 H #5BS"/>
    <s v=""/>
    <s v=""/>
    <s v=""/>
    <s v=""/>
    <s v=""/>
    <s v=""/>
    <s v=""/>
    <s v=""/>
    <s v=""/>
    <s v=""/>
    <s v=""/>
    <s v=""/>
    <s v=""/>
    <s v=""/>
    <s v=""/>
    <s v=""/>
    <s v=""/>
    <s v=""/>
    <s v=""/>
    <s v=""/>
    <s v=""/>
    <s v=""/>
    <s v="Equipment"/>
    <s v=""/>
    <s v=""/>
    <s v=""/>
    <s v="1000226400"/>
    <s v="BLACK STONE 1-12 H 5BS"/>
    <s v="Upstream"/>
    <s v="1046"/>
    <s v=""/>
    <s v=""/>
    <s v=""/>
    <s v=""/>
    <s v=""/>
    <s v=""/>
    <s v=""/>
    <n v="1"/>
    <s v="Day"/>
    <n v="2732.16"/>
    <s v=""/>
    <n v="2732.16"/>
    <s v="Pricebook"/>
    <s v="712933"/>
    <d v="2025-10-02T06:31:24"/>
    <s v=""/>
    <s v=""/>
    <s v=""/>
    <s v=""/>
  </r>
  <r>
    <s v="271469"/>
    <s v="Phoenix Lease Services, LLC"/>
    <x v="5"/>
    <s v="Andrew Bazewicz"/>
    <s v="Javier Barrera"/>
    <s v="WATCHMAN 30-26 E 5SB-Hauled to location tank #R792"/>
    <s v="5051037"/>
    <s v="Upstream"/>
    <s v=""/>
    <s v="USD"/>
    <n v="975"/>
    <s v="API"/>
    <s v="1"/>
    <s v="Winch:Move FT"/>
    <s v="Hauled to location tank #R792"/>
    <s v=""/>
    <d v="2025-10-01T12:29:20"/>
    <d v="2025-09-25T12:30:00"/>
    <d v="2025-09-25T19:00:00"/>
    <s v=""/>
    <s v="WATCHMAN 30-26 E 5SB"/>
    <s v=""/>
    <s v=""/>
    <s v=""/>
    <s v=""/>
    <s v=""/>
    <s v=""/>
    <s v=""/>
    <s v=""/>
    <s v=""/>
    <s v=""/>
    <s v=""/>
    <s v=""/>
    <s v=""/>
    <s v=""/>
    <s v=""/>
    <s v=""/>
    <s v=""/>
    <s v=""/>
    <s v=""/>
    <s v=""/>
    <s v=""/>
    <s v=""/>
    <s v="Labor"/>
    <s v=""/>
    <s v=""/>
    <s v=""/>
    <s v="1000674900"/>
    <s v="WATCHMAN 30-26 E 5SB"/>
    <s v="Upstream"/>
    <s v="1046"/>
    <s v=""/>
    <s v=""/>
    <s v=""/>
    <s v=""/>
    <s v=""/>
    <s v=""/>
    <s v=""/>
    <n v="6.5"/>
    <s v="HR"/>
    <n v="150"/>
    <s v=""/>
    <n v="975"/>
    <s v="--multiple--"/>
    <s v="708943"/>
    <d v="2025-10-01T12:30:44"/>
    <s v=""/>
    <s v=""/>
    <s v=""/>
    <s v=""/>
  </r>
  <r>
    <s v="16143"/>
    <s v="Oil Spill Clean Up, Inc"/>
    <x v="5"/>
    <s v="Andrew Bazewicz"/>
    <s v="Javier Barrera"/>
    <s v="Drove to location set up truck and hoses and cleaned up oil spill on battery_x000a_containment._x000a_Neal Lethco State 20 Battery 7:30 am to 3:30 pm (8 hrs)_x000a_Drove to location set up truck and hoses and suck up water on receiving pumps._x000a_Neal Lethco 20 #1H Battery 3:30 pm to 4:30 pm (1 hr)_x000a_Drove to location set up truck and hoses and cleaned up oil spill on battery_x000a_containment._x000a_State Reed 11-12 Battery 4:30 pm to 6 pm (1.5 hrs)"/>
    <s v="5051057"/>
    <s v="Upstream"/>
    <s v=""/>
    <s v="USD"/>
    <n v="945"/>
    <s v="B2B"/>
    <s v="1"/>
    <s v="Vacuum Truck (V1)"/>
    <s v="Vacuum Truck"/>
    <s v="Vacuum Truck"/>
    <d v="2025-10-05T08:03:36"/>
    <d v="2025-10-01T07:30:00"/>
    <d v="2025-10-01T15:30:00"/>
    <s v=""/>
    <s v="Neal Lethco 20 Battery"/>
    <s v=""/>
    <s v=""/>
    <s v=""/>
    <s v=""/>
    <s v=""/>
    <s v=""/>
    <s v=""/>
    <s v=""/>
    <s v=""/>
    <s v=""/>
    <s v=""/>
    <s v=""/>
    <s v=""/>
    <s v=""/>
    <s v=""/>
    <s v=""/>
    <s v=""/>
    <s v=""/>
    <s v=""/>
    <s v=""/>
    <s v=""/>
    <s v=""/>
    <s v="Equipment"/>
    <s v=""/>
    <s v=""/>
    <s v=""/>
    <s v="8000012500"/>
    <s v="NEAL LETHCO 20 BATTERY"/>
    <s v="Upstream"/>
    <s v="1046"/>
    <s v=""/>
    <s v=""/>
    <s v=""/>
    <s v=""/>
    <s v=""/>
    <s v=""/>
    <s v="Other"/>
    <n v="8"/>
    <s v="HR"/>
    <n v="90"/>
    <s v=""/>
    <n v="720"/>
    <s v="--multiple--"/>
    <s v="703239"/>
    <d v="2025-10-08T16:21:57"/>
    <s v=""/>
    <s v=""/>
    <s v="Coding/Location Issue"/>
    <s v=""/>
  </r>
  <r>
    <s v="16194"/>
    <s v="Oil Spill Clean Up, Inc"/>
    <x v="0"/>
    <s v="Andrew Bazewicz"/>
    <s v="Javier Barrera"/>
    <s v="Contract Pumping October 6-10, 5 days"/>
    <s v="5051012"/>
    <s v="Upstream"/>
    <s v=""/>
    <s v="USD"/>
    <n v="950"/>
    <s v="B2B"/>
    <s v="1"/>
    <s v="Set Cost"/>
    <s v="Set Cost"/>
    <s v=""/>
    <d v="2025-10-13T00:16:02"/>
    <d v="2025-10-06T00:00:00"/>
    <d v="2025-10-10T00:00:00"/>
    <s v=""/>
    <s v="Teague Owens Battery"/>
    <s v=""/>
    <s v=""/>
    <s v=""/>
    <s v=""/>
    <s v=""/>
    <s v=""/>
    <s v=""/>
    <s v=""/>
    <s v=""/>
    <s v=""/>
    <s v=""/>
    <s v=""/>
    <s v=""/>
    <s v=""/>
    <s v=""/>
    <s v=""/>
    <s v=""/>
    <s v=""/>
    <s v=""/>
    <s v=""/>
    <s v=""/>
    <s v=""/>
    <s v="Labor"/>
    <s v=""/>
    <s v=""/>
    <s v=""/>
    <s v="8300158700"/>
    <s v="TEAGUE-OWENS 1H BATTERY"/>
    <s v="Upstream"/>
    <s v="1046"/>
    <s v=""/>
    <s v=""/>
    <s v=""/>
    <s v=""/>
    <s v=""/>
    <s v=""/>
    <s v="Other"/>
    <n v="5"/>
    <s v="Day"/>
    <n v="190"/>
    <s v=""/>
    <n v="950"/>
    <s v="--multiple--"/>
    <s v="703239"/>
    <d v="2025-10-13T08:49:28"/>
    <s v=""/>
    <s v=""/>
    <s v=""/>
    <s v=""/>
  </r>
  <r>
    <s v="1002589"/>
    <s v="B-P Supply Inc"/>
    <x v="3"/>
    <s v="Dusty Kelley"/>
    <s v="Bill Thompson"/>
    <s v="PARTS ORDERED BY DUSTY KELLEY - NMB-ULC PBTX6"/>
    <s v="5051028"/>
    <s v="Upstream"/>
    <s v=""/>
    <s v="USD"/>
    <n v="266.69"/>
    <s v="B2B"/>
    <s v="1"/>
    <s v="0191-B-12"/>
    <s v="B-12 CHEMTOOL"/>
    <s v="Other"/>
    <d v="2025-10-07T15:14:24"/>
    <d v="2025-09-29T00:00:00"/>
    <d v="2025-09-29T00:00:00"/>
    <s v=""/>
    <s v=""/>
    <s v=""/>
    <s v=""/>
    <s v=""/>
    <s v=""/>
    <s v=""/>
    <s v=""/>
    <s v=""/>
    <s v=""/>
    <s v=""/>
    <s v=""/>
    <s v=""/>
    <s v=""/>
    <s v=""/>
    <s v=""/>
    <s v=""/>
    <s v=""/>
    <s v=""/>
    <s v=""/>
    <s v=""/>
    <s v=""/>
    <s v=""/>
    <s v=""/>
    <s v="Material"/>
    <s v=""/>
    <s v=""/>
    <s v=""/>
    <s v="9100012400"/>
    <s v="NMB-ULC PBTX6"/>
    <s v="Upstream"/>
    <s v="1046"/>
    <s v=""/>
    <s v=""/>
    <s v=""/>
    <s v=""/>
    <s v=""/>
    <s v=""/>
    <s v=""/>
    <n v="12"/>
    <s v="EA"/>
    <n v="4.79"/>
    <s v=""/>
    <n v="57.52"/>
    <s v="--multiple--"/>
    <s v="705219"/>
    <d v="2025-10-10T14:12:59"/>
    <s v=""/>
    <s v=""/>
    <s v=""/>
    <s v=""/>
  </r>
  <r>
    <s v="1002588"/>
    <s v="B-P Supply Inc"/>
    <x v="3"/>
    <s v="Dusty Kelley"/>
    <s v="Bill Thompson"/>
    <s v="PARTS ORDERED BY DUSTY KELLEY - UL 1933 E1 01DN"/>
    <s v="5051062"/>
    <s v="Upstream"/>
    <s v=""/>
    <s v="USD"/>
    <n v="800.67"/>
    <s v="B2B"/>
    <s v="1"/>
    <s v="0150-11-DOME-HSN"/>
    <s v="1 1/2&quot; SUPER DOME PACKING HSN - WSI"/>
    <s v=""/>
    <d v="2025-10-07T15:14:25"/>
    <d v="2025-09-29T00:00:00"/>
    <d v="2025-09-29T00:00:00"/>
    <s v=""/>
    <s v=""/>
    <s v=""/>
    <s v=""/>
    <s v=""/>
    <s v=""/>
    <s v=""/>
    <s v=""/>
    <s v=""/>
    <s v=""/>
    <s v=""/>
    <s v=""/>
    <s v=""/>
    <s v=""/>
    <s v=""/>
    <s v=""/>
    <s v=""/>
    <s v=""/>
    <s v=""/>
    <s v=""/>
    <s v=""/>
    <s v=""/>
    <s v=""/>
    <s v=""/>
    <s v="Material"/>
    <s v=""/>
    <s v=""/>
    <s v=""/>
    <s v="1000369600"/>
    <s v="UL 1933 E1 01DN"/>
    <s v="Upstream"/>
    <s v="1046"/>
    <s v=""/>
    <s v=""/>
    <s v=""/>
    <s v=""/>
    <s v=""/>
    <s v=""/>
    <s v=""/>
    <n v="3"/>
    <s v="EA"/>
    <n v="266.89"/>
    <s v=""/>
    <n v="800.67"/>
    <s v="--multiple--"/>
    <s v="705219"/>
    <d v="2025-10-10T14:12:22"/>
    <s v=""/>
    <s v=""/>
    <s v=""/>
    <s v=""/>
  </r>
  <r>
    <s v="1002585"/>
    <s v="B-P Supply Inc"/>
    <x v="3"/>
    <s v="Dusty Kelley"/>
    <s v="Bill Thompson"/>
    <s v="PARTS ORDERED BY DUSTY KELLEY - UL 2539 E4 02SB"/>
    <s v="5051062"/>
    <s v="Upstream"/>
    <s v=""/>
    <s v="USD"/>
    <n v="800.67"/>
    <s v="B2B"/>
    <s v="1"/>
    <s v="0150-11-DOME-HSN"/>
    <s v="1 1/2&quot; SUPER DOME PACKING HSN - WSI"/>
    <s v=""/>
    <d v="2025-10-07T15:14:26"/>
    <d v="2025-09-29T00:00:00"/>
    <d v="2025-09-29T00:00:00"/>
    <s v=""/>
    <s v=""/>
    <s v=""/>
    <s v=""/>
    <s v=""/>
    <s v=""/>
    <s v=""/>
    <s v=""/>
    <s v=""/>
    <s v=""/>
    <s v=""/>
    <s v=""/>
    <s v=""/>
    <s v=""/>
    <s v=""/>
    <s v=""/>
    <s v=""/>
    <s v=""/>
    <s v=""/>
    <s v=""/>
    <s v=""/>
    <s v=""/>
    <s v=""/>
    <s v=""/>
    <s v="Material"/>
    <s v=""/>
    <s v=""/>
    <s v=""/>
    <s v="1000372000"/>
    <s v="UL 2539 E4 02SB"/>
    <s v="Upstream"/>
    <s v="1046"/>
    <s v=""/>
    <s v=""/>
    <s v=""/>
    <s v=""/>
    <s v=""/>
    <s v=""/>
    <s v=""/>
    <n v="3"/>
    <s v="EA"/>
    <n v="266.89"/>
    <s v=""/>
    <n v="800.67"/>
    <s v="--multiple--"/>
    <s v="705219"/>
    <d v="2025-10-10T14:11:49"/>
    <s v=""/>
    <s v=""/>
    <s v=""/>
    <s v=""/>
  </r>
  <r>
    <s v="670210"/>
    <s v="AggieTech Energy Services LLC"/>
    <x v="7"/>
    <s v="Edgar Quintero"/>
    <s v="Bill Thompson"/>
    <s v="JEREMY WOODS-GREASED AND INSPECTED UNIVERSITY 6-33 #4"/>
    <s v="5051035"/>
    <s v="Upstream"/>
    <s v="153692"/>
    <s v="USD"/>
    <n v="145"/>
    <s v="Direct Entry"/>
    <s v="1"/>
    <s v="PUMPING UNIT INSPECTION"/>
    <s v="PUMPING UNIT INSPECTION"/>
    <s v=""/>
    <d v="2025-10-05T19:47:01"/>
    <d v="2025-09-22T07:00:00"/>
    <d v="2025-09-22T08:00:00"/>
    <s v=""/>
    <s v="UNIVERSITY 6-33 #4"/>
    <s v=""/>
    <s v=""/>
    <s v=""/>
    <s v=""/>
    <s v=""/>
    <s v=""/>
    <s v=""/>
    <s v=""/>
    <s v=""/>
    <s v=""/>
    <s v=""/>
    <s v=""/>
    <s v=""/>
    <s v=""/>
    <s v=""/>
    <s v=""/>
    <s v=""/>
    <s v=""/>
    <s v=""/>
    <s v=""/>
    <s v=""/>
    <s v=""/>
    <s v="Equipment"/>
    <s v=""/>
    <s v=""/>
    <s v=""/>
    <s v="1000597800"/>
    <s v="UNIVERSITY 6-33 4"/>
    <s v="Upstream"/>
    <s v="1046"/>
    <s v=""/>
    <s v=""/>
    <s v=""/>
    <s v=""/>
    <s v=""/>
    <s v=""/>
    <s v=""/>
    <n v="1"/>
    <s v="EA"/>
    <n v="140"/>
    <s v=""/>
    <n v="140"/>
    <s v="--multiple--"/>
    <s v="701830"/>
    <d v="2025-10-13T10:19:42"/>
    <s v=""/>
    <s v=""/>
    <s v="Requisitioner Error"/>
    <s v=""/>
  </r>
  <r>
    <s v="670233"/>
    <s v="AggieTech Energy Services LLC"/>
    <x v="4"/>
    <s v="Edgar Quintero"/>
    <s v="Bill Thompson"/>
    <s v="EDGAR QUINTERO-GREASED AND INSPECTED UNIVERSITY 6-32 #6H"/>
    <s v="5051035"/>
    <s v="Upstream"/>
    <s v="153686"/>
    <s v="USD"/>
    <n v="145"/>
    <s v="Direct Entry"/>
    <s v="1"/>
    <s v="PUMPING UNIT INSPECTION"/>
    <s v="PUMPING UNIT INSPECTION"/>
    <s v=""/>
    <d v="2025-10-05T21:15:37"/>
    <d v="2025-09-23T11:00:00"/>
    <d v="2025-09-23T12:00:00"/>
    <s v=""/>
    <s v="UNIVERSITY 6-32 #6H"/>
    <s v=""/>
    <s v=""/>
    <s v=""/>
    <s v=""/>
    <s v=""/>
    <s v=""/>
    <s v=""/>
    <s v=""/>
    <s v=""/>
    <s v=""/>
    <s v=""/>
    <s v=""/>
    <s v=""/>
    <s v=""/>
    <s v=""/>
    <s v=""/>
    <s v=""/>
    <s v=""/>
    <s v=""/>
    <s v=""/>
    <s v=""/>
    <s v=""/>
    <s v="Equipment"/>
    <s v=""/>
    <s v=""/>
    <s v=""/>
    <s v="1000597400"/>
    <s v="UNIVERSITY 6-32 6H"/>
    <s v="Upstream"/>
    <s v="1046"/>
    <s v=""/>
    <s v=""/>
    <s v=""/>
    <s v=""/>
    <s v=""/>
    <s v=""/>
    <s v=""/>
    <n v="1"/>
    <s v="EA"/>
    <n v="140"/>
    <s v=""/>
    <n v="140"/>
    <s v="--multiple--"/>
    <s v="701830"/>
    <d v="2025-10-09T15:23:52"/>
    <s v=""/>
    <s v=""/>
    <s v=""/>
    <s v=""/>
  </r>
  <r>
    <s v="R-14480"/>
    <s v="RTI Services, LLC"/>
    <x v="6"/>
    <s v="Giovanni Gutierrez"/>
    <s v="Bill Thompson"/>
    <s v="SANDBLASTIN &amp; COATING OF THE FIRE TUBE THIS JOD WAS _x000a_REPAIRING AT THE SHOP"/>
    <s v="5051049"/>
    <s v="Upstream"/>
    <s v="141920"/>
    <s v="USD"/>
    <n v="1750"/>
    <s v="Direct Entry"/>
    <s v="1"/>
    <s v="MISC"/>
    <s v="MISC/SANBLASTING COATING"/>
    <s v="MISC"/>
    <d v="2025-09-18T07:23:38"/>
    <d v="2025-09-15T00:00:00"/>
    <d v="2025-09-15T00:00:00"/>
    <s v=""/>
    <s v="UL 1125 CTB"/>
    <s v=""/>
    <s v=""/>
    <s v=""/>
    <s v=""/>
    <s v=""/>
    <s v=""/>
    <s v=""/>
    <s v=""/>
    <s v=""/>
    <s v=""/>
    <s v=""/>
    <s v=""/>
    <s v=""/>
    <s v=""/>
    <s v=""/>
    <s v=""/>
    <s v=""/>
    <s v=""/>
    <s v=""/>
    <s v=""/>
    <s v=""/>
    <s v=""/>
    <s v="Equipment"/>
    <s v=""/>
    <s v=""/>
    <s v=""/>
    <s v="8000130800"/>
    <s v="UL 1125 CTB"/>
    <s v="Upstream"/>
    <s v="1046"/>
    <s v=""/>
    <s v=""/>
    <s v=""/>
    <s v=""/>
    <s v=""/>
    <s v=""/>
    <s v=""/>
    <n v="1"/>
    <s v="D"/>
    <n v="1750"/>
    <s v=""/>
    <n v="1750"/>
    <s v="--multiple--"/>
    <s v="707090"/>
    <d v="2025-10-10T07:29:28"/>
    <s v=""/>
    <s v=""/>
    <s v="Coding/Location Issue | Coding/Location Issue"/>
    <s v=""/>
  </r>
  <r>
    <s v="52003"/>
    <s v="Redhead Services LLC"/>
    <x v="0"/>
    <s v="Andres Campos"/>
    <s v="Aron Nunez"/>
    <s v="Call Out"/>
    <s v="5051006"/>
    <s v="Upstream"/>
    <s v="154956"/>
    <s v="USD"/>
    <n v="825"/>
    <s v="B2B"/>
    <s v="1"/>
    <s v="Labor"/>
    <s v="Cody asked us to come make sure this unit was moving gas_x000a__x000a_I put a gauge on Ive only got like 1.5 oz on the suction scrubber and its flaring so Im guessing weve got an issue with the enardo._x000a__x000a_Also the recirculating valve on the scrubber was leaking by so some of the gas that actually was getting through was just recirculating into the scrubber."/>
    <s v=""/>
    <d v="2025-09-22T09:00:32"/>
    <d v="2025-09-18T13:30:00"/>
    <d v="2025-09-18T17:15:00"/>
    <s v=""/>
    <s v="Zeus 7-6"/>
    <s v=""/>
    <s v=""/>
    <s v=""/>
    <s v=""/>
    <s v=""/>
    <s v=""/>
    <s v=""/>
    <s v=""/>
    <s v=""/>
    <s v=""/>
    <s v=""/>
    <s v=""/>
    <s v=""/>
    <s v=""/>
    <s v=""/>
    <s v=""/>
    <s v=""/>
    <s v=""/>
    <s v=""/>
    <s v=""/>
    <s v=""/>
    <s v=""/>
    <s v="Labor"/>
    <s v=""/>
    <s v=""/>
    <s v=""/>
    <s v="8300170300"/>
    <s v="ZEUS 7-6 BATTERY"/>
    <s v="Upstream"/>
    <s v="1046"/>
    <s v=""/>
    <s v=""/>
    <s v=""/>
    <s v=""/>
    <s v=""/>
    <s v=""/>
    <s v="Other"/>
    <n v="3.75"/>
    <s v="hour"/>
    <n v="110"/>
    <s v=""/>
    <n v="412.5"/>
    <s v="--multiple--"/>
    <s v="709146"/>
    <d v="2025-09-22T09:02:18"/>
    <s v=""/>
    <s v=""/>
    <s v=""/>
    <s v=""/>
  </r>
  <r>
    <s v="1002392"/>
    <s v="B-P Supply Inc"/>
    <x v="4"/>
    <s v="Giovanni Gutierrez"/>
    <s v="Bill Thompson"/>
    <s v="PARTS ORDERED BY GIOVANNI GUTIERREZ - UNIVERSITY 7-1716 CTB"/>
    <s v="5051049"/>
    <s v="Upstream"/>
    <s v="166987"/>
    <s v="USD"/>
    <n v="127.8"/>
    <s v="B2B"/>
    <s v="1"/>
    <s v="SPECIALORDER"/>
    <s v="TEFLON HOSE"/>
    <s v=""/>
    <d v="2025-10-07T15:14:23"/>
    <d v="2025-09-26T00:00:00"/>
    <d v="2025-09-26T00:00:00"/>
    <s v=""/>
    <s v=""/>
    <s v=""/>
    <s v=""/>
    <s v=""/>
    <s v=""/>
    <s v=""/>
    <s v=""/>
    <s v=""/>
    <s v=""/>
    <s v=""/>
    <s v=""/>
    <s v=""/>
    <s v=""/>
    <s v=""/>
    <s v=""/>
    <s v=""/>
    <s v=""/>
    <s v=""/>
    <s v=""/>
    <s v=""/>
    <s v=""/>
    <s v=""/>
    <s v=""/>
    <s v="Material"/>
    <s v=""/>
    <s v=""/>
    <s v=""/>
    <s v="8000124700"/>
    <s v="UNIVERSITY 7-1716 CTB"/>
    <s v="Upstream"/>
    <s v="1046"/>
    <s v=""/>
    <s v=""/>
    <s v=""/>
    <s v=""/>
    <s v=""/>
    <s v=""/>
    <s v=""/>
    <n v="3"/>
    <s v="EA"/>
    <n v="24.28"/>
    <s v=""/>
    <n v="72.84"/>
    <s v="--multiple--"/>
    <s v="705219"/>
    <d v="2025-10-10T13:27:43"/>
    <s v=""/>
    <s v=""/>
    <s v=""/>
    <s v=""/>
  </r>
  <r>
    <s v="670246"/>
    <s v="AggieTech Energy Services LLC"/>
    <x v="4"/>
    <s v="Giovanni Gutierrez"/>
    <s v="Bill Thompson"/>
    <s v="BILL THOMPSON-ARRIVED TO UL TAWNY 8 12 4WB LOCATION, INSTALLED NEW BRIDLE, AND REPLACED CARRIER BAR BOLT. ALIGNED HEAD AND CHECKED STRUCTURAL BOLTS."/>
    <s v="5051035"/>
    <s v="Upstream"/>
    <s v="159628"/>
    <s v="USD"/>
    <n v="1614.85"/>
    <s v="Direct Entry"/>
    <s v="1"/>
    <s v="TANDEM/CRANE WITH OPERATOR AND PUMPING UNIT WORK"/>
    <s v="TANDEM/CRANE WITH OPERATOR AND PUMPING UNIT WORK"/>
    <s v=""/>
    <d v="2025-10-10T12:56:10"/>
    <d v="2025-09-26T15:00:00"/>
    <d v="2025-09-26T16:15:00"/>
    <s v=""/>
    <s v="UL Tawny 8 12 4WB"/>
    <s v=""/>
    <s v=""/>
    <s v=""/>
    <s v=""/>
    <s v=""/>
    <s v=""/>
    <s v=""/>
    <s v=""/>
    <s v=""/>
    <s v=""/>
    <s v=""/>
    <s v=""/>
    <s v=""/>
    <s v=""/>
    <s v=""/>
    <s v=""/>
    <s v=""/>
    <s v=""/>
    <s v=""/>
    <s v=""/>
    <s v=""/>
    <s v=""/>
    <s v="Equipment"/>
    <s v=""/>
    <s v=""/>
    <s v=""/>
    <s v="1000525500"/>
    <s v="UL TAWNY UNIT 8-12 4WB"/>
    <s v="Upstream"/>
    <s v="1046"/>
    <s v=""/>
    <s v=""/>
    <s v=""/>
    <s v=""/>
    <s v=""/>
    <s v=""/>
    <s v=""/>
    <n v="1.25"/>
    <s v="HR"/>
    <n v="203"/>
    <s v=""/>
    <n v="253.75"/>
    <s v="--multiple--"/>
    <s v="701830"/>
    <d v="2025-10-10T12:59:09"/>
    <s v=""/>
    <s v=""/>
    <s v=""/>
    <s v=""/>
  </r>
  <r>
    <s v="121332"/>
    <s v="K B Electrical Construction Company"/>
    <x v="4"/>
    <s v="Giovanni Gutierrez"/>
    <s v="Bill Thompson"/>
    <s v="FURNISH LABOR AND EQUIPMENT TO TIGHTEN BELTS ON UNIT."/>
    <s v="5051035"/>
    <s v="Upstream"/>
    <s v="162818"/>
    <s v="USD"/>
    <n v="319"/>
    <s v="Direct Entry"/>
    <s v="1"/>
    <s v="ELECTRICIAN"/>
    <s v="ELECTRICIAN"/>
    <s v="ELECTRICIAN"/>
    <d v="2025-10-09T14:45:21"/>
    <d v="2025-10-01T11:30:00"/>
    <d v="2025-10-01T13:30:00"/>
    <s v=""/>
    <s v="UNIVERSITY 7-17 B1 WSW"/>
    <s v=""/>
    <s v=""/>
    <s v=""/>
    <s v=""/>
    <s v=""/>
    <s v=""/>
    <s v=""/>
    <s v=""/>
    <s v=""/>
    <s v=""/>
    <s v=""/>
    <s v=""/>
    <s v=""/>
    <s v=""/>
    <s v=""/>
    <s v=""/>
    <s v=""/>
    <s v=""/>
    <s v=""/>
    <s v=""/>
    <s v=""/>
    <s v=""/>
    <s v="Labor"/>
    <s v=""/>
    <s v=""/>
    <s v=""/>
    <s v="1000383600"/>
    <s v="UNIVERSITY 7-17B 1"/>
    <s v="Upstream"/>
    <s v="1046"/>
    <s v=""/>
    <s v=""/>
    <s v=""/>
    <s v=""/>
    <s v=""/>
    <s v=""/>
    <s v=""/>
    <n v="2"/>
    <s v="hour"/>
    <n v="52.8"/>
    <s v=""/>
    <n v="105.6"/>
    <s v="E-Maintenance"/>
    <s v="704332"/>
    <d v="2025-10-10T08:51:32"/>
    <s v=""/>
    <s v=""/>
    <s v=""/>
    <s v=""/>
  </r>
  <r>
    <s v="210788"/>
    <s v="Basin Trucking LLC"/>
    <x v="7"/>
    <s v="Giovanni Gutierrez"/>
    <s v="Bill Thompson"/>
    <s v="picked up the forklift and manlift hauled off._x000a_3rd party Right Light"/>
    <s v="5051049"/>
    <s v="Upstream"/>
    <s v="165669"/>
    <s v="USD"/>
    <n v="1023.5"/>
    <s v="Direct Entry"/>
    <s v="1"/>
    <s v="3rd Party + 15% Markup"/>
    <s v="3rd Party + 15% Markup"/>
    <s v=""/>
    <d v="2025-10-09T06:36:48"/>
    <d v="2025-10-03T09:00:00"/>
    <d v="2025-10-03T17:00:00"/>
    <s v=""/>
    <s v="UL Benson Battery"/>
    <s v=""/>
    <s v=""/>
    <s v=""/>
    <s v=""/>
    <s v=""/>
    <s v=""/>
    <s v=""/>
    <s v=""/>
    <s v=""/>
    <s v=""/>
    <s v=""/>
    <s v=""/>
    <s v=""/>
    <s v=""/>
    <s v=""/>
    <s v=""/>
    <s v=""/>
    <s v=""/>
    <s v=""/>
    <s v=""/>
    <s v=""/>
    <s v=""/>
    <s v="Equipment"/>
    <s v=""/>
    <s v=""/>
    <s v=""/>
    <s v="8000046200"/>
    <s v="UL BENSON BATTERY"/>
    <s v="Upstream"/>
    <s v="1046"/>
    <s v=""/>
    <s v=""/>
    <s v=""/>
    <s v=""/>
    <s v=""/>
    <s v=""/>
    <s v=""/>
    <n v="1"/>
    <s v="HR"/>
    <n v="1023.5"/>
    <s v=""/>
    <n v="1023.5"/>
    <s v="--multiple--"/>
    <s v="703517"/>
    <d v="2025-10-09T07:40:54"/>
    <s v=""/>
    <s v=""/>
    <s v="Service Date/Time Issue"/>
    <s v=""/>
  </r>
  <r>
    <s v="217633"/>
    <s v="S&amp;R Compression LLC"/>
    <x v="3"/>
    <s v="Adolfo Chavez"/>
    <s v="Billy Brookshire"/>
    <s v="CONTRACT MECHANIC SERVICE UNIT 23132"/>
    <s v="5051064"/>
    <s v="Upstream"/>
    <s v=""/>
    <s v="USD"/>
    <n v="900"/>
    <s v="Direct Entry"/>
    <s v="1"/>
    <s v="CONTRACT MECHANIC SOLD SERVICE"/>
    <s v="CONTRACT MECHANIC SOLD SERVICE"/>
    <s v=""/>
    <d v="2025-09-23T13:04:25"/>
    <d v="2025-09-01T00:00:00"/>
    <d v="2025-09-30T00:00:00"/>
    <s v=""/>
    <s v=""/>
    <s v=""/>
    <s v=""/>
    <s v=""/>
    <s v=""/>
    <s v=""/>
    <s v=""/>
    <s v=""/>
    <s v=""/>
    <s v=""/>
    <s v=""/>
    <s v=""/>
    <s v=""/>
    <s v=""/>
    <s v=""/>
    <s v=""/>
    <s v=""/>
    <s v=""/>
    <s v=""/>
    <s v=""/>
    <s v=""/>
    <s v=""/>
    <s v=""/>
    <s v="Equipment"/>
    <s v=""/>
    <s v=""/>
    <s v=""/>
    <s v="8300018000"/>
    <s v="ROBERTSON RANCH EAST BATTERY"/>
    <s v="Upstream"/>
    <s v="1046"/>
    <s v=""/>
    <s v=""/>
    <s v=""/>
    <s v=""/>
    <s v=""/>
    <s v=""/>
    <s v=""/>
    <n v="1"/>
    <s v="EA"/>
    <n v="900"/>
    <s v=""/>
    <n v="900"/>
    <s v="--multiple--"/>
    <s v="709323"/>
    <d v="2025-09-29T15:48:09"/>
    <s v=""/>
    <s v=""/>
    <s v=""/>
    <s v=""/>
  </r>
  <r>
    <s v="217615"/>
    <s v="S&amp;R Compression LLC"/>
    <x v="3"/>
    <s v="Adolfo Chavez"/>
    <s v="Billy Brookshire"/>
    <s v="CONTRACT MECHANIC - MONTHLY SERVICE UNIT 21047"/>
    <s v="5051064"/>
    <s v="Upstream"/>
    <s v=""/>
    <s v="USD"/>
    <n v="900"/>
    <s v="Direct Entry"/>
    <s v="1"/>
    <s v="CONTRACT MECHANIC SOLD SERVICE"/>
    <s v="CONTRACT MECHANIC SOLD SERVICE"/>
    <s v=""/>
    <d v="2025-09-23T13:59:14"/>
    <d v="2025-09-01T00:00:00"/>
    <d v="2025-10-01T00:00:00"/>
    <s v=""/>
    <s v="MAVERICK H FACILITY"/>
    <s v=""/>
    <s v=""/>
    <s v=""/>
    <s v=""/>
    <s v=""/>
    <s v=""/>
    <s v=""/>
    <s v=""/>
    <s v=""/>
    <s v=""/>
    <s v=""/>
    <s v=""/>
    <s v=""/>
    <s v=""/>
    <s v=""/>
    <s v=""/>
    <s v=""/>
    <s v=""/>
    <s v=""/>
    <s v=""/>
    <s v=""/>
    <s v=""/>
    <s v="Material"/>
    <s v=""/>
    <s v=""/>
    <s v=""/>
    <s v="8000119700"/>
    <s v="MAVERICK 11-2 BATTERY"/>
    <s v="Upstream"/>
    <s v="1046"/>
    <s v=""/>
    <s v=""/>
    <s v=""/>
    <s v=""/>
    <s v=""/>
    <s v=""/>
    <s v=""/>
    <n v="1"/>
    <s v="EA"/>
    <n v="900"/>
    <s v=""/>
    <n v="900"/>
    <s v="--multiple--"/>
    <s v="709323"/>
    <d v="2025-09-29T15:47:57"/>
    <s v=""/>
    <s v=""/>
    <s v=""/>
    <s v=""/>
  </r>
  <r>
    <s v="217614"/>
    <s v="S&amp;R Compression LLC"/>
    <x v="3"/>
    <s v="Adolfo Chavez"/>
    <s v="Billy Brookshire"/>
    <s v="CONTRACT MECHANIC - MONTHLY SERVICE UNIT 21036"/>
    <s v="5051064"/>
    <s v="Upstream"/>
    <s v=""/>
    <s v="USD"/>
    <n v="900"/>
    <s v="Direct Entry"/>
    <s v="1"/>
    <s v="CONTRACT MECHANIC SOLD SERVICE"/>
    <s v="CONTRACT MECHANIC SOLD SERVICE"/>
    <s v=""/>
    <d v="2025-09-23T14:01:27"/>
    <d v="2025-09-01T00:00:00"/>
    <d v="2025-09-30T00:00:00"/>
    <s v=""/>
    <s v="MAVERICK H FACILITY"/>
    <s v=""/>
    <s v=""/>
    <s v=""/>
    <s v=""/>
    <s v=""/>
    <s v=""/>
    <s v=""/>
    <s v=""/>
    <s v=""/>
    <s v=""/>
    <s v=""/>
    <s v=""/>
    <s v=""/>
    <s v=""/>
    <s v=""/>
    <s v=""/>
    <s v=""/>
    <s v=""/>
    <s v=""/>
    <s v=""/>
    <s v=""/>
    <s v=""/>
    <s v="Material"/>
    <s v=""/>
    <s v=""/>
    <s v=""/>
    <s v="8000119700"/>
    <s v="MAVERICK 11-2 BATTERY"/>
    <s v="Upstream"/>
    <s v="1046"/>
    <s v=""/>
    <s v=""/>
    <s v=""/>
    <s v=""/>
    <s v=""/>
    <s v=""/>
    <s v=""/>
    <n v="1"/>
    <s v="EA"/>
    <n v="900"/>
    <s v=""/>
    <n v="900"/>
    <s v="--multiple--"/>
    <s v="709323"/>
    <d v="2025-09-29T15:47:56"/>
    <s v=""/>
    <s v=""/>
    <s v=""/>
    <s v=""/>
  </r>
  <r>
    <s v="217612"/>
    <s v="S&amp;R Compression LLC"/>
    <x v="3"/>
    <s v="Adolfo Chavez"/>
    <s v="Billy Brookshire"/>
    <s v="CONTRACT MECHANIC - MONTHLY SERVICE UNIT 19210"/>
    <s v="5051064"/>
    <s v="Upstream"/>
    <s v=""/>
    <s v="USD"/>
    <n v="900"/>
    <s v="Direct Entry"/>
    <s v="1"/>
    <s v="CONTRACT MECHANIC SOLD SERVICE"/>
    <s v="CONTRACT MECHANIC SOLD SERVICE"/>
    <s v=""/>
    <d v="2025-09-23T14:10:51"/>
    <d v="2025-09-01T00:00:00"/>
    <d v="2025-09-30T00:00:00"/>
    <s v=""/>
    <s v="MARGIE FACILITY BOOSTER"/>
    <s v=""/>
    <s v=""/>
    <s v=""/>
    <s v=""/>
    <s v=""/>
    <s v=""/>
    <s v=""/>
    <s v=""/>
    <s v=""/>
    <s v=""/>
    <s v=""/>
    <s v=""/>
    <s v=""/>
    <s v=""/>
    <s v=""/>
    <s v=""/>
    <s v=""/>
    <s v=""/>
    <s v=""/>
    <s v=""/>
    <s v=""/>
    <s v=""/>
    <s v="Material"/>
    <s v=""/>
    <s v=""/>
    <s v=""/>
    <s v="8000119500"/>
    <s v="SRN MARGIE BATTERY"/>
    <s v="Upstream"/>
    <s v="1046"/>
    <s v=""/>
    <s v=""/>
    <s v=""/>
    <s v=""/>
    <s v=""/>
    <s v=""/>
    <s v=""/>
    <n v="1"/>
    <s v="EA"/>
    <n v="900"/>
    <s v=""/>
    <n v="900"/>
    <s v="--multiple--"/>
    <s v="709323"/>
    <d v="2025-09-29T15:47:55"/>
    <s v=""/>
    <s v=""/>
    <s v=""/>
    <s v=""/>
  </r>
  <r>
    <s v="122539"/>
    <s v="J&amp;W Services &amp; Equipment Co., Inc"/>
    <x v="7"/>
    <s v="Adolfo Chavez"/>
    <s v="Billy Brookshire"/>
    <s v="WELLHEAD FIELD SERVICE - CERBERUS 11-23 UNIT 2 164"/>
    <s v="5051062"/>
    <s v="Upstream"/>
    <s v=""/>
    <s v="USD"/>
    <n v="735.75"/>
    <s v="Direct Entry"/>
    <s v="1"/>
    <s v="FIELD SERVICE"/>
    <s v="Field Service Hours - Labor"/>
    <s v="Drilling Services, Exploration, &amp; Wellwork"/>
    <d v="2025-10-09T13:17:05"/>
    <d v="2025-09-03T01:00:00"/>
    <d v="2025-09-03T01:00:00"/>
    <s v=""/>
    <s v="CERBERUS 11-23 UNIT 2 164"/>
    <s v=""/>
    <s v=""/>
    <s v=""/>
    <s v=""/>
    <s v=""/>
    <s v=""/>
    <s v=""/>
    <s v=""/>
    <s v=""/>
    <s v=""/>
    <s v=""/>
    <s v=""/>
    <s v=""/>
    <s v=""/>
    <s v=""/>
    <s v=""/>
    <s v=""/>
    <s v=""/>
    <s v=""/>
    <s v=""/>
    <s v=""/>
    <s v=""/>
    <s v="Equipment"/>
    <s v=""/>
    <s v=""/>
    <s v=""/>
    <s v="1001506200"/>
    <s v="CERBERUS 11-23 UNIT 2 164"/>
    <s v="Upstream"/>
    <s v="1046"/>
    <s v=""/>
    <s v=""/>
    <s v=""/>
    <s v=""/>
    <s v=""/>
    <s v=""/>
    <s v=""/>
    <n v="4"/>
    <s v="HR"/>
    <n v="85"/>
    <s v=""/>
    <n v="340"/>
    <s v="--multiple--"/>
    <s v="707981"/>
    <d v="2025-10-09T13:21:48"/>
    <s v=""/>
    <s v=""/>
    <s v=""/>
    <s v=""/>
  </r>
  <r>
    <s v="301723"/>
    <s v="Cowboy Pump &amp; Supply"/>
    <x v="5"/>
    <s v="Adolfo Chavez"/>
    <s v="Billy Brookshire"/>
    <s v="PARTS DELIVERED"/>
    <s v="5051028"/>
    <s v="Upstream"/>
    <s v=""/>
    <s v="USD"/>
    <n v="180.41"/>
    <s v="Direct Entry"/>
    <s v="1"/>
    <s v="15-XXXXXXXXXXXX"/>
    <s v="CRMPR KLEIN"/>
    <s v="CREDIT CARD PURCHASE"/>
    <d v="2025-10-13T12:24:54"/>
    <d v="2025-09-15T00:00:00"/>
    <d v="2025-09-15T00:00:00"/>
    <s v=""/>
    <s v=""/>
    <s v=""/>
    <s v=""/>
    <s v=""/>
    <s v=""/>
    <s v=""/>
    <s v=""/>
    <s v=""/>
    <s v=""/>
    <s v=""/>
    <s v=""/>
    <s v=""/>
    <s v=""/>
    <s v=""/>
    <s v=""/>
    <s v=""/>
    <s v=""/>
    <s v=""/>
    <s v=""/>
    <s v=""/>
    <s v=""/>
    <s v=""/>
    <s v=""/>
    <s v="Material"/>
    <s v=""/>
    <s v=""/>
    <s v=""/>
    <s v="8000309100"/>
    <s v="DOOLITTLE BATTERY"/>
    <s v="Upstream"/>
    <s v="1046"/>
    <s v=""/>
    <s v=""/>
    <s v=""/>
    <s v=""/>
    <s v=""/>
    <s v=""/>
    <s v=""/>
    <n v="1"/>
    <s v="EA"/>
    <n v="70.55"/>
    <s v=""/>
    <n v="70.55"/>
    <s v="E-Maintenance"/>
    <s v="703921"/>
    <d v="2025-10-13T12:33:43"/>
    <s v=""/>
    <s v=""/>
    <s v=""/>
    <s v=""/>
  </r>
  <r>
    <s v="301454"/>
    <s v="Cowboy Pump &amp; Supply"/>
    <x v="5"/>
    <s v="Adolfo Chavez"/>
    <s v="Billy Brookshire"/>
    <s v="PARTS DELIVERED"/>
    <s v="5051049"/>
    <s v="Upstream"/>
    <s v=""/>
    <s v="USD"/>
    <n v="1395.15"/>
    <s v="Direct Entry"/>
    <s v="1"/>
    <s v="99-IBOMATERIALS"/>
    <s v="1/4&quot; BRASS POP OFF 150#"/>
    <s v="PRODUCTION MAINTENANCE"/>
    <d v="2025-10-13T13:45:54"/>
    <d v="2025-09-15T00:00:00"/>
    <d v="2025-09-15T00:00:00"/>
    <s v=""/>
    <s v=""/>
    <s v=""/>
    <s v=""/>
    <s v=""/>
    <s v=""/>
    <s v=""/>
    <s v=""/>
    <s v=""/>
    <s v=""/>
    <s v=""/>
    <s v=""/>
    <s v=""/>
    <s v=""/>
    <s v=""/>
    <s v=""/>
    <s v=""/>
    <s v=""/>
    <s v=""/>
    <s v=""/>
    <s v=""/>
    <s v=""/>
    <s v=""/>
    <s v=""/>
    <s v="Material"/>
    <s v=""/>
    <s v=""/>
    <s v=""/>
    <s v="8000313300"/>
    <s v="TACKLEBOX BATTERY"/>
    <s v="Upstream"/>
    <s v="1046"/>
    <s v=""/>
    <s v=""/>
    <s v=""/>
    <s v=""/>
    <s v=""/>
    <s v=""/>
    <s v=""/>
    <n v="10"/>
    <s v="EA"/>
    <n v="51.48"/>
    <s v=""/>
    <n v="514.79999999999995"/>
    <s v="E-Maintenance"/>
    <s v="703921"/>
    <d v="2025-10-13T13:53:08"/>
    <s v=""/>
    <s v=""/>
    <s v=""/>
    <s v=""/>
  </r>
  <r>
    <s v="301717"/>
    <s v="Cowboy Pump &amp; Supply"/>
    <x v="5"/>
    <s v="Adolfo Chavez"/>
    <s v="Billy Brookshire"/>
    <s v="PARTS DELIVERED"/>
    <s v="5051028"/>
    <s v="Upstream"/>
    <s v=""/>
    <s v="USD"/>
    <n v="398.03"/>
    <s v="Direct Entry"/>
    <s v="1"/>
    <s v="15-XXXXXXXXXXXX"/>
    <s v="18' LADDER"/>
    <s v="CREDIT CARD PURCHASE"/>
    <d v="2025-10-13T12:36:28"/>
    <d v="2025-09-16T00:00:00"/>
    <d v="2025-09-16T00:00:00"/>
    <s v=""/>
    <s v=""/>
    <s v=""/>
    <s v=""/>
    <s v=""/>
    <s v=""/>
    <s v=""/>
    <s v=""/>
    <s v=""/>
    <s v=""/>
    <s v=""/>
    <s v=""/>
    <s v=""/>
    <s v=""/>
    <s v=""/>
    <s v=""/>
    <s v=""/>
    <s v=""/>
    <s v=""/>
    <s v=""/>
    <s v=""/>
    <s v=""/>
    <s v=""/>
    <s v=""/>
    <s v="Material"/>
    <s v=""/>
    <s v=""/>
    <s v=""/>
    <s v="8000119700"/>
    <s v="MAVERICK 11-2 BATTERY"/>
    <s v="Upstream"/>
    <s v="1046"/>
    <s v=""/>
    <s v=""/>
    <s v=""/>
    <s v=""/>
    <s v=""/>
    <s v=""/>
    <s v=""/>
    <n v="1"/>
    <s v="EA"/>
    <n v="398.03"/>
    <s v=""/>
    <n v="398.03"/>
    <s v="E-Maintenance"/>
    <s v="703921"/>
    <d v="2025-10-13T12:42:16"/>
    <s v=""/>
    <s v=""/>
    <s v=""/>
    <s v=""/>
  </r>
  <r>
    <s v="11-184541"/>
    <s v="Milestone Environmental Services, LLC"/>
    <x v="5"/>
    <s v="Adolfo Chavez"/>
    <s v="Billy Brookshire"/>
    <s v="Disposal Ticket"/>
    <s v="5051013"/>
    <s v="Upstream"/>
    <s v=""/>
    <s v="USD"/>
    <n v="250"/>
    <s v="B2B"/>
    <s v="1"/>
    <s v="ODW"/>
    <s v="Oily Dirty Water"/>
    <s v="WATER"/>
    <d v="2025-10-02T07:31:05"/>
    <d v="2025-09-23T13:16:00"/>
    <d v="2025-09-23T14:16:00"/>
    <d v="1899-12-30T01:00:00"/>
    <s v="ROBERT RANCH WEST BATTERY"/>
    <s v=""/>
    <s v=""/>
    <s v="ODW"/>
    <s v=""/>
    <s v=""/>
    <s v=""/>
    <s v=""/>
    <n v="0"/>
    <s v=""/>
    <s v=""/>
    <s v=""/>
    <s v=""/>
    <s v=""/>
    <s v=""/>
    <s v=""/>
    <s v=""/>
    <s v=""/>
    <s v=""/>
    <s v=""/>
    <s v="Imperial"/>
    <n v="10"/>
    <s v="bbl"/>
    <s v=""/>
    <s v=""/>
    <s v=""/>
    <s v=""/>
    <s v="8000312600"/>
    <s v="ROBERTSON RANCH WEST BATTERY"/>
    <s v="Upstream"/>
    <s v="1046"/>
    <s v=""/>
    <s v=""/>
    <s v=""/>
    <s v=""/>
    <s v=""/>
    <s v=""/>
    <s v="Other"/>
    <n v="10"/>
    <s v="BBL"/>
    <n v="5"/>
    <s v=""/>
    <n v="50"/>
    <s v="Pricebook"/>
    <s v="708539"/>
    <d v="2025-10-07T14:58:31"/>
    <s v=""/>
    <s v=""/>
    <s v=""/>
    <s v=""/>
  </r>
  <r>
    <s v="252215"/>
    <s v="NLP Enterprises, LLC"/>
    <x v="5"/>
    <s v="Adolfo Chavez"/>
    <s v="Billy Brookshire"/>
    <s v="Fixed road and back dragged location."/>
    <s v="5051027"/>
    <s v="Upstream"/>
    <s v=""/>
    <s v="USD"/>
    <n v="840"/>
    <s v="Direct Entry"/>
    <s v="1"/>
    <s v="D6"/>
    <s v="Diamondback - Backhoe &amp; Operator"/>
    <s v=""/>
    <d v="2025-10-10T06:43:20"/>
    <d v="2025-09-26T07:00:00"/>
    <d v="2025-09-26T15:00:00"/>
    <s v=""/>
    <s v=""/>
    <s v=""/>
    <s v=""/>
    <s v=""/>
    <s v=""/>
    <s v=""/>
    <s v=""/>
    <s v=""/>
    <s v=""/>
    <s v=""/>
    <s v=""/>
    <s v=""/>
    <s v=""/>
    <s v=""/>
    <s v=""/>
    <s v=""/>
    <s v=""/>
    <s v=""/>
    <s v=""/>
    <s v=""/>
    <s v=""/>
    <s v=""/>
    <s v=""/>
    <s v="Labor"/>
    <s v=""/>
    <s v=""/>
    <s v=""/>
    <s v="8000313300"/>
    <s v="TACKLEBOX BATTERY"/>
    <s v="Upstream"/>
    <s v="1046"/>
    <s v=""/>
    <s v=""/>
    <s v=""/>
    <s v=""/>
    <s v=""/>
    <s v=""/>
    <s v=""/>
    <n v="8"/>
    <s v="HR"/>
    <n v="105"/>
    <s v=""/>
    <n v="840"/>
    <s v="--multiple--"/>
    <s v="700289"/>
    <d v="2025-10-13T15:15:51"/>
    <s v=""/>
    <s v=""/>
    <s v="Ticket Amount Error"/>
    <s v=""/>
  </r>
  <r>
    <s v="16177"/>
    <s v="Oil Spill Clean Up, Inc"/>
    <x v="0"/>
    <s v="Andrew Bazewicz"/>
    <s v="Javier Barrera"/>
    <s v="Contract Pumping Pumped on Route 19B"/>
    <s v="5051012"/>
    <s v="Upstream"/>
    <s v=""/>
    <s v="USD"/>
    <n v="1150"/>
    <s v="B2B"/>
    <s v="1"/>
    <s v="Pumping"/>
    <s v="Contract Pumper"/>
    <s v=""/>
    <d v="2025-10-10T01:46:18"/>
    <d v="2025-10-08T07:00:00"/>
    <d v="2025-10-08T18:30:00"/>
    <s v=""/>
    <s v="SDB-BLB-19B Route 19B"/>
    <s v=""/>
    <s v=""/>
    <s v=""/>
    <s v=""/>
    <s v=""/>
    <s v=""/>
    <s v=""/>
    <s v=""/>
    <s v=""/>
    <s v=""/>
    <s v=""/>
    <s v=""/>
    <s v=""/>
    <s v=""/>
    <s v=""/>
    <s v=""/>
    <s v=""/>
    <s v=""/>
    <s v=""/>
    <s v=""/>
    <s v=""/>
    <s v=""/>
    <s v="Labor"/>
    <s v=""/>
    <s v=""/>
    <s v=""/>
    <s v="9100007700"/>
    <s v="SDB-BLB 19B"/>
    <s v="Upstream"/>
    <s v="1046"/>
    <s v=""/>
    <s v=""/>
    <s v=""/>
    <s v=""/>
    <s v=""/>
    <s v=""/>
    <s v="Other"/>
    <n v="11.5"/>
    <s v="HR"/>
    <n v="100"/>
    <s v=""/>
    <n v="1150"/>
    <s v="--multiple--"/>
    <s v="703239"/>
    <d v="2025-10-10T08:24:41"/>
    <s v=""/>
    <s v=""/>
    <s v=""/>
    <s v=""/>
  </r>
  <r>
    <s v="16181"/>
    <s v="Oil Spill Clean Up, Inc"/>
    <x v="0"/>
    <s v="Andrew Bazewicz"/>
    <s v="Javier Barrera"/>
    <s v="Drove to location and sucked up containments of receiving pumps. State Biggs Battery 8:15 am to 8:45 am (0.5 hrs) Drove to location, sucked up rain water on cellar. Neal Lethco 35-36 Unit 6WA 8:45 am to 9:45 am (1 hr) Neal Lethco 35-36 Unit 3WA 9:45 am to 10:15 am (0.5 hrs) Drove to location and sucked up containments of receiving pumps. Neal Lethco 29 1H Battery 10:15 am to 10:45 am (0.5 hrs) Neal Lethco Smalls Battery 10:45 am to 1:30 pm (2.75 hrs) Drove to location set up truck and hoses, cleaned large oil spill in battery containment. Neal Lethco State 20 Battery 1:30 pm to 6 pm (4.5 hrs)"/>
    <s v="5051057"/>
    <s v="Upstream"/>
    <s v=""/>
    <s v="USD"/>
    <n v="877.5"/>
    <s v="B2B"/>
    <s v="1"/>
    <s v="Vacuum Truck (V1)"/>
    <s v="Vacuum Truck"/>
    <s v="Vacuum Truck"/>
    <d v="2025-10-10T02:23:13"/>
    <d v="2025-10-08T08:15:00"/>
    <d v="2025-10-08T18:00:00"/>
    <s v=""/>
    <s v="Multiple"/>
    <s v=""/>
    <s v=""/>
    <s v=""/>
    <s v=""/>
    <s v=""/>
    <s v=""/>
    <s v=""/>
    <s v=""/>
    <s v=""/>
    <s v=""/>
    <s v=""/>
    <s v=""/>
    <s v=""/>
    <s v=""/>
    <s v=""/>
    <s v=""/>
    <s v=""/>
    <s v=""/>
    <s v=""/>
    <s v=""/>
    <s v=""/>
    <s v=""/>
    <s v="Equipment"/>
    <s v=""/>
    <s v=""/>
    <s v=""/>
    <s v="8000011200"/>
    <s v="STATE BIGGS BATTERY"/>
    <s v="Upstream"/>
    <s v="1046"/>
    <s v=""/>
    <s v=""/>
    <s v=""/>
    <s v=""/>
    <s v=""/>
    <s v=""/>
    <s v="Other"/>
    <n v="0.5"/>
    <s v="HR"/>
    <n v="90"/>
    <s v=""/>
    <n v="45"/>
    <s v="--multiple--"/>
    <s v="703239"/>
    <d v="2025-10-10T08:32:14"/>
    <s v=""/>
    <s v=""/>
    <s v=""/>
    <s v=""/>
  </r>
  <r>
    <s v="16185"/>
    <s v="Oil Spill Clean Up, Inc"/>
    <x v="0"/>
    <s v="Andrew Bazewicz"/>
    <s v="Javier Barrera"/>
    <s v="Contract Pumping Assisted on pumping Route 19B"/>
    <s v="5051012"/>
    <s v="Upstream"/>
    <s v=""/>
    <s v="USD"/>
    <n v="1100"/>
    <s v="B2B"/>
    <s v="1"/>
    <s v="Pumping"/>
    <s v="Contract Pumper"/>
    <s v=""/>
    <d v="2025-10-11T21:41:58"/>
    <d v="2025-10-09T07:00:00"/>
    <d v="2025-10-09T18:00:00"/>
    <s v=""/>
    <s v="SDB-BLB-19B Route 19B"/>
    <s v=""/>
    <s v=""/>
    <s v=""/>
    <s v=""/>
    <s v=""/>
    <s v=""/>
    <s v=""/>
    <s v=""/>
    <s v=""/>
    <s v=""/>
    <s v=""/>
    <s v=""/>
    <s v=""/>
    <s v=""/>
    <s v=""/>
    <s v=""/>
    <s v=""/>
    <s v=""/>
    <s v=""/>
    <s v=""/>
    <s v=""/>
    <s v=""/>
    <s v="Labor"/>
    <s v=""/>
    <s v=""/>
    <s v=""/>
    <s v="9100007700"/>
    <s v="SDB-BLB 19B"/>
    <s v="Upstream"/>
    <s v="1046"/>
    <s v=""/>
    <s v=""/>
    <s v=""/>
    <s v=""/>
    <s v=""/>
    <s v=""/>
    <s v="Other"/>
    <n v="11"/>
    <s v="HR"/>
    <n v="100"/>
    <s v=""/>
    <n v="1100"/>
    <s v="--multiple--"/>
    <s v="703239"/>
    <d v="2025-10-13T08:35:01"/>
    <s v=""/>
    <s v=""/>
    <s v=""/>
    <s v=""/>
  </r>
  <r>
    <s v="53278"/>
    <s v="TCC Sandblasting &amp; Coating"/>
    <x v="5"/>
    <s v="Chris Mendoza"/>
    <s v="Billy Brookshire"/>
    <s v="TCC provided safety for sandblast crew to make entry into tank to brush blast, and coat"/>
    <s v="5051108"/>
    <s v="Upstream"/>
    <s v="154717"/>
    <s v="USD"/>
    <n v="1612"/>
    <s v="Direct Entry"/>
    <s v="1"/>
    <s v="Air Trailer - Daily"/>
    <s v="Air Trailer - Daily"/>
    <s v=""/>
    <d v="2025-10-07T11:46:44"/>
    <d v="2025-09-16T10:15:00"/>
    <d v="2025-09-16T18:15:00"/>
    <s v=""/>
    <s v=""/>
    <s v=""/>
    <s v=""/>
    <s v=""/>
    <s v=""/>
    <s v=""/>
    <s v=""/>
    <s v=""/>
    <s v=""/>
    <s v=""/>
    <s v=""/>
    <s v=""/>
    <s v=""/>
    <s v=""/>
    <s v=""/>
    <s v=""/>
    <s v=""/>
    <s v=""/>
    <s v=""/>
    <s v=""/>
    <s v=""/>
    <s v=""/>
    <s v=""/>
    <s v="Equipment"/>
    <s v=""/>
    <s v=""/>
    <s v=""/>
    <s v="8300178300"/>
    <s v="CHOATE 1 BATTERY"/>
    <s v="Upstream"/>
    <s v="1046"/>
    <s v=""/>
    <s v=""/>
    <s v=""/>
    <s v=""/>
    <s v=""/>
    <s v=""/>
    <s v=""/>
    <n v="1"/>
    <s v="Day"/>
    <n v="175"/>
    <s v=""/>
    <n v="175"/>
    <s v="--multiple--"/>
    <s v="704988"/>
    <d v="2025-10-09T17:41:17"/>
    <s v=""/>
    <s v=""/>
    <s v="Validation Overlapping Hours"/>
    <s v=""/>
  </r>
  <r>
    <s v="36037"/>
    <s v="Raider Pump &amp; Supply Inc"/>
    <x v="3"/>
    <s v="Chris Mendoza"/>
    <s v="Billy Brookshire"/>
    <s v="2&quot; XH 45"/>
    <s v="5051062"/>
    <s v="Upstream"/>
    <s v="167931"/>
    <s v="USD"/>
    <n v="22.12"/>
    <s v="Direct Entry"/>
    <s v="1"/>
    <s v="PLE-200-45-XH"/>
    <s v="2&quot; XH 45"/>
    <s v=""/>
    <d v="2025-10-13T08:35:59"/>
    <d v="2025-09-30T00:00:00"/>
    <d v="2025-09-30T00:00:00"/>
    <s v=""/>
    <s v=""/>
    <s v=""/>
    <s v=""/>
    <s v=""/>
    <s v=""/>
    <s v=""/>
    <s v=""/>
    <s v=""/>
    <s v=""/>
    <s v=""/>
    <s v=""/>
    <s v=""/>
    <s v=""/>
    <s v=""/>
    <s v=""/>
    <s v=""/>
    <s v=""/>
    <s v=""/>
    <s v=""/>
    <s v=""/>
    <s v=""/>
    <s v=""/>
    <s v=""/>
    <s v="Material"/>
    <s v=""/>
    <s v=""/>
    <s v=""/>
    <s v="1001785800"/>
    <s v="CARLILE 4"/>
    <s v="Upstream"/>
    <s v="1046"/>
    <s v=""/>
    <s v=""/>
    <s v=""/>
    <s v=""/>
    <s v=""/>
    <s v=""/>
    <s v=""/>
    <n v="1"/>
    <s v="EA"/>
    <n v="22.12"/>
    <s v=""/>
    <n v="22.12"/>
    <s v="E-Maintenance"/>
    <s v="703264"/>
    <d v="2025-10-13T08:36:55"/>
    <s v=""/>
    <s v=""/>
    <s v=""/>
    <s v=""/>
  </r>
  <r>
    <s v="52481"/>
    <s v="Redhead Services LLC"/>
    <x v="1"/>
    <s v="Andres Campos"/>
    <s v="Aron Nunez"/>
    <s v="Call Out"/>
    <s v="5051006"/>
    <s v="Upstream"/>
    <s v="163999"/>
    <s v="USD"/>
    <n v="227"/>
    <s v="B2B"/>
    <s v="1"/>
    <s v="Labor"/>
    <s v="Replaced belts"/>
    <s v=""/>
    <d v="2025-10-07T13:28:04"/>
    <d v="2025-10-06T14:15:00"/>
    <d v="2025-10-06T15:15:00"/>
    <s v=""/>
    <s v="Shortes 45A 1"/>
    <s v=""/>
    <s v=""/>
    <s v=""/>
    <s v=""/>
    <s v=""/>
    <s v=""/>
    <s v=""/>
    <s v=""/>
    <s v=""/>
    <s v=""/>
    <s v=""/>
    <s v=""/>
    <s v=""/>
    <s v=""/>
    <s v=""/>
    <s v=""/>
    <s v=""/>
    <s v=""/>
    <s v=""/>
    <s v=""/>
    <s v=""/>
    <s v=""/>
    <s v="Labor"/>
    <s v=""/>
    <s v=""/>
    <s v=""/>
    <s v="8300151800"/>
    <s v="SHORTES 45A 1 BATTERY"/>
    <s v="Upstream"/>
    <s v="1046"/>
    <s v=""/>
    <s v=""/>
    <s v=""/>
    <s v=""/>
    <s v=""/>
    <s v=""/>
    <s v="Other"/>
    <n v="1"/>
    <s v="hour"/>
    <n v="110"/>
    <s v=""/>
    <n v="110"/>
    <s v="--multiple--"/>
    <s v="709146"/>
    <d v="2025-10-07T13:32:13"/>
    <s v=""/>
    <s v=""/>
    <s v=""/>
    <s v=""/>
  </r>
  <r>
    <s v="11138"/>
    <s v="Viper Energy Services &amp; Transport, LLC"/>
    <x v="1"/>
    <s v="Andres Campos"/>
    <s v="Joshua Bales"/>
    <s v="Maintenance Roustabout - Replaced corroed pipe and valve at waterline."/>
    <s v="5051023"/>
    <s v="Upstream"/>
    <s v="169817"/>
    <s v="USD"/>
    <n v="360"/>
    <s v="Direct Entry"/>
    <s v="1"/>
    <s v="R17"/>
    <s v="Roustabout"/>
    <s v="Roustabout"/>
    <d v="2025-10-08T06:31:28"/>
    <d v="2025-10-07T11:00:00"/>
    <d v="2025-10-07T14:00:00"/>
    <s v=""/>
    <s v="ADAMS NS 43-6 01 BATTERY"/>
    <s v=""/>
    <s v=""/>
    <s v=""/>
    <s v=""/>
    <s v=""/>
    <s v=""/>
    <s v=""/>
    <s v=""/>
    <s v=""/>
    <s v=""/>
    <s v=""/>
    <s v=""/>
    <s v=""/>
    <s v=""/>
    <s v=""/>
    <s v=""/>
    <s v=""/>
    <s v=""/>
    <s v=""/>
    <s v=""/>
    <s v=""/>
    <s v=""/>
    <s v="Labor"/>
    <s v=""/>
    <s v=""/>
    <s v=""/>
    <s v="8000036800"/>
    <s v="ADAMS NS 43-6 01 BATTERY"/>
    <s v="Upstream"/>
    <s v="1046"/>
    <s v=""/>
    <s v=""/>
    <s v=""/>
    <s v=""/>
    <s v=""/>
    <s v=""/>
    <s v=""/>
    <n v="3"/>
    <s v="HR"/>
    <n v="120"/>
    <s v=""/>
    <n v="360"/>
    <s v="--multiple--"/>
    <s v="712296"/>
    <d v="2025-10-08T13:23:50"/>
    <s v=""/>
    <s v=""/>
    <s v=""/>
    <s v=""/>
  </r>
  <r>
    <s v="OD1336188"/>
    <s v="Jet Specialty Inc"/>
    <x v="10"/>
    <s v="Andy Sensibaugh"/>
    <s v="Jared Miller"/>
    <s v="LEASE: COLLINGSWORTH; BUYER: ANDY S; PO: 167048"/>
    <s v="5051052"/>
    <s v="Upstream"/>
    <s v="167048"/>
    <s v="USD"/>
    <n v="1229.55"/>
    <s v="API"/>
    <s v="1"/>
    <s v="219514"/>
    <s v="3&quot; GRV ES COOPLOK COUPLING"/>
    <s v="Fitting:Grooved"/>
    <d v="2025-10-03T08:26:45"/>
    <d v="2025-09-29T00:01:00"/>
    <d v="2025-09-29T00:01:00"/>
    <s v=""/>
    <s v=""/>
    <s v=""/>
    <s v=""/>
    <s v=""/>
    <s v=""/>
    <s v=""/>
    <s v=""/>
    <s v=""/>
    <s v=""/>
    <s v=""/>
    <s v=""/>
    <s v=""/>
    <s v=""/>
    <s v=""/>
    <s v=""/>
    <s v=""/>
    <s v=""/>
    <s v=""/>
    <s v=""/>
    <s v=""/>
    <s v=""/>
    <s v=""/>
    <s v=""/>
    <s v="Material"/>
    <s v=""/>
    <s v=""/>
    <s v=""/>
    <s v="8000302100"/>
    <s v="COLLINGSWORTH BATTERY"/>
    <s v="Upstream"/>
    <s v="1046"/>
    <s v=""/>
    <s v=""/>
    <s v=""/>
    <s v=""/>
    <s v=""/>
    <s v=""/>
    <s v=""/>
    <n v="8"/>
    <s v="each"/>
    <n v="43.68"/>
    <s v=""/>
    <n v="349.44"/>
    <s v="--multiple--"/>
    <s v="708023"/>
    <d v="2025-10-03T08:32:05"/>
    <s v=""/>
    <s v=""/>
    <s v=""/>
    <s v=""/>
  </r>
  <r>
    <s v="5-117053"/>
    <s v="RK Supply"/>
    <x v="3"/>
    <s v="Josh Barrera"/>
    <s v="Billy Brookshire"/>
    <s v="Oilfield Parts and Supplies"/>
    <s v="5051049"/>
    <s v="Upstream"/>
    <s v="165701"/>
    <s v="USD"/>
    <n v="84.56"/>
    <s v="B2B"/>
    <s v="1"/>
    <s v="23405"/>
    <s v="8 150 RF BLIND"/>
    <s v="FLANGED"/>
    <d v="2025-10-04T18:55:14"/>
    <d v="2025-09-23T00:00:00"/>
    <d v="2025-09-23T00:00:00"/>
    <s v=""/>
    <s v="CERBERUS 11-23 BATTERY**049**"/>
    <s v=""/>
    <s v=""/>
    <s v=""/>
    <s v=""/>
    <s v=""/>
    <s v=""/>
    <s v=""/>
    <s v=""/>
    <s v=""/>
    <s v=""/>
    <s v=""/>
    <s v=""/>
    <s v=""/>
    <s v=""/>
    <s v=""/>
    <s v=""/>
    <s v=""/>
    <s v=""/>
    <s v=""/>
    <s v=""/>
    <s v=""/>
    <s v=""/>
    <s v="Material"/>
    <s v=""/>
    <s v=""/>
    <s v=""/>
    <s v="8300087700"/>
    <s v="CERBERUS 11-23 BATTERY"/>
    <s v="Upstream"/>
    <s v="1046"/>
    <s v=""/>
    <s v=""/>
    <s v=""/>
    <s v=""/>
    <s v=""/>
    <s v=""/>
    <s v=""/>
    <n v="1"/>
    <s v="EA"/>
    <n v="41.63"/>
    <s v=""/>
    <n v="41.63"/>
    <s v="--multiple--"/>
    <s v="709232"/>
    <d v="2025-10-11T18:03:47"/>
    <s v=""/>
    <s v=""/>
    <s v=""/>
    <s v=""/>
  </r>
  <r>
    <s v="11-184583"/>
    <s v="Milestone Environmental Services, LLC"/>
    <x v="5"/>
    <s v="Josh Barrera"/>
    <s v="Billy Brookshire"/>
    <s v="Disposal Ticket"/>
    <s v="5051013"/>
    <s v="Upstream"/>
    <s v=""/>
    <s v="USD"/>
    <n v="480"/>
    <s v="B2B"/>
    <s v="1"/>
    <s v="TB"/>
    <s v="Tank Bottoms"/>
    <s v="MUDS"/>
    <d v="2025-10-02T07:30:56"/>
    <d v="2025-09-23T19:37:00"/>
    <d v="2025-09-23T20:07:00"/>
    <d v="1899-12-30T01:00:00"/>
    <s v="CERBERUS 11-23 BATTERY"/>
    <s v=""/>
    <s v=""/>
    <s v="TB"/>
    <s v=""/>
    <s v=""/>
    <s v=""/>
    <s v=""/>
    <n v="0"/>
    <s v=""/>
    <s v=""/>
    <s v=""/>
    <s v=""/>
    <s v=""/>
    <s v=""/>
    <s v=""/>
    <s v=""/>
    <s v=""/>
    <s v=""/>
    <s v=""/>
    <s v="Imperial"/>
    <n v="60"/>
    <s v="bbl"/>
    <s v=""/>
    <s v=""/>
    <s v=""/>
    <s v=""/>
    <s v="8300087600"/>
    <s v="CERBERUS 11-23 2 BATTERY"/>
    <s v="Upstream"/>
    <s v="1046"/>
    <s v=""/>
    <s v=""/>
    <s v=""/>
    <s v=""/>
    <s v=""/>
    <s v=""/>
    <s v="Other"/>
    <n v="60"/>
    <s v="BBL"/>
    <n v="8"/>
    <s v=""/>
    <n v="480"/>
    <s v="Pricebook"/>
    <s v="708539"/>
    <d v="2025-10-07T14:28:45"/>
    <s v=""/>
    <s v=""/>
    <s v=""/>
    <s v=""/>
  </r>
  <r>
    <s v="670092"/>
    <s v="AggieTech Energy Services LLC"/>
    <x v="5"/>
    <s v="Lance Gross"/>
    <s v="Billy Brookshire"/>
    <s v="LANCE GROSS-ARRIVED TO SPAATZ 101 LOCATION, SAND &amp; RESEATED BOTH WRIST PINS, AND ADJUSTED BRAKE. ALIGNED HEAD AND CHECKED ALL STRUCTURAL BOLTS."/>
    <s v="5051035"/>
    <s v="Upstream"/>
    <s v="143287"/>
    <s v="USD"/>
    <n v="2306.4899999999998"/>
    <s v="Direct Entry"/>
    <s v="1"/>
    <s v="TANDEM/CRANE WITH OPERATOR AND PUMPING UNIT WORK"/>
    <s v="TANDEM/CRANE WITH OPERATOR AND PUMPING UNIT WORK"/>
    <s v=""/>
    <d v="2025-10-10T09:18:12"/>
    <d v="2025-09-23T15:45:00"/>
    <d v="2025-09-23T21:15:00"/>
    <s v=""/>
    <s v="Spaatz 101"/>
    <s v=""/>
    <s v=""/>
    <s v=""/>
    <s v=""/>
    <s v=""/>
    <s v=""/>
    <s v=""/>
    <s v=""/>
    <s v=""/>
    <s v=""/>
    <s v=""/>
    <s v=""/>
    <s v=""/>
    <s v=""/>
    <s v=""/>
    <s v=""/>
    <s v=""/>
    <s v=""/>
    <s v=""/>
    <s v=""/>
    <s v=""/>
    <s v=""/>
    <s v="Equipment"/>
    <s v=""/>
    <s v=""/>
    <s v=""/>
    <s v="1001128600"/>
    <s v="SPAATZ 101 WD"/>
    <s v="Upstream"/>
    <s v="1046"/>
    <s v=""/>
    <s v=""/>
    <s v=""/>
    <s v=""/>
    <s v=""/>
    <s v=""/>
    <s v=""/>
    <n v="5.5"/>
    <s v="HR"/>
    <n v="203"/>
    <s v=""/>
    <n v="1116.5"/>
    <s v="--multiple--"/>
    <s v="701830"/>
    <d v="2025-10-10T09:22:52"/>
    <s v=""/>
    <s v=""/>
    <s v=""/>
    <s v=""/>
  </r>
  <r>
    <s v="FT-21943"/>
    <s v="Legacy Artificial Lift Solutions LLC"/>
    <x v="1"/>
    <s v="Marlon Hale"/>
    <s v="Billy Brookshire"/>
    <s v="Drive to location to and align unit and install packing"/>
    <s v="5051035"/>
    <s v="Upstream"/>
    <s v="167012"/>
    <s v="USD"/>
    <n v="1560"/>
    <s v="Direct Entry"/>
    <s v="1"/>
    <s v="CC-3man"/>
    <s v="3 Man crew(Crane Operator,BT, Swamper)"/>
    <s v=""/>
    <d v="2025-10-07T12:23:16"/>
    <d v="2025-09-26T14:00:00"/>
    <d v="2025-09-26T18:00:00"/>
    <s v=""/>
    <s v="Roll Call 29-32 K 11WB"/>
    <s v=""/>
    <s v=""/>
    <s v=""/>
    <s v=""/>
    <s v=""/>
    <s v=""/>
    <s v=""/>
    <s v=""/>
    <s v=""/>
    <s v=""/>
    <s v=""/>
    <s v=""/>
    <s v=""/>
    <s v=""/>
    <s v=""/>
    <s v=""/>
    <s v=""/>
    <s v=""/>
    <s v=""/>
    <s v=""/>
    <s v=""/>
    <s v=""/>
    <s v="Labor"/>
    <s v=""/>
    <s v=""/>
    <s v=""/>
    <s v="1000717500"/>
    <s v="ROLL CALL 29-32 K 11WB"/>
    <s v="Upstream"/>
    <s v="1046"/>
    <s v=""/>
    <s v=""/>
    <s v=""/>
    <s v=""/>
    <s v=""/>
    <s v=""/>
    <s v=""/>
    <n v="4"/>
    <s v="HR"/>
    <n v="390"/>
    <s v=""/>
    <n v="1560"/>
    <s v="--multiple--"/>
    <s v="702786"/>
    <d v="2025-10-07T12:24:40"/>
    <s v=""/>
    <s v=""/>
    <s v=""/>
    <s v=""/>
  </r>
  <r>
    <s v="35748"/>
    <s v="Raider Pump &amp; Supply Inc"/>
    <x v="4"/>
    <s v="Robert Flores"/>
    <s v="Billy Brookshire"/>
    <s v="BP VALVE, HAMMER UNION, BUSHING"/>
    <s v="5051049"/>
    <s v="Upstream"/>
    <s v="162260"/>
    <s v="USD"/>
    <n v="1464.52"/>
    <s v="Direct Entry"/>
    <s v="1"/>
    <s v="VBP-330-SGT"/>
    <s v="330 SGT BACK PRESSURE VALVE"/>
    <s v=""/>
    <d v="2025-10-10T10:33:29"/>
    <d v="2025-09-19T00:00:00"/>
    <d v="2025-09-19T00:00:00"/>
    <s v=""/>
    <s v=""/>
    <s v=""/>
    <s v=""/>
    <s v=""/>
    <s v=""/>
    <s v=""/>
    <s v=""/>
    <s v=""/>
    <s v=""/>
    <s v=""/>
    <s v=""/>
    <s v=""/>
    <s v=""/>
    <s v=""/>
    <s v=""/>
    <s v=""/>
    <s v=""/>
    <s v=""/>
    <s v=""/>
    <s v=""/>
    <s v=""/>
    <s v=""/>
    <s v=""/>
    <s v="Material"/>
    <s v=""/>
    <s v=""/>
    <s v=""/>
    <s v="8000310700"/>
    <s v="STEUBEN BATTERY"/>
    <s v="Upstream"/>
    <s v="1046"/>
    <s v=""/>
    <s v=""/>
    <s v=""/>
    <s v=""/>
    <s v=""/>
    <s v=""/>
    <s v=""/>
    <n v="1"/>
    <s v="EA"/>
    <n v="1319.3"/>
    <s v=""/>
    <n v="1319.3"/>
    <s v="E-Maintenance"/>
    <s v="703264"/>
    <d v="2025-10-10T10:35:14"/>
    <s v=""/>
    <s v=""/>
    <s v=""/>
    <s v=""/>
  </r>
  <r>
    <s v="35961"/>
    <s v="Raider Pump &amp; Supply Inc"/>
    <x v="3"/>
    <s v="Robert Flores"/>
    <s v="Billy Brookshire"/>
    <s v="ADJUSTABLE CHOKE, XH NIPPLE, XH CROSS"/>
    <s v="8501248"/>
    <s v="AC-AC"/>
    <s v="157210"/>
    <s v="USD"/>
    <n v="9588.66"/>
    <s v="Direct Entry"/>
    <s v="1"/>
    <s v="CTA-200-5000"/>
    <s v="2&quot; 5000# ADJUSTABLE CHOKE"/>
    <s v=""/>
    <d v="2025-10-13T07:59:55"/>
    <d v="2025-09-26T00:00:00"/>
    <d v="2025-09-26T00:00:00"/>
    <s v=""/>
    <s v=""/>
    <s v=""/>
    <s v=""/>
    <s v=""/>
    <s v=""/>
    <s v=""/>
    <s v=""/>
    <s v=""/>
    <s v=""/>
    <s v=""/>
    <s v=""/>
    <s v=""/>
    <s v=""/>
    <s v=""/>
    <s v=""/>
    <s v=""/>
    <s v=""/>
    <s v=""/>
    <s v=""/>
    <s v=""/>
    <s v=""/>
    <s v=""/>
    <s v=""/>
    <s v="Material"/>
    <s v=""/>
    <s v=""/>
    <s v=""/>
    <s v="AC-002034AC"/>
    <s v="CERBERUS 11-23 UNIT 2 164 ESP2RP"/>
    <s v="AC-AC"/>
    <s v="1046"/>
    <s v=""/>
    <s v=""/>
    <s v=""/>
    <s v=""/>
    <s v=""/>
    <s v=""/>
    <s v=""/>
    <n v="1"/>
    <s v="EA"/>
    <n v="406"/>
    <s v=""/>
    <n v="406"/>
    <s v="E-Maintenance"/>
    <s v="703264"/>
    <d v="2025-10-13T08:14:51"/>
    <s v=""/>
    <s v=""/>
    <s v=""/>
    <s v=""/>
  </r>
  <r>
    <s v="212067"/>
    <s v="Basin Trucking LLC"/>
    <x v="1"/>
    <s v="Robert Flores"/>
    <s v="Billy Brookshire"/>
    <s v="Drove to location and inspected the facility and proceeded to Maintenace around of the facility."/>
    <s v="5051049"/>
    <s v="Upstream"/>
    <s v="136743"/>
    <s v="USD"/>
    <n v="1527.5"/>
    <s v="Direct Entry"/>
    <s v="1"/>
    <s v="3 Man Crew"/>
    <s v="3 Man Crew"/>
    <s v="Roustabout Crew"/>
    <d v="2025-10-07T13:10:45"/>
    <d v="2025-09-30T06:00:00"/>
    <d v="2025-09-30T17:45:00"/>
    <s v=""/>
    <s v="ROBERTSON RANCH EAST BATTERY"/>
    <s v=""/>
    <s v=""/>
    <s v=""/>
    <s v=""/>
    <s v=""/>
    <s v=""/>
    <s v=""/>
    <s v=""/>
    <s v=""/>
    <s v=""/>
    <s v=""/>
    <s v=""/>
    <s v=""/>
    <s v=""/>
    <s v=""/>
    <s v=""/>
    <s v=""/>
    <s v=""/>
    <s v=""/>
    <s v=""/>
    <s v=""/>
    <s v=""/>
    <s v="Labor"/>
    <s v=""/>
    <s v=""/>
    <s v=""/>
    <s v="8300018000"/>
    <s v="ROBERTSON RANCH EAST BATTERY"/>
    <s v="Upstream"/>
    <s v="1046"/>
    <s v=""/>
    <s v=""/>
    <s v=""/>
    <s v=""/>
    <s v=""/>
    <s v=""/>
    <s v=""/>
    <n v="11.75"/>
    <s v="HR"/>
    <n v="130"/>
    <s v=""/>
    <n v="1527.5"/>
    <s v="--multiple--"/>
    <s v="703517"/>
    <d v="2025-10-07T13:11:50"/>
    <s v=""/>
    <s v=""/>
    <s v=""/>
    <s v=""/>
  </r>
  <r>
    <s v="MD2699503"/>
    <s v="Jet Specialty Inc"/>
    <x v="4"/>
    <s v="Artie Lujan"/>
    <s v="Aron Nunez"/>
    <s v="LEASE: HYDRA 45-4 1 BATTERY; BUYER: ARTEMIO LUJAN/ ARTURO RODRIGUEZ; PO: WK# 162131"/>
    <s v="5051024"/>
    <s v="Upstream"/>
    <s v="162131"/>
    <s v="USD"/>
    <n v="50.4"/>
    <s v="API"/>
    <s v="1"/>
    <s v="74982"/>
    <s v="10&quot; 300# FLEX GASKET"/>
    <s v="E&amp;M"/>
    <d v="2025-10-09T16:40:55"/>
    <d v="2025-09-18T00:00:00"/>
    <d v="2025-09-18T00:00:00"/>
    <s v=""/>
    <s v=""/>
    <s v=""/>
    <s v=""/>
    <s v=""/>
    <s v=""/>
    <s v=""/>
    <s v=""/>
    <s v=""/>
    <s v=""/>
    <s v=""/>
    <s v=""/>
    <s v=""/>
    <s v=""/>
    <s v=""/>
    <s v=""/>
    <s v=""/>
    <s v=""/>
    <s v=""/>
    <s v=""/>
    <s v=""/>
    <s v=""/>
    <s v=""/>
    <s v=""/>
    <s v="Material"/>
    <s v=""/>
    <s v=""/>
    <s v=""/>
    <s v="8300113000"/>
    <s v="HYDRA 45-4 1 BATTERY"/>
    <s v="Upstream"/>
    <s v="1046"/>
    <s v=""/>
    <s v=""/>
    <s v=""/>
    <s v=""/>
    <s v=""/>
    <s v=""/>
    <s v=""/>
    <n v="3"/>
    <s v="EA"/>
    <n v="8.94"/>
    <s v=""/>
    <n v="26.82"/>
    <s v="--multiple--"/>
    <s v="708023"/>
    <d v="2025-10-10T07:19:09"/>
    <s v=""/>
    <s v=""/>
    <s v=""/>
    <s v=""/>
  </r>
  <r>
    <s v="16191"/>
    <s v="Oil Spill Clean Up, Inc"/>
    <x v="0"/>
    <s v="Andrew Bazewicz"/>
    <s v="Javier Barrera"/>
    <s v="Drove to location set up truck and hoses cleaned up oil spill on battery containment. Neal Lethco 20 Battery 7:15 am to 10:30 am (3.25 hrs) Drove to location set up truck and hoses transferred 440 barrels of produced water from water tank 3 into water tank 2. Slickrock 24 Battery 10:30 am to 5:30 pm (7 hrs)"/>
    <s v="5051057"/>
    <s v="Upstream"/>
    <s v=""/>
    <s v="USD"/>
    <n v="922.5"/>
    <s v="B2B"/>
    <s v="1"/>
    <s v="Vacuum Truck (V1)"/>
    <s v="Vacuum Truck"/>
    <s v="Vacuum Truck"/>
    <d v="2025-10-11T20:55:47"/>
    <d v="2025-10-09T07:15:00"/>
    <d v="2025-10-09T17:30:00"/>
    <s v=""/>
    <s v="Multiple"/>
    <s v=""/>
    <s v=""/>
    <s v=""/>
    <s v=""/>
    <s v=""/>
    <s v=""/>
    <s v=""/>
    <s v=""/>
    <s v=""/>
    <s v=""/>
    <s v=""/>
    <s v=""/>
    <s v=""/>
    <s v=""/>
    <s v=""/>
    <s v=""/>
    <s v=""/>
    <s v=""/>
    <s v=""/>
    <s v=""/>
    <s v=""/>
    <s v=""/>
    <s v="Equipment"/>
    <s v=""/>
    <s v=""/>
    <s v=""/>
    <s v="8000012500"/>
    <s v="NEAL LETHCO 20 BATTERY"/>
    <s v="Upstream"/>
    <s v="1046"/>
    <s v=""/>
    <s v=""/>
    <s v=""/>
    <s v=""/>
    <s v=""/>
    <s v=""/>
    <s v="Other"/>
    <n v="3.25"/>
    <s v="HR"/>
    <n v="90"/>
    <s v=""/>
    <n v="292.5"/>
    <s v="--multiple--"/>
    <s v="703239"/>
    <d v="2025-10-13T08:33:28"/>
    <s v=""/>
    <s v=""/>
    <s v=""/>
    <s v=""/>
  </r>
  <r>
    <s v="61764"/>
    <s v="JAT PARTNER LOGISTICS, LLC"/>
    <x v="1"/>
    <s v="Anthony Johnson"/>
    <s v="Richard Simmons"/>
    <s v="Drove to Grantham H Battery, emptied an overflow tank, and hauled 90 bbls of produced water to Ruger Disposal, then headed to the next location."/>
    <s v="5051054"/>
    <s v="Upstream"/>
    <s v=""/>
    <s v="USD"/>
    <n v="562.5"/>
    <s v="Direct Entry"/>
    <s v="1"/>
    <s v="Vacuum Truck"/>
    <s v="Vacuum Truck"/>
    <s v=""/>
    <d v="2025-09-26T05:36:56"/>
    <d v="2025-09-26T06:15:00"/>
    <d v="2025-09-26T10:45:00"/>
    <d v="1899-12-30T04:30:00"/>
    <s v="GRANTHAM H BATTERY"/>
    <s v=""/>
    <s v=""/>
    <s v="N/A"/>
    <s v=""/>
    <s v=""/>
    <s v=""/>
    <s v=""/>
    <s v=""/>
    <s v=""/>
    <s v=""/>
    <s v=""/>
    <s v=""/>
    <s v=""/>
    <s v=""/>
    <s v=""/>
    <s v=""/>
    <s v=""/>
    <s v=""/>
    <s v=""/>
    <s v=""/>
    <n v="0"/>
    <s v="bbl"/>
    <s v=""/>
    <s v=""/>
    <s v=""/>
    <s v=""/>
    <s v="8000142000"/>
    <s v="GRANTHAM H BATTERY"/>
    <s v="Upstream"/>
    <s v="1046"/>
    <s v=""/>
    <s v=""/>
    <s v=""/>
    <s v=""/>
    <s v=""/>
    <s v=""/>
    <s v="Hours Worked"/>
    <n v="4.5"/>
    <s v="hour"/>
    <n v="90"/>
    <s v=""/>
    <n v="405"/>
    <s v="--multiple--"/>
    <s v="711903"/>
    <d v="2025-10-07T12:43:44"/>
    <s v=""/>
    <s v=""/>
    <s v=""/>
    <s v=""/>
  </r>
  <r>
    <s v="61790"/>
    <s v="JAT PARTNER LOGISTICS, LLC"/>
    <x v="1"/>
    <s v="Anthony Johnson"/>
    <s v="Richard Simmons"/>
    <s v="Drove to PPH 47 Battery, loaded 90 bbls of produced water, hauled it to Ruger Disposal, and then headed to the next location."/>
    <s v="5051054"/>
    <s v="Upstream"/>
    <s v=""/>
    <s v="USD"/>
    <n v="337.5"/>
    <s v="Direct Entry"/>
    <s v="1"/>
    <s v="Vacuum Truck"/>
    <s v="Vacuum Truck"/>
    <s v=""/>
    <d v="2025-09-26T15:00:28"/>
    <d v="2025-09-26T15:00:00"/>
    <d v="2025-09-26T17:00:00"/>
    <d v="1899-12-30T02:00:00"/>
    <s v="PPH 47 BATTERY"/>
    <s v=""/>
    <s v=""/>
    <s v="N/A"/>
    <s v=""/>
    <s v=""/>
    <s v=""/>
    <s v=""/>
    <s v=""/>
    <s v=""/>
    <s v=""/>
    <s v=""/>
    <s v=""/>
    <s v=""/>
    <s v=""/>
    <s v=""/>
    <s v=""/>
    <s v=""/>
    <s v=""/>
    <s v=""/>
    <s v=""/>
    <n v="0"/>
    <s v="bbl"/>
    <s v=""/>
    <s v=""/>
    <s v=""/>
    <s v=""/>
    <s v="8300139900"/>
    <s v="PPH 47 BATTERY"/>
    <s v="Upstream"/>
    <s v="1046"/>
    <s v=""/>
    <s v=""/>
    <s v=""/>
    <s v=""/>
    <s v=""/>
    <s v=""/>
    <s v="Hours Worked"/>
    <n v="2"/>
    <s v="hour"/>
    <n v="90"/>
    <s v=""/>
    <n v="180"/>
    <s v="--multiple--"/>
    <s v="711903"/>
    <d v="2025-10-07T13:29:09"/>
    <s v=""/>
    <s v=""/>
    <s v=""/>
    <s v=""/>
  </r>
  <r>
    <s v="10130064"/>
    <s v="3-S Services, LLC"/>
    <x v="1"/>
    <s v="Anthony Johnson"/>
    <s v="Richard Simmons"/>
    <s v="Fabricate lock boxes for load line valves"/>
    <s v="5051042"/>
    <s v="Upstream"/>
    <s v=""/>
    <s v="USD"/>
    <n v="1479.38"/>
    <s v="Direct Entry"/>
    <s v="1"/>
    <s v="DB112"/>
    <s v="WELDER W/RIG_ST"/>
    <s v="Roustabout"/>
    <d v="2025-10-06T14:54:49"/>
    <d v="2025-10-03T06:15:00"/>
    <d v="2025-10-03T17:45:00"/>
    <s v=""/>
    <s v="R- Simmons Cobra Field Allication"/>
    <s v=""/>
    <s v=""/>
    <s v=""/>
    <s v=""/>
    <s v=""/>
    <s v=""/>
    <s v=""/>
    <s v=""/>
    <s v=""/>
    <s v=""/>
    <s v=""/>
    <s v=""/>
    <s v=""/>
    <s v=""/>
    <s v=""/>
    <s v=""/>
    <s v=""/>
    <s v=""/>
    <s v=""/>
    <s v=""/>
    <s v=""/>
    <s v=""/>
    <s v="Labor"/>
    <s v=""/>
    <s v=""/>
    <s v=""/>
    <s v="9000002700"/>
    <s v="COBRA FIELD ALLOCATION"/>
    <s v="Upstream"/>
    <s v="1046"/>
    <s v=""/>
    <s v=""/>
    <s v=""/>
    <s v=""/>
    <s v=""/>
    <s v=""/>
    <s v=""/>
    <n v="11.25"/>
    <s v="HR"/>
    <n v="99.5"/>
    <s v=""/>
    <n v="1119.3800000000001"/>
    <s v="--multiple--"/>
    <s v="701334"/>
    <d v="2025-10-06T14:56:29"/>
    <s v=""/>
    <s v=""/>
    <s v=""/>
    <s v=""/>
  </r>
  <r>
    <s v="R-5195"/>
    <s v="ACH Services, LLC"/>
    <x v="2"/>
    <s v="Blane Ward"/>
    <s v="Britt Gunnels"/>
    <s v="Drove to location to wash equipment."/>
    <s v="5051049"/>
    <s v="Upstream"/>
    <s v="165707"/>
    <s v="USD"/>
    <n v="1362.5"/>
    <s v="Direct Entry"/>
    <s v="1"/>
    <s v="Roustabout - 3-Man"/>
    <s v="Roustabout - 3-Man"/>
    <s v=""/>
    <d v="2025-09-29T13:43:58"/>
    <d v="2025-09-23T11:00:00"/>
    <d v="2025-09-23T18:30:00"/>
    <s v=""/>
    <s v="RICKER CLARKSON BATTERY"/>
    <s v=""/>
    <s v=""/>
    <s v=""/>
    <s v=""/>
    <s v=""/>
    <s v=""/>
    <s v=""/>
    <s v=""/>
    <s v=""/>
    <s v=""/>
    <s v=""/>
    <s v=""/>
    <s v=""/>
    <s v=""/>
    <s v=""/>
    <s v=""/>
    <s v=""/>
    <s v=""/>
    <s v=""/>
    <s v=""/>
    <s v=""/>
    <s v=""/>
    <s v="Labor"/>
    <s v=""/>
    <s v=""/>
    <s v=""/>
    <s v="8300144700"/>
    <s v="RICKER CLARKSON BATTERY"/>
    <s v="Upstream"/>
    <s v="1046"/>
    <s v=""/>
    <s v=""/>
    <s v=""/>
    <s v=""/>
    <s v=""/>
    <s v=""/>
    <s v=""/>
    <n v="7.5"/>
    <s v="HR"/>
    <n v="135"/>
    <s v=""/>
    <n v="1012.5"/>
    <s v="Pricebook"/>
    <s v="712932"/>
    <d v="2025-10-10T10:21:02"/>
    <s v=""/>
    <s v=""/>
    <s v="Requisitioner Error | Attachment Issue"/>
    <s v=""/>
  </r>
  <r>
    <s v="44532"/>
    <s v="Valdez Oil Services, L.L.C."/>
    <x v="2"/>
    <s v="Blane Ward"/>
    <s v="Britt Gunnels"/>
    <s v="MALONE 10 #1: Drove to location and adjusted the motor on the pump jack due to loose belts."/>
    <s v="5051035"/>
    <s v="Upstream"/>
    <s v="166965"/>
    <s v="USD"/>
    <n v="343.75"/>
    <s v="Direct Entry"/>
    <s v="1"/>
    <s v=""/>
    <s v="ROUSTABOUT"/>
    <s v="Roustabout"/>
    <d v="2025-10-03T11:13:15"/>
    <d v="2025-09-26T15:30:00"/>
    <d v="2025-09-26T18:15:00"/>
    <s v=""/>
    <s v="MALONE 10-1"/>
    <s v=""/>
    <s v=""/>
    <s v=""/>
    <s v=""/>
    <s v=""/>
    <s v=""/>
    <s v=""/>
    <s v=""/>
    <s v=""/>
    <s v=""/>
    <s v=""/>
    <s v=""/>
    <s v=""/>
    <s v=""/>
    <s v=""/>
    <s v=""/>
    <s v=""/>
    <s v=""/>
    <s v=""/>
    <s v=""/>
    <s v=""/>
    <s v=""/>
    <s v="Labor"/>
    <s v=""/>
    <s v=""/>
    <s v=""/>
    <s v="1001243100"/>
    <s v="MALONE, C 10"/>
    <s v="Upstream"/>
    <s v="1046"/>
    <s v=""/>
    <s v=""/>
    <s v=""/>
    <s v=""/>
    <s v=""/>
    <s v=""/>
    <s v=""/>
    <n v="2.75"/>
    <s v="HR"/>
    <n v="125"/>
    <s v=""/>
    <n v="343.75"/>
    <s v="--multiple--"/>
    <s v="712959"/>
    <d v="2025-10-03T11:14:55"/>
    <s v=""/>
    <s v=""/>
    <s v=""/>
    <s v=""/>
  </r>
  <r>
    <s v="R-5566"/>
    <s v="ACH Services, LLC"/>
    <x v="10"/>
    <s v="Blane Ward"/>
    <s v="Britt Gunnels"/>
    <s v="Drove to location to do weed control."/>
    <s v="5051027"/>
    <s v="Upstream"/>
    <s v="170420"/>
    <s v="USD"/>
    <n v="2114"/>
    <s v="Direct Entry"/>
    <s v="1"/>
    <s v="Roustabout - 2-Man"/>
    <s v="Roustabout - 2-Man"/>
    <s v=""/>
    <d v="2025-10-10T10:33:53"/>
    <d v="2025-10-09T08:15:00"/>
    <d v="2025-10-09T17:15:00"/>
    <s v=""/>
    <s v="WILDE 48 BATTERY"/>
    <s v=""/>
    <s v=""/>
    <s v=""/>
    <s v=""/>
    <s v=""/>
    <s v=""/>
    <s v=""/>
    <s v=""/>
    <s v=""/>
    <s v=""/>
    <s v=""/>
    <s v=""/>
    <s v=""/>
    <s v=""/>
    <s v=""/>
    <s v=""/>
    <s v=""/>
    <s v=""/>
    <s v=""/>
    <s v=""/>
    <s v=""/>
    <s v=""/>
    <s v="Labor"/>
    <s v=""/>
    <s v=""/>
    <s v=""/>
    <s v="8300166500"/>
    <s v="WILDE 48 BATTERY"/>
    <s v="Upstream"/>
    <s v="1046"/>
    <s v=""/>
    <s v=""/>
    <s v=""/>
    <s v=""/>
    <s v=""/>
    <s v=""/>
    <s v=""/>
    <n v="9"/>
    <s v="HR"/>
    <n v="121"/>
    <s v=""/>
    <n v="1089"/>
    <s v="Pricebook"/>
    <s v="712932"/>
    <d v="2025-10-10T10:36:36"/>
    <s v=""/>
    <s v=""/>
    <s v=""/>
    <s v=""/>
  </r>
  <r>
    <s v="R-5567"/>
    <s v="ACH Services, LLC"/>
    <x v="10"/>
    <s v="Blane Ward"/>
    <s v="Britt Gunnels"/>
    <s v="Drove to location to do weed control."/>
    <s v="5051027"/>
    <s v="Upstream"/>
    <s v="170420"/>
    <s v="USD"/>
    <n v="1973"/>
    <s v="Direct Entry"/>
    <s v="1"/>
    <s v="Roustabout - 2-Man"/>
    <s v="Roustabout - 2-Man"/>
    <s v=""/>
    <d v="2025-10-13T14:16:44"/>
    <d v="2025-10-10T06:30:00"/>
    <d v="2025-10-10T15:45:00"/>
    <s v=""/>
    <s v="WILDE 48 BATTERY"/>
    <s v=""/>
    <s v=""/>
    <s v=""/>
    <s v=""/>
    <s v=""/>
    <s v=""/>
    <s v=""/>
    <s v=""/>
    <s v=""/>
    <s v=""/>
    <s v=""/>
    <s v=""/>
    <s v=""/>
    <s v=""/>
    <s v=""/>
    <s v=""/>
    <s v=""/>
    <s v=""/>
    <s v=""/>
    <s v=""/>
    <s v=""/>
    <s v=""/>
    <s v="Labor"/>
    <s v=""/>
    <s v=""/>
    <s v=""/>
    <s v="8300166500"/>
    <s v="WILDE 48 BATTERY"/>
    <s v="Upstream"/>
    <s v="1046"/>
    <s v=""/>
    <s v=""/>
    <s v=""/>
    <s v=""/>
    <s v=""/>
    <s v=""/>
    <s v=""/>
    <n v="9.25"/>
    <s v="HR"/>
    <n v="121"/>
    <s v=""/>
    <n v="1119.25"/>
    <s v="Pricebook"/>
    <s v="712932"/>
    <d v="2025-10-14T08:18:32"/>
    <s v=""/>
    <s v=""/>
    <s v=""/>
    <s v=""/>
  </r>
  <r>
    <s v="62088"/>
    <s v="JAT PARTNER LOGISTICS, LLC"/>
    <x v="7"/>
    <s v="Anthony Johnson"/>
    <s v="Richard Simmons"/>
    <s v="DROVE TO LOCATION WHERE I LOADED AND HAULED 2 LOADS @ 120 BBL EA TO RUGER PROPERTIES SWD AND RETURNED TO YARD."/>
    <s v="5051054"/>
    <s v="Upstream"/>
    <s v=""/>
    <s v="USD"/>
    <n v="1050"/>
    <s v="Dispatched Mobile - iOS"/>
    <s v="1"/>
    <s v="Vacuum Truck"/>
    <s v="Vacuum Truck"/>
    <s v=""/>
    <d v="2025-10-05T10:03:14"/>
    <d v="2025-10-05T11:15:00"/>
    <d v="2025-10-05T18:15:00"/>
    <d v="1899-12-30T07:00:00"/>
    <s v="AIRHART 2 BATTERY"/>
    <s v=""/>
    <s v=""/>
    <s v="HOURS"/>
    <s v=""/>
    <s v=""/>
    <s v=""/>
    <s v=""/>
    <s v=""/>
    <s v=""/>
    <s v=""/>
    <s v=""/>
    <s v=""/>
    <s v=""/>
    <s v=""/>
    <s v=""/>
    <s v=""/>
    <s v=""/>
    <s v=""/>
    <s v=""/>
    <s v=""/>
    <n v="0"/>
    <s v="bbl"/>
    <s v=""/>
    <s v=""/>
    <s v=""/>
    <s v=""/>
    <s v="8300076600"/>
    <s v="AIRHART 2 BATTERY"/>
    <s v="Upstream"/>
    <s v="1046"/>
    <s v=""/>
    <s v=""/>
    <s v=""/>
    <s v=""/>
    <s v=""/>
    <s v=""/>
    <s v="Hours Worked"/>
    <n v="7"/>
    <s v="hour"/>
    <n v="90"/>
    <s v=""/>
    <n v="630"/>
    <s v="--multiple--"/>
    <s v="711903"/>
    <d v="2025-10-13T15:44:43"/>
    <s v=""/>
    <s v=""/>
    <s v=""/>
    <s v=""/>
  </r>
  <r>
    <s v="44531"/>
    <s v="Valdez Oil Services, L.L.C."/>
    <x v="2"/>
    <s v="Blane Ward"/>
    <s v="P.A. Gonzales"/>
    <s v="ROCKER B W-4: Picked up pipe trailer from yard and then picked up parts from JET. Drove to location and cut old pipe loaded it up and installed new pipe on the flowline."/>
    <s v="5051023"/>
    <s v="Upstream"/>
    <s v="167052"/>
    <s v="USD"/>
    <n v="1300"/>
    <s v="Direct Entry"/>
    <s v="1"/>
    <s v=""/>
    <s v="ROUSTABOUT"/>
    <s v="Roustabout"/>
    <d v="2025-10-03T11:09:17"/>
    <d v="2025-09-26T06:30:00"/>
    <d v="2025-09-26T15:30:00"/>
    <s v=""/>
    <s v="ROCKER B W-4"/>
    <s v=""/>
    <s v=""/>
    <s v=""/>
    <s v=""/>
    <s v=""/>
    <s v=""/>
    <s v=""/>
    <s v=""/>
    <s v=""/>
    <s v=""/>
    <s v=""/>
    <s v=""/>
    <s v=""/>
    <s v=""/>
    <s v=""/>
    <s v=""/>
    <s v=""/>
    <s v=""/>
    <s v=""/>
    <s v=""/>
    <s v=""/>
    <s v=""/>
    <s v="Labor"/>
    <s v=""/>
    <s v=""/>
    <s v=""/>
    <s v="1001217300"/>
    <s v="ROCKER B - W 4"/>
    <s v="Upstream"/>
    <s v="1046"/>
    <s v=""/>
    <s v=""/>
    <s v=""/>
    <s v=""/>
    <s v=""/>
    <s v=""/>
    <s v=""/>
    <n v="9"/>
    <s v="HR"/>
    <n v="125"/>
    <s v=""/>
    <n v="1125"/>
    <s v="--multiple--"/>
    <s v="712959"/>
    <d v="2025-10-03T11:11:19"/>
    <s v=""/>
    <s v=""/>
    <s v=""/>
    <s v=""/>
  </r>
  <r>
    <s v="59235"/>
    <s v="FESCO LTD"/>
    <x v="5"/>
    <s v="Banny Wiebe"/>
    <s v="Mark Ramos"/>
    <s v="PRODUCTION TESTING"/>
    <s v="5051012"/>
    <s v="Upstream"/>
    <s v=""/>
    <s v="USD"/>
    <n v="6870"/>
    <s v="Direct Entry"/>
    <s v="1"/>
    <s v="FBOP12"/>
    <s v="Operator Labor"/>
    <s v=""/>
    <d v="2025-10-10T13:41:03"/>
    <d v="2025-09-22T06:00:00"/>
    <d v="2025-09-27T18:00:00"/>
    <s v=""/>
    <s v=""/>
    <s v=""/>
    <s v=""/>
    <s v=""/>
    <s v=""/>
    <s v=""/>
    <s v=""/>
    <s v=""/>
    <s v=""/>
    <s v=""/>
    <s v=""/>
    <s v=""/>
    <s v=""/>
    <s v=""/>
    <s v=""/>
    <s v=""/>
    <s v=""/>
    <s v=""/>
    <s v=""/>
    <s v=""/>
    <s v=""/>
    <s v=""/>
    <s v=""/>
    <s v="Labor"/>
    <s v=""/>
    <s v=""/>
    <s v=""/>
    <s v="9100019900"/>
    <s v="FRM RTE-RAMOS MARK"/>
    <s v="Upstream"/>
    <s v="1046"/>
    <s v=""/>
    <s v=""/>
    <s v=""/>
    <s v=""/>
    <s v=""/>
    <s v=""/>
    <s v=""/>
    <n v="6"/>
    <s v="12Hr"/>
    <n v="1070"/>
    <s v=""/>
    <n v="6420"/>
    <s v="--multiple--"/>
    <s v="707181"/>
    <d v="2025-10-10T13:42:29"/>
    <s v=""/>
    <s v=""/>
    <s v=""/>
    <s v=""/>
  </r>
  <r>
    <s v="190986100"/>
    <s v="Dunagin Transport Company"/>
    <x v="11"/>
    <s v="Banny Wiebe"/>
    <s v="Ruben Alonso"/>
    <s v="SMITH JALONICK FACILITY, DRIVE TO MILESTONE TO GET WASHED OUT FROM YESTERDAY JOB."/>
    <s v="5051057"/>
    <s v="Upstream"/>
    <s v="154684"/>
    <s v="USD"/>
    <n v="200"/>
    <s v="Direct Entry"/>
    <s v="1"/>
    <s v="Vacuum Truck"/>
    <s v="Vacuum Truck"/>
    <s v=""/>
    <d v="2025-09-29T16:06:09"/>
    <d v="2025-09-03T05:00:00"/>
    <d v="2025-09-03T07:00:00"/>
    <d v="1899-12-30T02:00:00"/>
    <s v="SMITH JALONICK FACILITY"/>
    <s v=""/>
    <s v=""/>
    <s v="TANK BOTTOMS"/>
    <s v=""/>
    <s v=""/>
    <s v=""/>
    <s v=""/>
    <s v=""/>
    <s v=""/>
    <s v=""/>
    <s v=""/>
    <s v=""/>
    <s v=""/>
    <s v=""/>
    <s v=""/>
    <s v=""/>
    <s v=""/>
    <s v=""/>
    <s v=""/>
    <s v=""/>
    <n v="100"/>
    <s v="bbl"/>
    <s v=""/>
    <s v=""/>
    <s v=""/>
    <s v=""/>
    <s v="8000118900"/>
    <s v="SMITH JALONICK FACILITY"/>
    <s v="Upstream"/>
    <s v="1046"/>
    <s v=""/>
    <s v=""/>
    <s v=""/>
    <s v=""/>
    <s v=""/>
    <s v=""/>
    <s v="Hours Worked"/>
    <n v="2"/>
    <s v="hour"/>
    <n v="100"/>
    <s v=""/>
    <n v="200"/>
    <s v="--multiple--"/>
    <s v="704012"/>
    <d v="2025-09-29T16:10:41"/>
    <s v=""/>
    <s v=""/>
    <s v=""/>
    <s v=""/>
  </r>
  <r>
    <s v="26157"/>
    <s v="Phoenix Services LLC"/>
    <x v="10"/>
    <s v="Callen Elliott"/>
    <s v="Britt Gunnels"/>
    <s v="ATTN: ATTN: BRITT GUNNELS - SLICKLINE WORK - WESTLAW 0904 H 4WA"/>
    <s v="5051031"/>
    <s v="Upstream"/>
    <s v=""/>
    <s v="USD"/>
    <n v="2540"/>
    <s v="Direct Entry"/>
    <s v="1"/>
    <s v="1002"/>
    <s v="Braided Line Unit 5M"/>
    <s v="Braided Line Unit 5M"/>
    <d v="2025-10-09T08:00:30"/>
    <d v="2025-10-06T14:30:00"/>
    <d v="2025-10-06T19:30:00"/>
    <s v=""/>
    <s v="WESTLAW 0904 H 4WA"/>
    <s v=""/>
    <s v=""/>
    <s v=""/>
    <s v=""/>
    <s v=""/>
    <s v=""/>
    <s v=""/>
    <s v=""/>
    <s v=""/>
    <s v=""/>
    <s v=""/>
    <s v=""/>
    <s v=""/>
    <s v=""/>
    <s v=""/>
    <s v=""/>
    <s v=""/>
    <s v=""/>
    <s v=""/>
    <s v=""/>
    <s v=""/>
    <s v=""/>
    <s v="Equipment"/>
    <s v=""/>
    <s v=""/>
    <s v=""/>
    <s v="1000258500"/>
    <s v="WESTLAW 0904 H 4WA"/>
    <s v="Upstream"/>
    <s v="1046"/>
    <s v=""/>
    <s v=""/>
    <s v=""/>
    <s v=""/>
    <s v=""/>
    <s v=""/>
    <s v=""/>
    <n v="4.5"/>
    <s v="HR"/>
    <n v="275"/>
    <s v=""/>
    <n v="1237.5"/>
    <s v="E-Maintenance"/>
    <s v="701041"/>
    <d v="2025-10-09T08:10:53"/>
    <s v=""/>
    <s v=""/>
    <s v=""/>
    <s v=""/>
  </r>
  <r>
    <s v="2509303456"/>
    <s v="ASAP Rentals, LLC"/>
    <x v="5"/>
    <s v="Banny Wiebe"/>
    <s v="Ruben Alonso"/>
    <s v="TRASH TRAILER COMBO SERVICE"/>
    <s v="5051037"/>
    <s v="Upstream"/>
    <s v=""/>
    <s v="USD"/>
    <n v="870"/>
    <s v="Direct Entry"/>
    <s v="1"/>
    <s v="Disposal (PJ Waste)"/>
    <s v="Disposal (PJ Waste)"/>
    <s v=""/>
    <d v="2025-10-08T13:03:20"/>
    <d v="2025-09-16T00:00:00"/>
    <d v="2025-09-16T00:00:00"/>
    <s v=""/>
    <s v="DICKERSON 20-17"/>
    <s v=""/>
    <s v=""/>
    <s v=""/>
    <s v=""/>
    <s v=""/>
    <s v=""/>
    <s v=""/>
    <s v=""/>
    <s v=""/>
    <s v=""/>
    <s v=""/>
    <s v=""/>
    <s v=""/>
    <s v=""/>
    <s v=""/>
    <s v=""/>
    <s v=""/>
    <s v=""/>
    <s v=""/>
    <s v=""/>
    <s v=""/>
    <s v=""/>
    <s v="Labor"/>
    <s v=""/>
    <s v=""/>
    <s v=""/>
    <s v="8000064600"/>
    <s v="DICKENSON A SN 20-17 (1190) BATTERY"/>
    <s v="Upstream"/>
    <s v="1046"/>
    <s v=""/>
    <s v=""/>
    <s v=""/>
    <s v=""/>
    <s v=""/>
    <s v=""/>
    <s v=""/>
    <n v="2"/>
    <s v="EA"/>
    <n v="20"/>
    <s v=""/>
    <n v="40"/>
    <s v="--multiple--"/>
    <s v="710590"/>
    <d v="2025-10-08T13:04:59"/>
    <s v=""/>
    <s v=""/>
    <s v=""/>
    <s v=""/>
  </r>
  <r>
    <s v="81809"/>
    <s v="Clearwell LLC"/>
    <x v="3"/>
    <s v="Billy Darrow"/>
    <s v="Josh Clemmer"/>
    <s v="call out, ul blk 6 ddu a 4009ls"/>
    <s v="5051026"/>
    <s v="Upstream"/>
    <s v=""/>
    <s v="USD"/>
    <n v="514"/>
    <s v="Direct Entry"/>
    <s v="1"/>
    <s v="10000012"/>
    <s v="Hourly Hot Oil"/>
    <s v="Hot Oil"/>
    <d v="2025-10-12T01:19:07"/>
    <d v="2025-10-06T07:00:00"/>
    <d v="2025-10-06T11:00:00"/>
    <s v=""/>
    <s v=""/>
    <s v=""/>
    <s v=""/>
    <s v=""/>
    <s v=""/>
    <s v=""/>
    <s v=""/>
    <s v=""/>
    <s v=""/>
    <s v=""/>
    <s v=""/>
    <s v=""/>
    <s v=""/>
    <s v=""/>
    <s v=""/>
    <s v=""/>
    <s v=""/>
    <s v=""/>
    <s v=""/>
    <s v=""/>
    <s v=""/>
    <s v=""/>
    <s v=""/>
    <s v="Labor"/>
    <s v=""/>
    <s v=""/>
    <s v=""/>
    <s v="1000581800"/>
    <s v="UL BLK 6 DDU A 4009LS"/>
    <s v="Upstream"/>
    <s v="1046"/>
    <s v=""/>
    <s v=""/>
    <s v=""/>
    <s v=""/>
    <s v=""/>
    <s v=""/>
    <s v=""/>
    <n v="4"/>
    <s v="HR"/>
    <n v="128.5"/>
    <s v=""/>
    <n v="514"/>
    <s v="--multiple--"/>
    <s v="700083"/>
    <d v="2025-10-12T01:19:51"/>
    <s v=""/>
    <s v=""/>
    <s v=""/>
    <s v=""/>
  </r>
  <r>
    <s v="81813"/>
    <s v="Clearwell LLC"/>
    <x v="3"/>
    <s v="Billy Darrow"/>
    <s v="Josh Clemmer"/>
    <s v="call out, ul dedham 31-45 G 3JM"/>
    <s v="5051057"/>
    <s v="Upstream"/>
    <s v=""/>
    <s v="USD"/>
    <n v="385.5"/>
    <s v="Direct Entry"/>
    <s v="1"/>
    <s v="10000012"/>
    <s v="Hourly Hot Oil"/>
    <s v="Hot Oil"/>
    <d v="2025-10-12T01:27:24"/>
    <d v="2025-10-08T06:00:00"/>
    <d v="2025-10-08T09:00:00"/>
    <s v=""/>
    <s v=""/>
    <s v=""/>
    <s v=""/>
    <s v=""/>
    <s v=""/>
    <s v=""/>
    <s v=""/>
    <s v=""/>
    <s v=""/>
    <s v=""/>
    <s v=""/>
    <s v=""/>
    <s v=""/>
    <s v=""/>
    <s v=""/>
    <s v=""/>
    <s v=""/>
    <s v=""/>
    <s v=""/>
    <s v=""/>
    <s v=""/>
    <s v=""/>
    <s v=""/>
    <s v="Labor"/>
    <s v=""/>
    <s v=""/>
    <s v=""/>
    <s v="1001180400"/>
    <s v="UL DEDHAM 31-45 G 3JM"/>
    <s v="Upstream"/>
    <s v="1046"/>
    <s v=""/>
    <s v=""/>
    <s v=""/>
    <s v=""/>
    <s v=""/>
    <s v=""/>
    <s v=""/>
    <n v="3"/>
    <s v="HR"/>
    <n v="128.5"/>
    <s v=""/>
    <n v="385.5"/>
    <s v="--multiple--"/>
    <s v="700083"/>
    <d v="2025-10-12T01:28:07"/>
    <s v=""/>
    <s v=""/>
    <s v=""/>
    <s v=""/>
  </r>
  <r>
    <s v="81814"/>
    <s v="Clearwell LLC"/>
    <x v="3"/>
    <s v="Billy Darrow"/>
    <s v="Josh Clemmer"/>
    <s v="call out, ul stanolind 30-27 B 1MS"/>
    <s v="5051057"/>
    <s v="Upstream"/>
    <s v=""/>
    <s v="USD"/>
    <n v="385.5"/>
    <s v="Direct Entry"/>
    <s v="1"/>
    <s v="10000012"/>
    <s v="Hourly Hot Oil"/>
    <s v="Hot Oil"/>
    <d v="2025-10-12T01:29:14"/>
    <d v="2025-10-08T09:00:00"/>
    <d v="2025-10-08T12:00:00"/>
    <s v=""/>
    <s v=""/>
    <s v=""/>
    <s v=""/>
    <s v=""/>
    <s v=""/>
    <s v=""/>
    <s v=""/>
    <s v=""/>
    <s v=""/>
    <s v=""/>
    <s v=""/>
    <s v=""/>
    <s v=""/>
    <s v=""/>
    <s v=""/>
    <s v=""/>
    <s v=""/>
    <s v=""/>
    <s v=""/>
    <s v=""/>
    <s v=""/>
    <s v=""/>
    <s v=""/>
    <s v="Labor"/>
    <s v=""/>
    <s v=""/>
    <s v=""/>
    <s v="1000706300"/>
    <s v="UL STANOLIND 30-27 B 1MS"/>
    <s v="Upstream"/>
    <s v="1046"/>
    <s v=""/>
    <s v=""/>
    <s v=""/>
    <s v=""/>
    <s v=""/>
    <s v=""/>
    <s v=""/>
    <n v="3"/>
    <s v="HR"/>
    <n v="128.5"/>
    <s v=""/>
    <n v="385.5"/>
    <s v="--multiple--"/>
    <s v="700083"/>
    <d v="2025-10-12T01:30:03"/>
    <s v=""/>
    <s v=""/>
    <s v=""/>
    <s v=""/>
  </r>
  <r>
    <s v="890042276"/>
    <s v="ChampionX LLC"/>
    <x v="0"/>
    <s v="Cody Flarity"/>
    <s v="Britt Gunnels"/>
    <s v="Automation, services, and equipment"/>
    <s v="5051035"/>
    <s v="Upstream"/>
    <s v=""/>
    <s v="USD"/>
    <n v="497.46"/>
    <s v="B2B"/>
    <s v="1"/>
    <s v="1160922"/>
    <s v="SPT END DEVICE_LOAD CELL_KIT_50K_WASHER SET_FLINTEC"/>
    <s v=""/>
    <d v="2025-10-01T10:35:35"/>
    <d v="2025-09-25T00:00:00"/>
    <d v="2025-09-25T00:00:00"/>
    <s v=""/>
    <s v="DANIEL 38 #1"/>
    <s v=""/>
    <s v=""/>
    <s v=""/>
    <s v=""/>
    <s v=""/>
    <s v=""/>
    <s v=""/>
    <s v=""/>
    <s v=""/>
    <s v=""/>
    <s v=""/>
    <s v=""/>
    <s v=""/>
    <s v=""/>
    <s v=""/>
    <s v=""/>
    <s v=""/>
    <s v=""/>
    <s v=""/>
    <s v=""/>
    <s v=""/>
    <s v=""/>
    <s v=""/>
    <s v=""/>
    <s v=""/>
    <s v=""/>
    <s v="1000067900"/>
    <s v="DANIEL 38 1"/>
    <s v="Upstream"/>
    <s v="1046"/>
    <s v=""/>
    <s v=""/>
    <s v=""/>
    <s v=""/>
    <s v=""/>
    <s v=""/>
    <s v="Other"/>
    <n v="1"/>
    <s v="each"/>
    <n v="497.46"/>
    <s v=""/>
    <n v="497.46"/>
    <s v="--multiple--"/>
    <s v="711892"/>
    <d v="2025-10-01T10:35:35"/>
    <s v=""/>
    <s v=""/>
    <s v=""/>
    <s v=""/>
  </r>
  <r>
    <s v="81815"/>
    <s v="Clearwell LLC"/>
    <x v="3"/>
    <s v="Billy Darrow"/>
    <s v="Josh Clemmer"/>
    <s v="call out, ul cuckoo bee 5-19 K 4JM"/>
    <s v="5051057"/>
    <s v="Upstream"/>
    <s v=""/>
    <s v="USD"/>
    <n v="385.5"/>
    <s v="Direct Entry"/>
    <s v="1"/>
    <s v="10000012"/>
    <s v="Hourly Hot Oil"/>
    <s v="Hot Oil"/>
    <d v="2025-10-12T01:31:17"/>
    <d v="2025-10-08T12:00:00"/>
    <d v="2025-10-08T15:00:00"/>
    <s v=""/>
    <s v=""/>
    <s v=""/>
    <s v=""/>
    <s v=""/>
    <s v=""/>
    <s v=""/>
    <s v=""/>
    <s v=""/>
    <s v=""/>
    <s v=""/>
    <s v=""/>
    <s v=""/>
    <s v=""/>
    <s v=""/>
    <s v=""/>
    <s v=""/>
    <s v=""/>
    <s v=""/>
    <s v=""/>
    <s v=""/>
    <s v=""/>
    <s v=""/>
    <s v=""/>
    <s v="Labor"/>
    <s v=""/>
    <s v=""/>
    <s v=""/>
    <s v="1000397500"/>
    <s v="UL CUCKOO BEE 5-19 K 4JM"/>
    <s v="Upstream"/>
    <s v="1046"/>
    <s v=""/>
    <s v=""/>
    <s v=""/>
    <s v=""/>
    <s v=""/>
    <s v=""/>
    <s v=""/>
    <n v="3"/>
    <s v="HR"/>
    <n v="128.5"/>
    <s v=""/>
    <n v="385.5"/>
    <s v="--multiple--"/>
    <s v="700083"/>
    <d v="2025-10-12T01:32:25"/>
    <s v=""/>
    <s v=""/>
    <s v=""/>
    <s v=""/>
  </r>
  <r>
    <s v="662176"/>
    <s v="J&amp;R Roustabout, LLC"/>
    <x v="2"/>
    <s v="Curran Hutcherson"/>
    <s v="Britt Gunnels"/>
    <s v="DROVE TO LOCATION AND REMOVE BELT GUARD AND INSTALL NEW BELTS , REINSTALL BELT GUARD AND CLEAN UP OLD BELTS."/>
    <s v="5051035"/>
    <s v="Upstream"/>
    <s v="169421"/>
    <s v="USD"/>
    <n v="240"/>
    <s v="Direct Entry"/>
    <s v="1"/>
    <s v="3 Man Roustabout Crew"/>
    <s v="3 Man Roustabout Crew"/>
    <s v=""/>
    <d v="2025-10-06T12:44:00"/>
    <d v="2025-10-03T09:15:00"/>
    <d v="2025-10-03T11:15:00"/>
    <s v=""/>
    <s v="DANIEL 3 #2"/>
    <s v=""/>
    <s v=""/>
    <s v=""/>
    <s v=""/>
    <s v=""/>
    <s v=""/>
    <s v=""/>
    <s v=""/>
    <s v=""/>
    <s v=""/>
    <s v=""/>
    <s v=""/>
    <s v=""/>
    <s v=""/>
    <s v=""/>
    <s v=""/>
    <s v=""/>
    <s v=""/>
    <s v=""/>
    <s v=""/>
    <s v=""/>
    <s v=""/>
    <s v="Labor"/>
    <s v=""/>
    <s v=""/>
    <s v=""/>
    <s v="1000066800"/>
    <s v="DANIEL 3 2"/>
    <s v="Upstream"/>
    <s v="1046"/>
    <s v=""/>
    <s v=""/>
    <s v=""/>
    <s v=""/>
    <s v=""/>
    <s v=""/>
    <s v=""/>
    <n v="2"/>
    <s v="HR"/>
    <n v="120"/>
    <s v=""/>
    <n v="240"/>
    <s v="Pricebook"/>
    <s v="712950"/>
    <d v="2025-10-06T12:45:01"/>
    <s v=""/>
    <s v=""/>
    <s v=""/>
    <s v=""/>
  </r>
  <r>
    <s v="890035954"/>
    <s v="ChampionX LLC"/>
    <x v="5"/>
    <s v="Gabriel Cervantes"/>
    <s v="Britt Gunnels"/>
    <s v="Bigby Neely 1- PO #5121043"/>
    <s v="5051035"/>
    <s v="Upstream"/>
    <s v=""/>
    <s v="USD"/>
    <n v="334"/>
    <s v="Direct Entry"/>
    <s v="1"/>
    <s v="1156167 Sam Mainboard"/>
    <s v="SPT POC PART_SAM MAINBOARD"/>
    <s v=""/>
    <d v="2025-10-01T09:15:48"/>
    <d v="2024-10-28T00:00:00"/>
    <d v="2024-10-28T00:00:00"/>
    <s v=""/>
    <s v="BIGBY-NEELY 1"/>
    <s v=""/>
    <s v=""/>
    <s v=""/>
    <s v=""/>
    <s v=""/>
    <s v=""/>
    <s v=""/>
    <s v=""/>
    <s v=""/>
    <s v=""/>
    <s v=""/>
    <s v=""/>
    <s v=""/>
    <s v=""/>
    <s v=""/>
    <s v=""/>
    <s v=""/>
    <s v=""/>
    <s v=""/>
    <s v=""/>
    <s v=""/>
    <s v=""/>
    <s v=""/>
    <s v=""/>
    <s v=""/>
    <s v=""/>
    <s v="8300079900"/>
    <s v="BIGBY-NEELY 1 BATTERY"/>
    <s v="Upstream"/>
    <s v="1046"/>
    <s v=""/>
    <s v=""/>
    <s v=""/>
    <s v=""/>
    <s v=""/>
    <s v=""/>
    <s v=""/>
    <n v="1"/>
    <s v="EA"/>
    <n v="334"/>
    <s v=""/>
    <n v="334"/>
    <s v="--multiple--"/>
    <s v="711892"/>
    <d v="2025-10-01T09:18:13"/>
    <s v=""/>
    <s v=""/>
    <s v=""/>
    <s v=""/>
  </r>
  <r>
    <s v="890038037"/>
    <s v="ChampionX LLC"/>
    <x v="5"/>
    <s v="Gabriel Cervantes"/>
    <s v="Britt Gunnels"/>
    <s v="Automation service &amp; equipment"/>
    <s v="5051035"/>
    <s v="Upstream"/>
    <s v=""/>
    <s v="USD"/>
    <n v="1375.82"/>
    <s v="Direct Entry"/>
    <s v="1"/>
    <s v="1155614EA"/>
    <s v="MILES TRAVELED"/>
    <s v=""/>
    <d v="2025-10-01T07:40:02"/>
    <d v="2025-02-26T08:30:00"/>
    <d v="2025-02-26T10:00:00"/>
    <s v=""/>
    <s v="DANIEL 7 1"/>
    <s v=""/>
    <s v=""/>
    <s v=""/>
    <s v=""/>
    <s v=""/>
    <s v=""/>
    <s v=""/>
    <s v=""/>
    <s v=""/>
    <s v=""/>
    <s v=""/>
    <s v=""/>
    <s v=""/>
    <s v=""/>
    <s v=""/>
    <s v=""/>
    <s v=""/>
    <s v=""/>
    <s v=""/>
    <s v=""/>
    <s v=""/>
    <s v=""/>
    <s v="Labor"/>
    <s v=""/>
    <s v=""/>
    <s v=""/>
    <s v="1000012600"/>
    <s v="DANIEL 7 1"/>
    <s v="Upstream"/>
    <s v="1046"/>
    <s v=""/>
    <s v=""/>
    <s v=""/>
    <s v=""/>
    <s v=""/>
    <s v=""/>
    <s v=""/>
    <n v="33"/>
    <s v="EA"/>
    <n v="3.6"/>
    <s v=""/>
    <n v="118.8"/>
    <s v="--multiple--"/>
    <s v="711892"/>
    <d v="2025-10-01T07:48:08"/>
    <s v=""/>
    <s v=""/>
    <s v=""/>
    <s v=""/>
  </r>
  <r>
    <s v="890038038"/>
    <s v="ChampionX LLC"/>
    <x v="5"/>
    <s v="Gabriel Cervantes"/>
    <s v="Britt Gunnels"/>
    <s v="Automation, service &amp; equipment"/>
    <s v="5051035"/>
    <s v="Upstream"/>
    <s v=""/>
    <s v="USD"/>
    <n v="1086.02"/>
    <s v="Direct Entry"/>
    <s v="1"/>
    <s v="1155593-"/>
    <s v="INSTALL MATERIAL"/>
    <s v="Material"/>
    <d v="2025-10-01T07:50:39"/>
    <d v="2025-03-05T10:15:00"/>
    <d v="2025-03-05T12:00:00"/>
    <s v=""/>
    <s v="EPO 1 DANIEL UNIT 2"/>
    <s v=""/>
    <s v=""/>
    <s v=""/>
    <s v=""/>
    <s v=""/>
    <s v=""/>
    <s v=""/>
    <s v=""/>
    <s v=""/>
    <s v=""/>
    <s v=""/>
    <s v=""/>
    <s v=""/>
    <s v=""/>
    <s v=""/>
    <s v=""/>
    <s v=""/>
    <s v=""/>
    <s v=""/>
    <s v=""/>
    <s v=""/>
    <s v=""/>
    <s v="Material"/>
    <s v=""/>
    <s v=""/>
    <s v=""/>
    <s v="1000074900"/>
    <s v="EPO 1 DANIEL UNIT 2"/>
    <s v="Upstream"/>
    <s v="1046"/>
    <s v=""/>
    <s v=""/>
    <s v=""/>
    <s v=""/>
    <s v=""/>
    <s v=""/>
    <s v=""/>
    <n v="1"/>
    <s v="EA"/>
    <n v="368.03"/>
    <s v=""/>
    <n v="368.03"/>
    <s v="--multiple--"/>
    <s v="711892"/>
    <d v="2025-10-01T07:53:49"/>
    <s v=""/>
    <s v=""/>
    <s v=""/>
    <s v=""/>
  </r>
  <r>
    <s v="890038040"/>
    <s v="ChampionX LLC"/>
    <x v="5"/>
    <s v="Gabriel Cervantes"/>
    <s v="Britt Gunnels"/>
    <s v="Automation, service &amp; equipment"/>
    <s v="5051035"/>
    <s v="Upstream"/>
    <s v=""/>
    <s v="USD"/>
    <n v="1086.02"/>
    <s v="Direct Entry"/>
    <s v="1"/>
    <s v="1155577"/>
    <s v="SERVICE LABOR - 2 CREW MEMBERS"/>
    <s v="LABOR"/>
    <d v="2025-10-01T07:56:19"/>
    <d v="2025-03-05T12:30:00"/>
    <d v="2025-03-05T14:15:00"/>
    <s v=""/>
    <s v="ENSERCH-FRYSAK 4"/>
    <s v=""/>
    <s v=""/>
    <s v=""/>
    <s v=""/>
    <s v=""/>
    <s v=""/>
    <s v=""/>
    <s v=""/>
    <s v=""/>
    <s v=""/>
    <s v=""/>
    <s v=""/>
    <s v=""/>
    <s v=""/>
    <s v=""/>
    <s v=""/>
    <s v=""/>
    <s v=""/>
    <s v=""/>
    <s v=""/>
    <s v=""/>
    <s v=""/>
    <s v="Equipment"/>
    <s v=""/>
    <s v=""/>
    <s v=""/>
    <s v="1000014700"/>
    <s v="ENSERCH-FRYSAK 4"/>
    <s v="Upstream"/>
    <s v="1046"/>
    <s v=""/>
    <s v=""/>
    <s v=""/>
    <s v=""/>
    <s v=""/>
    <s v=""/>
    <s v=""/>
    <n v="1.75"/>
    <s v="HR"/>
    <n v="178.25"/>
    <s v=""/>
    <n v="311.94"/>
    <s v="--multiple--"/>
    <s v="711892"/>
    <d v="2025-10-01T08:01:24"/>
    <s v=""/>
    <s v=""/>
    <s v=""/>
    <s v=""/>
  </r>
  <r>
    <s v="81816"/>
    <s v="Clearwell LLC"/>
    <x v="3"/>
    <s v="Billy Darrow"/>
    <s v="Josh Clemmer"/>
    <s v="full treatment, ul cuckoo bee 5-19  J 4LS"/>
    <s v="5051026"/>
    <s v="Upstream"/>
    <s v=""/>
    <s v="USD"/>
    <n v="751.8"/>
    <s v="Direct Entry"/>
    <s v="1"/>
    <s v="10000020"/>
    <s v="Scheduled Program Hot Oil per BBL"/>
    <s v="Hot Oil"/>
    <d v="2025-10-12T01:33:24"/>
    <d v="2025-10-08T15:00:00"/>
    <d v="2025-10-08T18:00:00"/>
    <s v=""/>
    <s v=""/>
    <s v=""/>
    <s v=""/>
    <s v=""/>
    <s v=""/>
    <s v=""/>
    <s v=""/>
    <s v=""/>
    <s v=""/>
    <s v=""/>
    <s v=""/>
    <s v=""/>
    <s v=""/>
    <s v=""/>
    <s v=""/>
    <s v=""/>
    <s v=""/>
    <s v=""/>
    <s v=""/>
    <s v=""/>
    <s v=""/>
    <s v=""/>
    <s v=""/>
    <s v="Labor"/>
    <s v=""/>
    <s v=""/>
    <s v=""/>
    <s v="1000421200"/>
    <s v="UL CUCKOO BEE 5-19 J 4LS"/>
    <s v="Upstream"/>
    <s v="1046"/>
    <s v=""/>
    <s v=""/>
    <s v=""/>
    <s v=""/>
    <s v=""/>
    <s v=""/>
    <s v=""/>
    <n v="140"/>
    <s v="BBL"/>
    <n v="5.37"/>
    <s v=""/>
    <n v="751.8"/>
    <s v="--multiple--"/>
    <s v="700083"/>
    <d v="2025-10-12T01:34:16"/>
    <s v=""/>
    <s v=""/>
    <s v=""/>
    <s v=""/>
  </r>
  <r>
    <s v="890035413"/>
    <s v="ChampionX LLC"/>
    <x v="3"/>
    <s v="Gabriel Cervantes"/>
    <s v="Britt Gunnels"/>
    <s v="Automation, service &amp; equipment"/>
    <s v="5051035"/>
    <s v="Upstream"/>
    <s v=""/>
    <s v="USD"/>
    <n v="1884"/>
    <s v="Direct Entry"/>
    <s v="1"/>
    <s v="1179070"/>
    <s v="SPT END DEVICE_WIRELESS LOAD CELL_ADAPTER_ECO WELL"/>
    <s v=""/>
    <d v="2025-10-01T08:09:37"/>
    <d v="2025-09-20T00:00:00"/>
    <d v="2025-09-20T00:00:00"/>
    <s v=""/>
    <s v="BODINE &quot;19&quot; WELL #2"/>
    <s v=""/>
    <s v=""/>
    <s v=""/>
    <s v=""/>
    <s v=""/>
    <s v=""/>
    <s v=""/>
    <s v=""/>
    <s v=""/>
    <s v=""/>
    <s v=""/>
    <s v=""/>
    <s v=""/>
    <s v=""/>
    <s v=""/>
    <s v=""/>
    <s v=""/>
    <s v=""/>
    <s v=""/>
    <s v=""/>
    <s v=""/>
    <s v=""/>
    <s v=""/>
    <s v=""/>
    <s v=""/>
    <s v=""/>
    <s v="1001247700"/>
    <s v="BODINE 19 2"/>
    <s v="Upstream"/>
    <s v="1046"/>
    <s v=""/>
    <s v=""/>
    <s v=""/>
    <s v=""/>
    <s v=""/>
    <s v=""/>
    <s v=""/>
    <n v="1"/>
    <s v="EA"/>
    <n v="1550"/>
    <s v=""/>
    <n v="1550"/>
    <s v="--multiple--"/>
    <s v="711892"/>
    <d v="2025-10-01T09:16:18"/>
    <s v=""/>
    <s v=""/>
    <s v=""/>
    <s v=""/>
  </r>
  <r>
    <s v="81817"/>
    <s v="Clearwell LLC"/>
    <x v="3"/>
    <s v="Billy Darrow"/>
    <s v="Josh Clemmer"/>
    <s v="full treatment, ul mason 2ls"/>
    <s v="5051026"/>
    <s v="Upstream"/>
    <s v=""/>
    <s v="USD"/>
    <n v="751.8"/>
    <s v="Direct Entry"/>
    <s v="1"/>
    <s v="10000020"/>
    <s v="Scheduled Program Hot Oil per BBL"/>
    <s v="Hot Oil"/>
    <d v="2025-10-13T10:21:01"/>
    <d v="2025-10-09T06:00:00"/>
    <d v="2025-10-09T09:00:00"/>
    <s v=""/>
    <s v=""/>
    <s v=""/>
    <s v=""/>
    <s v=""/>
    <s v=""/>
    <s v=""/>
    <s v=""/>
    <s v=""/>
    <s v=""/>
    <s v=""/>
    <s v=""/>
    <s v=""/>
    <s v=""/>
    <s v=""/>
    <s v=""/>
    <s v=""/>
    <s v=""/>
    <s v=""/>
    <s v=""/>
    <s v=""/>
    <s v=""/>
    <s v=""/>
    <s v=""/>
    <s v="Labor"/>
    <s v=""/>
    <s v=""/>
    <s v=""/>
    <s v="1000566700"/>
    <s v="UL MASON UNIT 2LS"/>
    <s v="Upstream"/>
    <s v="1046"/>
    <s v=""/>
    <s v=""/>
    <s v=""/>
    <s v=""/>
    <s v=""/>
    <s v=""/>
    <s v=""/>
    <n v="140"/>
    <s v="BBL"/>
    <n v="5.37"/>
    <s v=""/>
    <n v="751.8"/>
    <s v="--multiple--"/>
    <s v="700083"/>
    <d v="2025-10-13T10:22:19"/>
    <s v=""/>
    <s v=""/>
    <s v=""/>
    <s v=""/>
  </r>
  <r>
    <s v="81818"/>
    <s v="Clearwell LLC"/>
    <x v="3"/>
    <s v="Billy Darrow"/>
    <s v="Josh Clemmer"/>
    <s v="full treatment, ul mason 1H"/>
    <s v="5051026"/>
    <s v="Upstream"/>
    <s v=""/>
    <s v="USD"/>
    <n v="751.8"/>
    <s v="Direct Entry"/>
    <s v="1"/>
    <s v="10000020"/>
    <s v="Scheduled Program Hot Oil per BBL"/>
    <s v="Hot Oil"/>
    <d v="2025-10-13T10:23:08"/>
    <d v="2025-10-09T09:00:00"/>
    <d v="2025-10-09T12:00:00"/>
    <s v=""/>
    <s v=""/>
    <s v=""/>
    <s v=""/>
    <s v=""/>
    <s v=""/>
    <s v=""/>
    <s v=""/>
    <s v=""/>
    <s v=""/>
    <s v=""/>
    <s v=""/>
    <s v=""/>
    <s v=""/>
    <s v=""/>
    <s v=""/>
    <s v=""/>
    <s v=""/>
    <s v=""/>
    <s v=""/>
    <s v=""/>
    <s v=""/>
    <s v=""/>
    <s v=""/>
    <s v="Labor"/>
    <s v=""/>
    <s v=""/>
    <s v=""/>
    <s v="1000566600"/>
    <s v="UL MASON UNIT 1H"/>
    <s v="Upstream"/>
    <s v="1046"/>
    <s v=""/>
    <s v=""/>
    <s v=""/>
    <s v=""/>
    <s v=""/>
    <s v=""/>
    <s v=""/>
    <n v="140"/>
    <s v="BBL"/>
    <n v="5.37"/>
    <s v=""/>
    <n v="751.8"/>
    <s v="--multiple--"/>
    <s v="700083"/>
    <d v="2025-10-13T10:26:05"/>
    <s v=""/>
    <s v=""/>
    <s v=""/>
    <s v=""/>
  </r>
  <r>
    <s v="81819"/>
    <s v="Clearwell LLC"/>
    <x v="3"/>
    <s v="Billy Darrow"/>
    <s v="Josh Clemmer"/>
    <s v="full treatment, ul mason 7ls"/>
    <s v="5051026"/>
    <s v="Upstream"/>
    <s v=""/>
    <s v="USD"/>
    <n v="751.8"/>
    <s v="Direct Entry"/>
    <s v="1"/>
    <s v="10000020"/>
    <s v="Scheduled Program Hot Oil per BBL"/>
    <s v="Hot Oil"/>
    <d v="2025-10-13T10:28:44"/>
    <d v="2025-10-09T12:00:00"/>
    <d v="2025-10-09T15:00:00"/>
    <s v=""/>
    <s v=""/>
    <s v=""/>
    <s v=""/>
    <s v=""/>
    <s v=""/>
    <s v=""/>
    <s v=""/>
    <s v=""/>
    <s v=""/>
    <s v=""/>
    <s v=""/>
    <s v=""/>
    <s v=""/>
    <s v=""/>
    <s v=""/>
    <s v=""/>
    <s v=""/>
    <s v=""/>
    <s v=""/>
    <s v=""/>
    <s v=""/>
    <s v=""/>
    <s v=""/>
    <s v="Labor"/>
    <s v=""/>
    <s v=""/>
    <s v=""/>
    <s v="1000476300"/>
    <s v="UL MASON UNIT 7LS"/>
    <s v="Upstream"/>
    <s v="1046"/>
    <s v=""/>
    <s v=""/>
    <s v=""/>
    <s v=""/>
    <s v=""/>
    <s v=""/>
    <s v=""/>
    <n v="140"/>
    <s v="BBL"/>
    <n v="5.37"/>
    <s v=""/>
    <n v="751.8"/>
    <s v="--multiple--"/>
    <s v="700083"/>
    <d v="2025-10-13T10:29:41"/>
    <s v=""/>
    <s v=""/>
    <s v=""/>
    <s v=""/>
  </r>
  <r>
    <s v="81820"/>
    <s v="Clearwell LLC"/>
    <x v="3"/>
    <s v="Billy Darrow"/>
    <s v="Josh Clemmer"/>
    <s v="full treatment, ul mason 6ls"/>
    <s v="5051026"/>
    <s v="Upstream"/>
    <s v=""/>
    <s v="USD"/>
    <n v="751.8"/>
    <s v="Direct Entry"/>
    <s v="1"/>
    <s v="10000020"/>
    <s v="Scheduled Program Hot Oil per BBL"/>
    <s v="Hot Oil"/>
    <d v="2025-10-13T10:30:30"/>
    <d v="2025-10-09T15:00:00"/>
    <d v="2025-10-09T18:00:00"/>
    <s v=""/>
    <s v=""/>
    <s v=""/>
    <s v=""/>
    <s v=""/>
    <s v=""/>
    <s v=""/>
    <s v=""/>
    <s v=""/>
    <s v=""/>
    <s v=""/>
    <s v=""/>
    <s v=""/>
    <s v=""/>
    <s v=""/>
    <s v=""/>
    <s v=""/>
    <s v=""/>
    <s v=""/>
    <s v=""/>
    <s v=""/>
    <s v=""/>
    <s v=""/>
    <s v=""/>
    <s v="Labor"/>
    <s v=""/>
    <s v=""/>
    <s v=""/>
    <s v="1000476200"/>
    <s v="UL MASON UNIT 6LS"/>
    <s v="Upstream"/>
    <s v="1046"/>
    <s v=""/>
    <s v=""/>
    <s v=""/>
    <s v=""/>
    <s v=""/>
    <s v=""/>
    <s v=""/>
    <n v="140"/>
    <s v="BBL"/>
    <n v="5.37"/>
    <s v=""/>
    <n v="751.8"/>
    <s v="--multiple--"/>
    <s v="700083"/>
    <d v="2025-10-13T10:32:47"/>
    <s v=""/>
    <s v=""/>
    <s v=""/>
    <s v=""/>
  </r>
  <r>
    <s v="81821"/>
    <s v="Clearwell LLC"/>
    <x v="3"/>
    <s v="Billy Darrow"/>
    <s v="Josh Clemmer"/>
    <s v="call out, ul dedham 31-45 G 3JM"/>
    <s v="5051057"/>
    <s v="Upstream"/>
    <s v=""/>
    <s v="USD"/>
    <n v="771"/>
    <s v="Direct Entry"/>
    <s v="1"/>
    <s v="10000012"/>
    <s v="Hourly Hot Oil"/>
    <s v="Hot Oil"/>
    <d v="2025-10-13T10:33:34"/>
    <d v="2025-10-10T06:00:00"/>
    <d v="2025-10-10T12:00:00"/>
    <s v=""/>
    <s v=""/>
    <s v=""/>
    <s v=""/>
    <s v=""/>
    <s v=""/>
    <s v=""/>
    <s v=""/>
    <s v=""/>
    <s v=""/>
    <s v=""/>
    <s v=""/>
    <s v=""/>
    <s v=""/>
    <s v=""/>
    <s v=""/>
    <s v=""/>
    <s v=""/>
    <s v=""/>
    <s v=""/>
    <s v=""/>
    <s v=""/>
    <s v=""/>
    <s v=""/>
    <s v="Labor"/>
    <s v=""/>
    <s v=""/>
    <s v=""/>
    <s v="1001180400"/>
    <s v="UL DEDHAM 31-45 G 3JM"/>
    <s v="Upstream"/>
    <s v="1046"/>
    <s v=""/>
    <s v=""/>
    <s v=""/>
    <s v=""/>
    <s v=""/>
    <s v=""/>
    <s v=""/>
    <n v="6"/>
    <s v="HR"/>
    <n v="128.5"/>
    <s v=""/>
    <n v="771"/>
    <s v="--multiple--"/>
    <s v="700083"/>
    <d v="2025-10-13T10:34:45"/>
    <s v=""/>
    <s v=""/>
    <s v=""/>
    <s v=""/>
  </r>
  <r>
    <s v="25047537"/>
    <s v="Lone Star Instrumentation &amp; Electric Corp"/>
    <x v="8"/>
    <s v="Bobby Ramirez"/>
    <s v="Jose Villarreal"/>
    <s v="WORK DESCRIPTION: Mobilized equipment, isolated power, cleaned out all disconnects and safety switches, torqued connections to spec requirments, maintained bank, tightened all bushing connections, checked grounding system, tested all disconnect fuses, coordinated fuses."/>
    <s v="5051044"/>
    <s v="Upstream"/>
    <s v="148750"/>
    <s v="USD"/>
    <n v="6290.5"/>
    <s v="B2B"/>
    <s v="1"/>
    <s v=""/>
    <s v="LINE FOREMAN"/>
    <s v=""/>
    <d v="2025-09-26T14:10:27"/>
    <d v="2025-09-18T05:00:00"/>
    <d v="2025-09-18T16:00:00"/>
    <s v=""/>
    <s v="JANE M GRAVES UNIT 1H"/>
    <s v=""/>
    <s v=""/>
    <s v=""/>
    <s v=""/>
    <s v=""/>
    <s v=""/>
    <s v=""/>
    <s v=""/>
    <s v=""/>
    <s v=""/>
    <s v=""/>
    <s v=""/>
    <s v=""/>
    <s v=""/>
    <s v=""/>
    <s v=""/>
    <s v=""/>
    <s v=""/>
    <s v=""/>
    <s v=""/>
    <s v=""/>
    <s v=""/>
    <s v="Labor"/>
    <s v=""/>
    <s v=""/>
    <s v=""/>
    <s v="8000018500"/>
    <s v="JANE M GRAVES UNIT 1H BATTERY"/>
    <s v="Upstream"/>
    <s v="1046"/>
    <s v=""/>
    <s v=""/>
    <s v=""/>
    <s v=""/>
    <s v=""/>
    <s v=""/>
    <s v=""/>
    <n v="8"/>
    <s v="HR"/>
    <n v="69"/>
    <s v=""/>
    <n v="552"/>
    <s v="--multiple--"/>
    <s v="708305"/>
    <d v="2025-10-06T14:10:45"/>
    <s v=""/>
    <s v=""/>
    <s v=""/>
    <s v=""/>
  </r>
  <r>
    <s v="10232338"/>
    <s v="Jet Specialty Inc"/>
    <x v="3"/>
    <s v="Bronson Pittman"/>
    <s v="Taylor Smith"/>
    <s v="LEASE: MULTIPLE SEE BELOW/GL: 5051003; BUYER: BRONSON PITTMAN;"/>
    <s v="5051003"/>
    <s v="Upstream"/>
    <s v=""/>
    <s v="USD"/>
    <n v="2165"/>
    <s v="API"/>
    <s v="1"/>
    <s v="9989"/>
    <s v="2100543-014 TFIO MODULE 8 COMBO DIGITAL"/>
    <s v="E&amp;M"/>
    <d v="2025-10-10T13:32:11"/>
    <d v="2025-09-22T00:00:00"/>
    <d v="2025-09-22T00:00:00"/>
    <s v=""/>
    <s v=""/>
    <s v=""/>
    <s v=""/>
    <s v=""/>
    <s v=""/>
    <s v=""/>
    <s v=""/>
    <s v=""/>
    <s v=""/>
    <s v=""/>
    <s v=""/>
    <s v=""/>
    <s v=""/>
    <s v=""/>
    <s v=""/>
    <s v=""/>
    <s v=""/>
    <s v=""/>
    <s v=""/>
    <s v=""/>
    <s v=""/>
    <s v=""/>
    <s v=""/>
    <s v="Material"/>
    <s v=""/>
    <s v=""/>
    <s v=""/>
    <s v="1000712500"/>
    <s v="ZEBCO 27-39 M 26WB"/>
    <s v="Upstream"/>
    <s v="1046"/>
    <s v=""/>
    <s v=""/>
    <s v=""/>
    <s v=""/>
    <s v=""/>
    <s v=""/>
    <s v=""/>
    <n v="1.67"/>
    <s v="EA"/>
    <n v="433"/>
    <s v=""/>
    <n v="721.67"/>
    <s v="--multiple--"/>
    <s v="708023"/>
    <d v="2025-10-10T13:41:18"/>
    <s v=""/>
    <s v=""/>
    <s v=""/>
    <s v=""/>
  </r>
  <r>
    <s v="211372"/>
    <s v="Basin Trucking LLC"/>
    <x v="9"/>
    <s v="Rick Case"/>
    <s v="Britt Gunnels"/>
    <s v="Drove to location and work on cleaning the pressure release valve."/>
    <s v="5051049"/>
    <s v="Upstream"/>
    <s v="169046"/>
    <s v="USD"/>
    <n v="935"/>
    <s v="Direct Entry"/>
    <s v="1"/>
    <s v="3 Man Crew"/>
    <s v="3 Man Crew"/>
    <s v="Roustabout Crew"/>
    <d v="2025-10-08T10:11:50"/>
    <d v="2025-10-02T12:45:00"/>
    <d v="2025-10-02T17:15:00"/>
    <s v=""/>
    <s v="HULING 18-7 BATTERY"/>
    <s v=""/>
    <s v=""/>
    <s v=""/>
    <s v=""/>
    <s v=""/>
    <s v=""/>
    <s v=""/>
    <s v=""/>
    <s v=""/>
    <s v=""/>
    <s v=""/>
    <s v=""/>
    <s v=""/>
    <s v=""/>
    <s v=""/>
    <s v=""/>
    <s v=""/>
    <s v=""/>
    <s v=""/>
    <s v=""/>
    <s v=""/>
    <s v=""/>
    <s v="Labor"/>
    <s v=""/>
    <s v=""/>
    <s v=""/>
    <s v="8300112200"/>
    <s v="HULING 18-7 BATTERY"/>
    <s v="Upstream"/>
    <s v="1046"/>
    <s v=""/>
    <s v=""/>
    <s v=""/>
    <s v=""/>
    <s v=""/>
    <s v=""/>
    <s v=""/>
    <n v="4.5"/>
    <s v="HR"/>
    <n v="130"/>
    <s v=""/>
    <n v="585"/>
    <s v="--multiple--"/>
    <s v="703517"/>
    <d v="2025-10-08T10:13:41"/>
    <s v=""/>
    <s v=""/>
    <s v=""/>
    <s v=""/>
  </r>
  <r>
    <s v="211755"/>
    <s v="Basin Trucking LLC"/>
    <x v="9"/>
    <s v="Rick Case"/>
    <s v="Britt Gunnels"/>
    <s v="Deliver manlift and dropped off to work on battery"/>
    <s v="5051049"/>
    <s v="Upstream"/>
    <s v="169046"/>
    <s v="USD"/>
    <n v="300"/>
    <s v="Direct Entry"/>
    <s v="1"/>
    <s v="lowboy"/>
    <s v="Lowboy"/>
    <s v="freight"/>
    <d v="2025-10-08T10:01:38"/>
    <d v="2025-10-02T13:00:00"/>
    <d v="2025-10-02T15:30:00"/>
    <s v=""/>
    <s v="HULING 18-7 BATTERY"/>
    <s v=""/>
    <s v=""/>
    <s v=""/>
    <s v=""/>
    <s v=""/>
    <s v=""/>
    <s v=""/>
    <s v=""/>
    <s v=""/>
    <s v=""/>
    <s v=""/>
    <s v=""/>
    <s v=""/>
    <s v=""/>
    <s v=""/>
    <s v=""/>
    <s v=""/>
    <s v=""/>
    <s v=""/>
    <s v=""/>
    <s v=""/>
    <s v=""/>
    <s v="Equipment"/>
    <s v=""/>
    <s v=""/>
    <s v=""/>
    <s v="8300112200"/>
    <s v="HULING 18-7 BATTERY"/>
    <s v="Upstream"/>
    <s v="1046"/>
    <s v=""/>
    <s v=""/>
    <s v=""/>
    <s v=""/>
    <s v=""/>
    <s v=""/>
    <s v=""/>
    <n v="2"/>
    <s v="HR"/>
    <n v="150"/>
    <s v=""/>
    <n v="300"/>
    <s v="--multiple--"/>
    <s v="703517"/>
    <d v="2025-10-08T10:03:03"/>
    <s v=""/>
    <s v=""/>
    <s v=""/>
    <s v=""/>
  </r>
  <r>
    <s v="0721-1079296"/>
    <s v="Cain Electric Supply CORP"/>
    <x v="0"/>
    <s v="Rick Alanis"/>
    <s v="Bryan Schilder"/>
    <s v="Electrical Materials"/>
    <s v="8501141"/>
    <s v="AC-AC"/>
    <s v=""/>
    <s v="USD"/>
    <n v="6739.5"/>
    <s v=""/>
    <s v="1"/>
    <s v="AMFI CG200K"/>
    <s v="2IN CORD CONNECTOR KIT"/>
    <s v=""/>
    <d v="2025-10-09T19:04:15"/>
    <d v="2025-10-09T08:00:00"/>
    <d v="2025-10-09T08:00:00"/>
    <s v=""/>
    <s v="MINOTAUR 38-66 UNIT 1 112"/>
    <s v=""/>
    <s v=""/>
    <s v=""/>
    <s v=""/>
    <s v=""/>
    <s v=""/>
    <s v=""/>
    <s v=""/>
    <s v=""/>
    <s v=""/>
    <s v=""/>
    <s v=""/>
    <s v=""/>
    <s v=""/>
    <s v=""/>
    <s v=""/>
    <s v=""/>
    <s v=""/>
    <s v=""/>
    <s v=""/>
    <s v=""/>
    <s v=""/>
    <s v="Material"/>
    <s v=""/>
    <s v=""/>
    <s v=""/>
    <s v="AC-002120AC"/>
    <s v="MINOTAUR 3866 112 ESP2RP"/>
    <s v="AC-AC"/>
    <s v="1046"/>
    <s v=""/>
    <s v=""/>
    <s v=""/>
    <s v=""/>
    <s v=""/>
    <s v=""/>
    <s v=""/>
    <n v="2"/>
    <s v="EA"/>
    <n v="30.29"/>
    <s v=""/>
    <n v="60.58"/>
    <s v="--multiple--"/>
    <s v="703819"/>
    <d v="2025-10-10T08:31:21"/>
    <s v=""/>
    <s v=""/>
    <s v=""/>
    <s v=""/>
  </r>
  <r>
    <s v="81822"/>
    <s v="Clearwell LLC"/>
    <x v="3"/>
    <s v="Billy Darrow"/>
    <s v="Josh Clemmer"/>
    <s v="full treatment, ul comanche A4144 4"/>
    <s v="5051026"/>
    <s v="Upstream"/>
    <s v=""/>
    <s v="USD"/>
    <n v="751.8"/>
    <s v="Direct Entry"/>
    <s v="1"/>
    <s v="10000020"/>
    <s v="Scheduled Program Hot Oil per BBL"/>
    <s v="Hot Oil"/>
    <d v="2025-10-13T10:35:44"/>
    <d v="2025-10-10T12:00:00"/>
    <d v="2025-10-10T15:00:00"/>
    <s v=""/>
    <s v=""/>
    <s v=""/>
    <s v=""/>
    <s v=""/>
    <s v=""/>
    <s v=""/>
    <s v=""/>
    <s v=""/>
    <s v=""/>
    <s v=""/>
    <s v=""/>
    <s v=""/>
    <s v=""/>
    <s v=""/>
    <s v=""/>
    <s v=""/>
    <s v=""/>
    <s v=""/>
    <s v=""/>
    <s v=""/>
    <s v=""/>
    <s v=""/>
    <s v=""/>
    <s v="Labor"/>
    <s v=""/>
    <s v=""/>
    <s v=""/>
    <s v="1000588600"/>
    <s v="UL COMANCHE UNIT A4144 4"/>
    <s v="Upstream"/>
    <s v="1046"/>
    <s v=""/>
    <s v=""/>
    <s v=""/>
    <s v=""/>
    <s v=""/>
    <s v=""/>
    <s v=""/>
    <n v="140"/>
    <s v="BBL"/>
    <n v="5.37"/>
    <s v=""/>
    <n v="751.8"/>
    <s v="--multiple--"/>
    <s v="700083"/>
    <d v="2025-10-13T10:36:41"/>
    <s v=""/>
    <s v=""/>
    <s v=""/>
    <s v=""/>
  </r>
  <r>
    <s v="2025-07189"/>
    <s v="GTG Automation, Inc."/>
    <x v="0"/>
    <s v="Jimmy Martin"/>
    <s v="Carlos Hernandez"/>
    <s v="Service Time: 0700-1300 Truck: 110_x000a_Stone Cold Pad 1_x000a_Drove to bond yard and pick up a pallet then drove to location and start rolling up wires then load them up on truck and take them to EMC warehouse and unload them on Paul’s connex"/>
    <s v="8501142"/>
    <s v="DC-EQ"/>
    <s v=""/>
    <s v="USD"/>
    <n v="1122"/>
    <s v="Direct Entry"/>
    <s v="1"/>
    <s v=""/>
    <s v="ELECTRICIAN 1"/>
    <s v=""/>
    <d v="2025-10-10T10:58:48"/>
    <d v="2025-10-09T07:00:00"/>
    <d v="2025-10-09T13:00:00"/>
    <s v=""/>
    <s v=""/>
    <s v=""/>
    <s v=""/>
    <s v=""/>
    <s v=""/>
    <s v=""/>
    <s v=""/>
    <s v=""/>
    <s v=""/>
    <s v=""/>
    <s v=""/>
    <s v=""/>
    <s v=""/>
    <s v=""/>
    <s v=""/>
    <s v=""/>
    <s v=""/>
    <s v=""/>
    <s v=""/>
    <s v=""/>
    <s v=""/>
    <s v=""/>
    <s v=""/>
    <s v="Labor"/>
    <s v=""/>
    <s v=""/>
    <s v=""/>
    <s v="DC-002065EQ"/>
    <s v="STONE COLD 11-2 UNIT 2 251"/>
    <s v="DC-EQ"/>
    <s v="1046"/>
    <s v=""/>
    <s v=""/>
    <s v=""/>
    <s v=""/>
    <s v=""/>
    <s v=""/>
    <s v=""/>
    <n v="0.86"/>
    <s v="HR"/>
    <n v="67"/>
    <s v=""/>
    <n v="57.43"/>
    <s v="--multiple--"/>
    <s v="707669"/>
    <d v="2025-10-10T11:02:43"/>
    <s v=""/>
    <s v=""/>
    <s v=""/>
    <s v=""/>
  </r>
  <r>
    <s v="2025-07176"/>
    <s v="GTG Automation, Inc."/>
    <x v="0"/>
    <s v="Michelle Fuller"/>
    <s v="Carlos Hernandez"/>
    <s v="Service Time:11-1500, 1500-1700 Truck: 110_x000a_Stone cold pad 1 Transformer_x000a_DC-002065EQ_x000a_DC-002053EQ_x000a_DC-002067EQ_x000a_DC-002055EQ_x000a_DC-002171EQ_x000a_DC-002175EQ_x000a_DC-002069EQ_x000a_Drove to location meet with jimmy he explain to us what we need to get done._x000a_Drove to EMC warehouse pick up cable try and cat 5 drove back to location cut and set up cable try ran cat 5 from transformer to PLC then from  transformer to recloser control and finish up for the day"/>
    <s v="8501142"/>
    <s v="DC-EQ"/>
    <s v=""/>
    <s v="USD"/>
    <n v="1246"/>
    <s v="Direct Entry"/>
    <s v="1"/>
    <s v=""/>
    <s v="ELECTRICIAN 1"/>
    <s v=""/>
    <d v="2025-10-10T10:38:33"/>
    <d v="2025-10-07T11:00:00"/>
    <d v="2025-10-07T15:00:00"/>
    <s v=""/>
    <s v=""/>
    <s v=""/>
    <s v=""/>
    <s v=""/>
    <s v=""/>
    <s v=""/>
    <s v=""/>
    <s v=""/>
    <s v=""/>
    <s v=""/>
    <s v=""/>
    <s v=""/>
    <s v=""/>
    <s v=""/>
    <s v=""/>
    <s v=""/>
    <s v=""/>
    <s v=""/>
    <s v=""/>
    <s v=""/>
    <s v=""/>
    <s v=""/>
    <s v=""/>
    <s v="Labor"/>
    <s v=""/>
    <s v=""/>
    <s v=""/>
    <s v="DC-002053EQ"/>
    <s v="STONE COLD 11-2 UNIT 2 152 - DC"/>
    <s v="DC-EQ"/>
    <s v="1046"/>
    <s v=""/>
    <s v=""/>
    <s v=""/>
    <s v=""/>
    <s v=""/>
    <s v=""/>
    <s v=""/>
    <n v="0.56999999999999995"/>
    <s v="HR"/>
    <n v="67"/>
    <s v=""/>
    <n v="38.29"/>
    <s v="--multiple--"/>
    <s v="707669"/>
    <d v="2025-10-10T10:53:32"/>
    <s v=""/>
    <s v=""/>
    <s v=""/>
    <s v=""/>
  </r>
  <r>
    <s v="2025-07177"/>
    <s v="GTG Automation, Inc."/>
    <x v="0"/>
    <s v="Michelle Fuller"/>
    <s v="Carlos Hernandez"/>
    <s v="Service Time: 0700-1500, 1500-1900 Truck: 110_x000a_Stone Cold Pad 1 Transformer_x000a_DC-002065EQ_x000a_DC-002053EQ_x000a_DC-002067EQ_x000a_DC-002055EQ_x000a_DC-002171EQ_x000a_DC-002175EQ_x000a_DC-002069EQ_x000a_Drove to EMC warehouse pick up parts then drove to location measure and cut wires knock out holes on transformer mount Myers and cgb’s pull wires inside transformer crimped wires and terminate everything on transformer then turn off power disconnect wires on disconnects knock out holes mount cgb’s pull wires inside disconnects and terminated them. Turn power for transformer and made sure everything worked properly. Hugo backfilled ditch."/>
    <s v="8501142"/>
    <s v="DC-EQ"/>
    <s v=""/>
    <s v="USD"/>
    <n v="4252"/>
    <s v="Direct Entry"/>
    <s v="1"/>
    <s v=""/>
    <s v="ELECTRICIAN 1"/>
    <s v=""/>
    <d v="2025-10-10T10:25:48"/>
    <d v="2025-10-08T07:00:00"/>
    <d v="2025-10-08T15:00:00"/>
    <s v=""/>
    <s v=""/>
    <s v=""/>
    <s v=""/>
    <s v=""/>
    <s v=""/>
    <s v=""/>
    <s v=""/>
    <s v=""/>
    <s v=""/>
    <s v=""/>
    <s v=""/>
    <s v=""/>
    <s v=""/>
    <s v=""/>
    <s v=""/>
    <s v=""/>
    <s v=""/>
    <s v=""/>
    <s v=""/>
    <s v=""/>
    <s v=""/>
    <s v=""/>
    <s v=""/>
    <s v="Labor"/>
    <s v=""/>
    <s v=""/>
    <s v=""/>
    <s v="DC-002065EQ"/>
    <s v="STONE COLD 11-2 UNIT 2 251"/>
    <s v="DC-EQ"/>
    <s v="1046"/>
    <s v=""/>
    <s v=""/>
    <s v=""/>
    <s v=""/>
    <s v=""/>
    <s v=""/>
    <s v=""/>
    <n v="1.1399999999999999"/>
    <s v="HR"/>
    <n v="67"/>
    <s v=""/>
    <n v="76.569999999999993"/>
    <s v="--multiple--"/>
    <s v="707669"/>
    <d v="2025-10-10T10:36:12"/>
    <s v=""/>
    <s v=""/>
    <s v=""/>
    <s v=""/>
  </r>
  <r>
    <s v="191826100"/>
    <s v="Dunagin Transport Company"/>
    <x v="0"/>
    <s v="Curran Hutcherson"/>
    <s v="Christopher Cain"/>
    <s v="GLENN RILEY 30-42 D 2WB, HAUL 50 BBL SW TO RUGER"/>
    <s v="5051062"/>
    <s v="Upstream"/>
    <s v="157338"/>
    <s v="USD"/>
    <n v="1215"/>
    <s v="Direct Entry"/>
    <s v="1"/>
    <s v="Vacuum Truck"/>
    <s v="Vacuum Truck"/>
    <s v=""/>
    <d v="2025-09-30T09:09:28"/>
    <d v="2025-09-09T06:45:00"/>
    <d v="2025-09-09T18:30:00"/>
    <d v="1899-12-30T11:45:00"/>
    <s v="GLENN RILEY 30-42 D 2WB"/>
    <s v=""/>
    <s v=""/>
    <s v="SALTWATER"/>
    <s v=""/>
    <s v=""/>
    <s v=""/>
    <s v=""/>
    <s v=""/>
    <s v=""/>
    <s v=""/>
    <s v=""/>
    <s v=""/>
    <s v=""/>
    <s v=""/>
    <s v=""/>
    <s v=""/>
    <s v=""/>
    <s v=""/>
    <s v=""/>
    <s v=""/>
    <n v="50"/>
    <s v="bbl"/>
    <s v=""/>
    <s v=""/>
    <s v=""/>
    <s v=""/>
    <s v="1000263100"/>
    <s v="GLENN RILEY 30-42 D 2WB"/>
    <s v="Upstream"/>
    <s v="1046"/>
    <s v=""/>
    <s v=""/>
    <s v=""/>
    <s v=""/>
    <s v=""/>
    <s v=""/>
    <s v="Hours Worked"/>
    <n v="11.75"/>
    <s v="hour"/>
    <n v="100"/>
    <s v=""/>
    <n v="1175"/>
    <s v="--multiple--"/>
    <s v="704012"/>
    <d v="2025-09-30T09:14:01"/>
    <s v=""/>
    <s v=""/>
    <s v=""/>
    <s v=""/>
  </r>
  <r>
    <s v="191825100"/>
    <s v="Dunagin Transport Company"/>
    <x v="0"/>
    <s v="Curran Hutcherson"/>
    <s v="Christopher Cain"/>
    <s v="GLENN RILEY 30-42 D 2WB, KILL WELL FOR MAINT CREW"/>
    <s v="5051062"/>
    <s v="Upstream"/>
    <s v="157338"/>
    <s v="USD"/>
    <n v="1375"/>
    <s v="Direct Entry"/>
    <s v="1"/>
    <s v="Pump Truck"/>
    <s v="Pump Truck"/>
    <s v=""/>
    <d v="2025-09-30T09:01:48"/>
    <d v="2025-09-09T07:00:00"/>
    <d v="2025-09-09T18:00:00"/>
    <s v=""/>
    <s v="GLENN RILEY 30-42 D 2WB"/>
    <s v=""/>
    <s v=""/>
    <s v=""/>
    <s v=""/>
    <s v=""/>
    <s v=""/>
    <s v=""/>
    <s v=""/>
    <s v=""/>
    <s v=""/>
    <s v=""/>
    <s v=""/>
    <s v=""/>
    <s v=""/>
    <s v=""/>
    <s v=""/>
    <s v=""/>
    <s v=""/>
    <s v=""/>
    <s v=""/>
    <s v=""/>
    <s v=""/>
    <s v="Labor"/>
    <s v=""/>
    <s v=""/>
    <s v=""/>
    <s v="1000263100"/>
    <s v="GLENN RILEY 30-42 D 2WB"/>
    <s v="Upstream"/>
    <s v="1046"/>
    <s v=""/>
    <s v=""/>
    <s v=""/>
    <s v=""/>
    <s v=""/>
    <s v=""/>
    <s v=""/>
    <n v="11"/>
    <s v="HR"/>
    <n v="125"/>
    <s v=""/>
    <n v="1375"/>
    <s v="--multiple--"/>
    <s v="704012"/>
    <d v="2025-09-30T09:07:26"/>
    <s v=""/>
    <s v=""/>
    <s v=""/>
    <s v=""/>
  </r>
  <r>
    <s v="662174"/>
    <s v="J&amp;R Roustabout, LLC"/>
    <x v="2"/>
    <s v="Curran Hutcherson"/>
    <s v="Christopher Cain"/>
    <s v="DROVE TO YARD AND PICKED UP SUPPLIES, THEN DROVE TO LOCATION AND REINSTALL SHEET METAL ON AIR COMPRESSOR SHED TO PREPARE FOR WINTER , THEN DROVE TO WTH TO UNLOADED VALVES AT CONTAINER."/>
    <s v="5051022"/>
    <s v="Upstream"/>
    <s v="169219"/>
    <s v="USD"/>
    <n v="420"/>
    <s v="Direct Entry"/>
    <s v="1"/>
    <s v="3 Man Roustabout Crew"/>
    <s v="3 Man Roustabout Crew"/>
    <s v=""/>
    <d v="2025-10-03T09:40:01"/>
    <d v="2025-10-02T14:45:00"/>
    <d v="2025-10-02T18:15:00"/>
    <s v=""/>
    <s v="HANSON 46 BATTERY"/>
    <s v=""/>
    <s v=""/>
    <s v=""/>
    <s v=""/>
    <s v=""/>
    <s v=""/>
    <s v=""/>
    <s v=""/>
    <s v=""/>
    <s v=""/>
    <s v=""/>
    <s v=""/>
    <s v=""/>
    <s v=""/>
    <s v=""/>
    <s v=""/>
    <s v=""/>
    <s v=""/>
    <s v=""/>
    <s v=""/>
    <s v=""/>
    <s v=""/>
    <s v="Labor"/>
    <s v=""/>
    <s v=""/>
    <s v=""/>
    <s v="8300106100"/>
    <s v="HANSON 46 BATTERY - DAWSON"/>
    <s v="Upstream"/>
    <s v="1046"/>
    <s v=""/>
    <s v=""/>
    <s v=""/>
    <s v=""/>
    <s v=""/>
    <s v=""/>
    <s v=""/>
    <n v="3.5"/>
    <s v="HR"/>
    <n v="120"/>
    <s v=""/>
    <n v="420"/>
    <s v="Pricebook"/>
    <s v="712950"/>
    <d v="2025-10-07T09:48:54"/>
    <s v=""/>
    <s v=""/>
    <s v="Validation Overlapping Hours"/>
    <s v=""/>
  </r>
  <r>
    <s v="662182"/>
    <s v="J&amp;R Roustabout, LLC"/>
    <x v="2"/>
    <s v="Curran Hutcherson"/>
    <s v="Christopher Cain"/>
    <s v="DROVE TO LOCATION AND CHECK FOR LEAK , THEN HAD TO GET STEAMER FROM YARD TO CLEAN OUT HEATER."/>
    <s v="5051049"/>
    <s v="Upstream"/>
    <s v="169703"/>
    <s v="USD"/>
    <n v="600"/>
    <s v="Direct Entry"/>
    <s v="1"/>
    <s v="2 Man Roustabout Crew"/>
    <s v="2 Man Roustabout Crew"/>
    <s v=""/>
    <d v="2025-10-07T10:07:00"/>
    <d v="2025-10-06T07:00:00"/>
    <d v="2025-10-06T11:00:00"/>
    <s v=""/>
    <s v="COLE RANCH 35  BATTERY"/>
    <s v=""/>
    <s v=""/>
    <s v=""/>
    <s v=""/>
    <s v=""/>
    <s v=""/>
    <s v=""/>
    <s v=""/>
    <s v=""/>
    <s v=""/>
    <s v=""/>
    <s v=""/>
    <s v=""/>
    <s v=""/>
    <s v=""/>
    <s v=""/>
    <s v=""/>
    <s v=""/>
    <s v=""/>
    <s v=""/>
    <s v=""/>
    <s v=""/>
    <s v="Labor"/>
    <s v=""/>
    <s v=""/>
    <s v=""/>
    <s v="8000049400"/>
    <s v="COLE RANCH -35- (113) BATTERY"/>
    <s v="Upstream"/>
    <s v="1046"/>
    <s v=""/>
    <s v=""/>
    <s v=""/>
    <s v=""/>
    <s v=""/>
    <s v=""/>
    <s v=""/>
    <n v="4"/>
    <s v="HR"/>
    <n v="100"/>
    <s v=""/>
    <n v="400"/>
    <s v="Pricebook"/>
    <s v="712950"/>
    <d v="2025-10-07T10:09:02"/>
    <s v=""/>
    <s v=""/>
    <s v=""/>
    <s v=""/>
  </r>
  <r>
    <s v="662184"/>
    <s v="J&amp;R Roustabout, LLC"/>
    <x v="2"/>
    <s v="Curran Hutcherson"/>
    <s v="Christopher Cain"/>
    <s v="DROVE TO LOCATION AND REMOVE SMOKE TUBE AND THEN REMOVED FIRETUBE , THEN CLEAN HEATER AND DISCONNECT ALL LINES AND STRAP DOWN HEATER ONCE LOADED."/>
    <s v="5051049"/>
    <s v="Upstream"/>
    <s v="169703"/>
    <s v="USD"/>
    <n v="750"/>
    <s v="Direct Entry"/>
    <s v="1"/>
    <s v="2 Man Roustabout Crew"/>
    <s v="2 Man Roustabout Crew"/>
    <s v=""/>
    <d v="2025-10-07T10:11:32"/>
    <d v="2025-10-06T12:30:00"/>
    <d v="2025-10-06T20:00:00"/>
    <s v=""/>
    <s v="COLE RANCH 35  BATTERY"/>
    <s v=""/>
    <s v=""/>
    <s v=""/>
    <s v=""/>
    <s v=""/>
    <s v=""/>
    <s v=""/>
    <s v=""/>
    <s v=""/>
    <s v=""/>
    <s v=""/>
    <s v=""/>
    <s v=""/>
    <s v=""/>
    <s v=""/>
    <s v=""/>
    <s v=""/>
    <s v=""/>
    <s v=""/>
    <s v=""/>
    <s v=""/>
    <s v=""/>
    <s v="Equipment"/>
    <s v=""/>
    <s v=""/>
    <s v=""/>
    <s v="8000049400"/>
    <s v="COLE RANCH -35- (113) BATTERY"/>
    <s v="Upstream"/>
    <s v="1046"/>
    <s v=""/>
    <s v=""/>
    <s v=""/>
    <s v=""/>
    <s v=""/>
    <s v=""/>
    <s v=""/>
    <n v="7.5"/>
    <s v="HR"/>
    <n v="100"/>
    <s v=""/>
    <n v="750"/>
    <s v="Pricebook"/>
    <s v="712950"/>
    <d v="2025-10-07T10:12:25"/>
    <s v=""/>
    <s v=""/>
    <s v=""/>
    <s v=""/>
  </r>
  <r>
    <s v="139900A"/>
    <s v="Knighten Machine &amp; Service Inc"/>
    <x v="8"/>
    <s v="Fernando DeHoyos"/>
    <s v="Christopher Cain"/>
    <s v="WO# 131344_x000a_CALVARY 30_x000a_O/B: FERNANDO DEHOYOS_x000a_432-301-4749"/>
    <s v="5051049"/>
    <s v="Upstream"/>
    <s v="131344"/>
    <s v="USD"/>
    <n v="860"/>
    <s v="Direct Entry"/>
    <s v="1"/>
    <s v="PumpParts"/>
    <s v="1.5 Mech seal pump"/>
    <s v="EQUIPMENT"/>
    <d v="2025-08-29T09:42:52"/>
    <d v="2025-07-08T08:00:00"/>
    <d v="2025-07-08T08:30:00"/>
    <s v=""/>
    <s v=""/>
    <s v=""/>
    <s v=""/>
    <s v=""/>
    <s v=""/>
    <s v=""/>
    <s v=""/>
    <s v=""/>
    <s v=""/>
    <s v=""/>
    <s v=""/>
    <s v=""/>
    <s v=""/>
    <s v=""/>
    <s v=""/>
    <s v=""/>
    <s v=""/>
    <s v=""/>
    <s v=""/>
    <s v=""/>
    <s v=""/>
    <s v=""/>
    <s v=""/>
    <s v="Material"/>
    <s v=""/>
    <s v=""/>
    <s v=""/>
    <s v="8000062700"/>
    <s v="CALVERLEY 30 BATTERY"/>
    <s v="Upstream"/>
    <s v="1046"/>
    <s v=""/>
    <s v=""/>
    <s v=""/>
    <s v=""/>
    <s v=""/>
    <s v=""/>
    <s v=""/>
    <n v="1"/>
    <s v="each"/>
    <n v="845"/>
    <s v=""/>
    <n v="845"/>
    <s v="E-Maintenance"/>
    <s v="708143"/>
    <d v="2025-10-14T10:08:44"/>
    <s v=""/>
    <s v=""/>
    <s v="Attachment Issue"/>
    <s v=""/>
  </r>
  <r>
    <s v="0721-1079240"/>
    <s v="Cain Electric Supply CORP"/>
    <x v="4"/>
    <s v="Bronson Pittman"/>
    <s v="Taylor Smith"/>
    <s v="Electrical Materials"/>
    <s v="5051017"/>
    <s v="Upstream"/>
    <s v=""/>
    <s v="USD"/>
    <n v="157.19999999999999"/>
    <s v=""/>
    <s v="1"/>
    <s v="SQD 9001AS2"/>
    <s v="3-POS SEL SW W/LEGEND &amp; CNT BLOCK"/>
    <s v=""/>
    <d v="2025-10-08T19:03:23"/>
    <d v="2025-10-08T08:00:00"/>
    <d v="2025-10-08T08:00:00"/>
    <s v=""/>
    <s v="GIVENS 2-1"/>
    <s v=""/>
    <s v=""/>
    <s v=""/>
    <s v=""/>
    <s v=""/>
    <s v=""/>
    <s v=""/>
    <s v=""/>
    <s v=""/>
    <s v=""/>
    <s v=""/>
    <s v=""/>
    <s v=""/>
    <s v=""/>
    <s v=""/>
    <s v=""/>
    <s v=""/>
    <s v=""/>
    <s v=""/>
    <s v=""/>
    <s v=""/>
    <s v=""/>
    <s v="Material"/>
    <s v=""/>
    <s v=""/>
    <s v=""/>
    <s v="8300101500"/>
    <s v="GIVENS 2 1 BATTERY"/>
    <s v="Upstream"/>
    <s v="1046"/>
    <s v=""/>
    <s v=""/>
    <s v=""/>
    <s v=""/>
    <s v=""/>
    <s v=""/>
    <s v=""/>
    <n v="2"/>
    <s v="EA"/>
    <n v="78.599999999999994"/>
    <s v=""/>
    <n v="157.19999999999999"/>
    <s v="--multiple--"/>
    <s v="703819"/>
    <d v="2025-10-09T15:12:39"/>
    <s v=""/>
    <s v=""/>
    <s v=""/>
    <s v=""/>
  </r>
  <r>
    <s v="81823"/>
    <s v="Clearwell LLC"/>
    <x v="3"/>
    <s v="Billy Darrow"/>
    <s v="Josh Clemmer"/>
    <s v="full treatment, ul comanche A4144 5"/>
    <s v="5051026"/>
    <s v="Upstream"/>
    <s v=""/>
    <s v="USD"/>
    <n v="751.8"/>
    <s v="Direct Entry"/>
    <s v="1"/>
    <s v="10000020"/>
    <s v="Scheduled Program Hot Oil per BBL"/>
    <s v="Hot Oil"/>
    <d v="2025-10-13T10:38:30"/>
    <d v="2025-10-10T15:00:00"/>
    <d v="2025-10-10T18:00:00"/>
    <s v=""/>
    <s v=""/>
    <s v=""/>
    <s v=""/>
    <s v=""/>
    <s v=""/>
    <s v=""/>
    <s v=""/>
    <s v=""/>
    <s v=""/>
    <s v=""/>
    <s v=""/>
    <s v=""/>
    <s v=""/>
    <s v=""/>
    <s v=""/>
    <s v=""/>
    <s v=""/>
    <s v=""/>
    <s v=""/>
    <s v=""/>
    <s v=""/>
    <s v=""/>
    <s v=""/>
    <s v="Labor"/>
    <s v=""/>
    <s v=""/>
    <s v=""/>
    <s v="1000588700"/>
    <s v="UL COMANCHE UNIT A4144 5"/>
    <s v="Upstream"/>
    <s v="1046"/>
    <s v=""/>
    <s v=""/>
    <s v=""/>
    <s v=""/>
    <s v=""/>
    <s v=""/>
    <s v=""/>
    <n v="140"/>
    <s v="BBL"/>
    <n v="5.37"/>
    <s v=""/>
    <n v="751.8"/>
    <s v="--multiple--"/>
    <s v="700083"/>
    <d v="2025-10-13T10:40:00"/>
    <s v=""/>
    <s v=""/>
    <s v=""/>
    <s v=""/>
  </r>
  <r>
    <s v="027135"/>
    <s v="Resilient Oilfield Services, LLC"/>
    <x v="8"/>
    <s v="Luis Ortega"/>
    <s v="Christopher Cain"/>
    <s v="Dispatched crane crew to location. Instructed to depressurize the well. Instructed to unhung rods, raised polish rod and replaced the stuffing box. Placed polish rod back in and hung rods. Waited for RK Supply to deliver parts"/>
    <s v="5051035"/>
    <s v="Upstream"/>
    <s v="148752"/>
    <s v="USD"/>
    <n v="3080"/>
    <s v="Direct Entry"/>
    <s v="1"/>
    <s v="45 Ton Crane"/>
    <s v="45 Ton Crane"/>
    <s v=""/>
    <d v="2025-09-09T13:47:27"/>
    <d v="2025-08-20T06:30:00"/>
    <d v="2025-08-20T13:30:00"/>
    <s v=""/>
    <s v="Cole Ranch 44-2"/>
    <s v=""/>
    <s v=""/>
    <s v=""/>
    <s v=""/>
    <s v=""/>
    <s v=""/>
    <s v=""/>
    <s v=""/>
    <s v=""/>
    <s v=""/>
    <s v=""/>
    <s v=""/>
    <s v=""/>
    <s v=""/>
    <s v=""/>
    <s v=""/>
    <s v=""/>
    <s v=""/>
    <s v=""/>
    <s v=""/>
    <s v=""/>
    <s v=""/>
    <s v="Labor"/>
    <s v=""/>
    <s v=""/>
    <s v=""/>
    <s v="1000056900"/>
    <s v="COLE RANCH 44 2"/>
    <s v="Upstream"/>
    <s v="1046"/>
    <s v=""/>
    <s v=""/>
    <s v=""/>
    <s v=""/>
    <s v=""/>
    <s v=""/>
    <s v=""/>
    <n v="7"/>
    <s v="hour"/>
    <n v="245"/>
    <s v=""/>
    <n v="1715"/>
    <s v="--multiple--"/>
    <s v="700874"/>
    <d v="2025-09-19T12:38:46"/>
    <s v=""/>
    <s v=""/>
    <s v="PriceBooks Issue"/>
    <s v=""/>
  </r>
  <r>
    <s v="212319"/>
    <s v="Basin Trucking LLC"/>
    <x v="12"/>
    <s v="Luis Ortega"/>
    <s v="Christopher Cain"/>
    <s v="Drove to location has a brief tailgate meeting inspected work area 360 changes out 3&quot; back pressure valve check for leaks"/>
    <s v="5051049"/>
    <s v="Upstream"/>
    <s v="166381"/>
    <s v="USD"/>
    <n v="357.5"/>
    <s v="Direct Entry"/>
    <s v="1"/>
    <s v="3 Man Crew"/>
    <s v="3 Man Crew"/>
    <s v="Roustabout Crew"/>
    <d v="2025-10-04T10:54:14"/>
    <d v="2025-09-25T06:15:00"/>
    <d v="2025-09-25T09:00:00"/>
    <s v=""/>
    <s v="COLE RANCH 35 207H"/>
    <s v=""/>
    <s v=""/>
    <s v=""/>
    <s v=""/>
    <s v=""/>
    <s v=""/>
    <s v=""/>
    <s v=""/>
    <s v=""/>
    <s v=""/>
    <s v=""/>
    <s v=""/>
    <s v=""/>
    <s v=""/>
    <s v=""/>
    <s v=""/>
    <s v=""/>
    <s v=""/>
    <s v=""/>
    <s v=""/>
    <s v=""/>
    <s v=""/>
    <s v="Labor"/>
    <s v=""/>
    <s v=""/>
    <s v=""/>
    <s v="1000051900"/>
    <s v="COLE RANCH 35 207H"/>
    <s v="Upstream"/>
    <s v="1046"/>
    <s v=""/>
    <s v=""/>
    <s v=""/>
    <s v=""/>
    <s v=""/>
    <s v=""/>
    <s v=""/>
    <n v="2.75"/>
    <s v="HR"/>
    <n v="130"/>
    <s v=""/>
    <n v="357.5"/>
    <s v="--multiple--"/>
    <s v="703517"/>
    <d v="2025-10-04T10:56:16"/>
    <s v=""/>
    <s v=""/>
    <s v=""/>
    <s v=""/>
  </r>
  <r>
    <s v="212322"/>
    <s v="Basin Trucking LLC"/>
    <x v="12"/>
    <s v="Luis Ortega"/>
    <s v="Christopher Cain"/>
    <s v="Drove to location did a brief tailgate meeting charged out a T a valve on the drain 4&quot; valve cleaned up around location picked up junk left to the side."/>
    <s v="5051049"/>
    <s v="Upstream"/>
    <s v="166797"/>
    <s v="USD"/>
    <n v="422.5"/>
    <s v="Direct Entry"/>
    <s v="1"/>
    <s v="3 Man Crew"/>
    <s v="3 Man Crew"/>
    <s v="Roustabout Crew"/>
    <d v="2025-10-04T10:40:59"/>
    <d v="2025-09-25T15:30:00"/>
    <d v="2025-09-25T18:45:00"/>
    <s v=""/>
    <s v="RILEY BATTERY"/>
    <s v=""/>
    <s v=""/>
    <s v=""/>
    <s v=""/>
    <s v=""/>
    <s v=""/>
    <s v=""/>
    <s v=""/>
    <s v=""/>
    <s v=""/>
    <s v=""/>
    <s v=""/>
    <s v=""/>
    <s v=""/>
    <s v=""/>
    <s v=""/>
    <s v=""/>
    <s v=""/>
    <s v=""/>
    <s v=""/>
    <s v=""/>
    <s v=""/>
    <s v="Labor"/>
    <s v=""/>
    <s v=""/>
    <s v=""/>
    <s v="8000062300"/>
    <s v="RILEY BATTERY"/>
    <s v="Upstream"/>
    <s v="1046"/>
    <s v=""/>
    <s v=""/>
    <s v=""/>
    <s v=""/>
    <s v=""/>
    <s v=""/>
    <s v=""/>
    <n v="3.25"/>
    <s v="HR"/>
    <n v="130"/>
    <s v=""/>
    <n v="422.5"/>
    <s v="--multiple--"/>
    <s v="703517"/>
    <d v="2025-10-04T10:42:46"/>
    <s v=""/>
    <s v=""/>
    <s v=""/>
    <s v=""/>
  </r>
  <r>
    <s v="295661"/>
    <s v="Cowboy Pump &amp; Supply"/>
    <x v="12"/>
    <s v="Melvin Freeman"/>
    <s v="Christopher Cain"/>
    <s v="PARTS DELIVERED"/>
    <s v="5051031"/>
    <s v="Upstream"/>
    <s v=""/>
    <s v="USD"/>
    <n v="1132.58"/>
    <s v="Direct Entry"/>
    <s v="1"/>
    <s v="87-TSCJRCNTRLBX"/>
    <s v="TSC-JR CONTROL BOX"/>
    <s v="MILL SUPPLIES AND TOOLS"/>
    <d v="2025-10-01T15:26:39"/>
    <d v="2025-08-11T00:00:00"/>
    <d v="2025-08-11T00:00:00"/>
    <s v=""/>
    <s v=""/>
    <s v=""/>
    <s v=""/>
    <s v=""/>
    <s v=""/>
    <s v=""/>
    <s v=""/>
    <s v=""/>
    <s v=""/>
    <s v=""/>
    <s v=""/>
    <s v=""/>
    <s v=""/>
    <s v=""/>
    <s v=""/>
    <s v=""/>
    <s v=""/>
    <s v=""/>
    <s v=""/>
    <s v=""/>
    <s v=""/>
    <s v=""/>
    <s v=""/>
    <s v="Material"/>
    <s v=""/>
    <s v=""/>
    <s v=""/>
    <s v="1001244200"/>
    <s v="MCDANIEL BROTHERS 34 1"/>
    <s v="Upstream"/>
    <s v="1046"/>
    <s v=""/>
    <s v=""/>
    <s v=""/>
    <s v=""/>
    <s v=""/>
    <s v=""/>
    <s v=""/>
    <n v="1"/>
    <s v="EA"/>
    <n v="963"/>
    <s v=""/>
    <n v="963"/>
    <s v="E-Maintenance"/>
    <s v="703921"/>
    <d v="2025-10-01T15:34:41"/>
    <s v=""/>
    <s v=""/>
    <s v=""/>
    <s v=""/>
  </r>
  <r>
    <s v="206963"/>
    <s v="Double D Supply Inc"/>
    <x v="5"/>
    <s v="Michael Mitchell"/>
    <s v="Christopher Cain"/>
    <s v="RETAIL SUPPLIES"/>
    <s v="5051028"/>
    <s v="Upstream"/>
    <s v=""/>
    <s v="USD"/>
    <n v="5"/>
    <s v="Direct Entry"/>
    <s v="1"/>
    <s v="miscellaneous:beverage and snack:watercase"/>
    <s v="16.9oz. Drinking Water Case 24pk"/>
    <s v=""/>
    <d v="2025-10-01T13:54:30"/>
    <d v="2025-09-17T12:00:00"/>
    <d v="2025-09-17T12:00:00"/>
    <s v=""/>
    <s v="CODY FLARITY FOREMAN SUPPLY"/>
    <s v=""/>
    <s v=""/>
    <s v=""/>
    <s v=""/>
    <s v=""/>
    <s v=""/>
    <s v=""/>
    <s v=""/>
    <s v=""/>
    <s v=""/>
    <s v=""/>
    <s v=""/>
    <s v=""/>
    <s v=""/>
    <s v=""/>
    <s v=""/>
    <s v=""/>
    <s v=""/>
    <s v=""/>
    <s v=""/>
    <s v=""/>
    <s v=""/>
    <s v="Material"/>
    <s v=""/>
    <s v=""/>
    <s v=""/>
    <s v="9100018800"/>
    <s v="FRM RTE-CAIN CHRIS"/>
    <s v="Upstream"/>
    <s v="1046"/>
    <s v=""/>
    <s v=""/>
    <s v=""/>
    <s v=""/>
    <s v=""/>
    <s v=""/>
    <s v=""/>
    <n v="1"/>
    <s v="EA"/>
    <n v="5"/>
    <s v=""/>
    <n v="5"/>
    <s v=""/>
    <s v="703999"/>
    <d v="2025-10-01T13:56:06"/>
    <s v=""/>
    <s v=""/>
    <s v=""/>
    <s v=""/>
  </r>
  <r>
    <s v="199601"/>
    <s v="Chemical Weed Control"/>
    <x v="12"/>
    <s v="Michael Mitchell"/>
    <s v="Christopher Cain"/>
    <s v="McDANIEL BROTHERS 34 WEED SPRAYING"/>
    <s v="5051027"/>
    <s v="Upstream"/>
    <s v=""/>
    <s v="USD"/>
    <n v="825"/>
    <s v="Direct Entry"/>
    <s v="1"/>
    <s v="Additional SQFT over 26,000"/>
    <s v="Additional SQFT over 26,000"/>
    <s v=""/>
    <d v="2025-10-03T10:41:47"/>
    <d v="2025-09-19T05:00:00"/>
    <d v="2025-09-19T07:00:00"/>
    <s v=""/>
    <s v=""/>
    <s v=""/>
    <s v=""/>
    <s v=""/>
    <s v=""/>
    <s v=""/>
    <s v=""/>
    <s v=""/>
    <s v=""/>
    <s v=""/>
    <s v=""/>
    <s v=""/>
    <s v=""/>
    <s v=""/>
    <s v=""/>
    <s v=""/>
    <s v=""/>
    <s v=""/>
    <s v=""/>
    <s v=""/>
    <s v=""/>
    <s v=""/>
    <s v=""/>
    <s v="Labor"/>
    <s v=""/>
    <s v=""/>
    <s v=""/>
    <s v="8300123400"/>
    <s v="MCDANIEL BROTHERS 34 1 BATTERY"/>
    <s v="Upstream"/>
    <s v="1046"/>
    <s v=""/>
    <s v=""/>
    <s v=""/>
    <s v=""/>
    <s v=""/>
    <s v=""/>
    <s v=""/>
    <n v="50000"/>
    <s v="SQ FT"/>
    <n v="0"/>
    <s v=""/>
    <n v="200"/>
    <s v="Pricebook"/>
    <s v="705499"/>
    <d v="2025-10-03T10:47:11"/>
    <s v=""/>
    <s v=""/>
    <s v=""/>
    <s v=""/>
  </r>
  <r>
    <s v="199602"/>
    <s v="Chemical Weed Control"/>
    <x v="12"/>
    <s v="Michael Mitchell"/>
    <s v="Christopher Cain"/>
    <s v="GLENN RILEY 30-42 WEED SPRAYING"/>
    <s v="5051027"/>
    <s v="Upstream"/>
    <s v=""/>
    <s v="USD"/>
    <n v="1175"/>
    <s v="Direct Entry"/>
    <s v="1"/>
    <s v="Additional SQFT over 26,000"/>
    <s v="Additional SQFT over 26,000"/>
    <s v=""/>
    <d v="2025-10-03T10:48:21"/>
    <d v="2025-09-19T05:00:00"/>
    <d v="2025-09-19T07:00:00"/>
    <s v=""/>
    <s v=""/>
    <s v=""/>
    <s v=""/>
    <s v=""/>
    <s v=""/>
    <s v=""/>
    <s v=""/>
    <s v=""/>
    <s v=""/>
    <s v=""/>
    <s v=""/>
    <s v=""/>
    <s v=""/>
    <s v=""/>
    <s v=""/>
    <s v=""/>
    <s v=""/>
    <s v=""/>
    <s v=""/>
    <s v=""/>
    <s v=""/>
    <s v=""/>
    <s v=""/>
    <s v="Labor"/>
    <s v=""/>
    <s v=""/>
    <s v=""/>
    <s v="9000012400"/>
    <s v="GLENN RILEY 30-42 GLF"/>
    <s v="Upstream"/>
    <s v="1046"/>
    <s v=""/>
    <s v=""/>
    <s v=""/>
    <s v=""/>
    <s v=""/>
    <s v=""/>
    <s v=""/>
    <n v="68750"/>
    <s v="SQ FT"/>
    <n v="0"/>
    <s v=""/>
    <n v="275"/>
    <s v="Pricebook"/>
    <s v="705499"/>
    <d v="2025-10-03T10:54:22"/>
    <s v=""/>
    <s v=""/>
    <s v=""/>
    <s v=""/>
  </r>
  <r>
    <s v="199600"/>
    <s v="Chemical Weed Control"/>
    <x v="12"/>
    <s v="Michael Mitchell"/>
    <s v="Christopher Cain"/>
    <s v="ODOM 11 WEED SPRAYING"/>
    <s v="5051027"/>
    <s v="Upstream"/>
    <s v=""/>
    <s v="USD"/>
    <n v="450"/>
    <s v="Direct Entry"/>
    <s v="1"/>
    <s v="Additional SQFT over 26,000"/>
    <s v="Additional SQFT over 26,000"/>
    <s v=""/>
    <d v="2025-10-03T10:39:40"/>
    <d v="2025-09-22T05:00:00"/>
    <d v="2025-09-22T07:00:00"/>
    <s v=""/>
    <s v=""/>
    <s v=""/>
    <s v=""/>
    <s v=""/>
    <s v=""/>
    <s v=""/>
    <s v=""/>
    <s v=""/>
    <s v=""/>
    <s v=""/>
    <s v=""/>
    <s v=""/>
    <s v=""/>
    <s v=""/>
    <s v=""/>
    <s v=""/>
    <s v=""/>
    <s v=""/>
    <s v=""/>
    <s v=""/>
    <s v=""/>
    <s v=""/>
    <s v=""/>
    <s v="Labor"/>
    <s v=""/>
    <s v=""/>
    <s v=""/>
    <s v="8000082500"/>
    <s v="ODOM 11 BATTERY"/>
    <s v="Upstream"/>
    <s v="1046"/>
    <s v=""/>
    <s v=""/>
    <s v=""/>
    <s v=""/>
    <s v=""/>
    <s v=""/>
    <s v=""/>
    <n v="93750"/>
    <s v="SQ FT"/>
    <n v="0"/>
    <s v=""/>
    <n v="375"/>
    <s v="Pricebook"/>
    <s v="705499"/>
    <d v="2025-10-03T10:40:43"/>
    <s v=""/>
    <s v=""/>
    <s v=""/>
    <s v=""/>
  </r>
  <r>
    <s v="QTS-132-2024"/>
    <s v="JessCo Solutions, LLC"/>
    <x v="5"/>
    <s v="Michael Mitchell"/>
    <s v="Christopher Cain"/>
    <s v="CALL OUT"/>
    <s v="5051064"/>
    <s v="Upstream"/>
    <s v="156092"/>
    <s v="USD"/>
    <n v="308.5"/>
    <s v="Direct Entry"/>
    <s v="1"/>
    <s v="Labor"/>
    <s v="labor"/>
    <s v=""/>
    <d v="2025-10-01T14:17:08"/>
    <d v="2025-09-24T15:00:00"/>
    <d v="2025-09-24T16:00:00"/>
    <s v=""/>
    <s v=""/>
    <s v=""/>
    <s v=""/>
    <s v=""/>
    <s v=""/>
    <s v=""/>
    <s v=""/>
    <s v=""/>
    <s v=""/>
    <s v=""/>
    <s v=""/>
    <s v=""/>
    <s v=""/>
    <s v=""/>
    <s v=""/>
    <s v=""/>
    <s v=""/>
    <s v=""/>
    <s v=""/>
    <s v=""/>
    <s v=""/>
    <s v=""/>
    <s v=""/>
    <s v="Labor"/>
    <s v=""/>
    <s v=""/>
    <s v=""/>
    <s v="8000063100"/>
    <s v="HANSON H BATTERY"/>
    <s v="Upstream"/>
    <s v="1046"/>
    <s v=""/>
    <s v=""/>
    <s v=""/>
    <s v=""/>
    <s v=""/>
    <s v=""/>
    <s v=""/>
    <n v="2"/>
    <s v="per hour"/>
    <n v="125"/>
    <s v=""/>
    <n v="250"/>
    <s v="--multiple--"/>
    <s v="711555"/>
    <d v="2025-10-01T14:19:38"/>
    <s v=""/>
    <s v=""/>
    <s v=""/>
    <s v=""/>
  </r>
  <r>
    <s v="81824"/>
    <s v="Clearwell LLC"/>
    <x v="3"/>
    <s v="Billy Darrow"/>
    <s v="Josh Clemmer"/>
    <s v="call out, ul mason east 4ls"/>
    <s v="5051057"/>
    <s v="Upstream"/>
    <s v=""/>
    <s v="USD"/>
    <n v="385.5"/>
    <s v="Direct Entry"/>
    <s v="1"/>
    <s v="10000012"/>
    <s v="Hourly Hot Oil"/>
    <s v="Hot Oil"/>
    <d v="2025-10-13T10:40:50"/>
    <d v="2025-10-10T18:00:00"/>
    <d v="2025-10-10T21:00:00"/>
    <s v=""/>
    <s v=""/>
    <s v=""/>
    <s v=""/>
    <s v=""/>
    <s v=""/>
    <s v=""/>
    <s v=""/>
    <s v=""/>
    <s v=""/>
    <s v=""/>
    <s v=""/>
    <s v=""/>
    <s v=""/>
    <s v=""/>
    <s v=""/>
    <s v=""/>
    <s v=""/>
    <s v=""/>
    <s v=""/>
    <s v=""/>
    <s v=""/>
    <s v=""/>
    <s v=""/>
    <s v="Labor"/>
    <s v=""/>
    <s v=""/>
    <s v=""/>
    <s v="1000476500"/>
    <s v="UL MASON EAST UNIT 4LS"/>
    <s v="Upstream"/>
    <s v="1046"/>
    <s v=""/>
    <s v=""/>
    <s v=""/>
    <s v=""/>
    <s v=""/>
    <s v=""/>
    <s v=""/>
    <n v="3"/>
    <s v="HR"/>
    <n v="128.5"/>
    <s v=""/>
    <n v="385.5"/>
    <s v="--multiple--"/>
    <s v="700083"/>
    <d v="2025-10-13T10:41:33"/>
    <s v=""/>
    <s v=""/>
    <s v=""/>
    <s v=""/>
  </r>
  <r>
    <s v="F05560"/>
    <s v="Warrior Technologies, LLC"/>
    <x v="10"/>
    <s v="Noel Quinonez-Ruiz"/>
    <s v="Christopher Cain"/>
    <s v="ROUSTABOUT WORK - WENT TO ACS FOR PARTS, DROVE TO LOCATION, SHUT DOWN WELLHEAD, BROKE HAMMER UNIONS, RELEASED PRESSURE, REPLACED NIPPLES 2 1/2 CHECK AND 2 1/2 BALL VALVE WITH 2&quot; NIPPLES, 2&quot; TEE AND 2&quot;"/>
    <s v="5051049"/>
    <s v="Upstream"/>
    <s v="157051"/>
    <s v="USD"/>
    <n v="460"/>
    <s v="B2B"/>
    <s v="1"/>
    <s v="1400001"/>
    <s v="Roustabout Service Crew w/ Truck - 2 Man Crew"/>
    <s v=""/>
    <d v="2025-10-02T13:33:08"/>
    <d v="2025-09-08T06:00:00"/>
    <d v="2025-09-08T10:00:00"/>
    <s v=""/>
    <s v="GLENN RILEY 30-42 M 4LS"/>
    <s v=""/>
    <s v=""/>
    <s v=""/>
    <s v=""/>
    <s v=""/>
    <s v=""/>
    <s v=""/>
    <s v=""/>
    <s v=""/>
    <s v=""/>
    <s v=""/>
    <s v=""/>
    <s v=""/>
    <s v=""/>
    <s v=""/>
    <s v=""/>
    <s v=""/>
    <s v=""/>
    <s v=""/>
    <s v=""/>
    <s v=""/>
    <s v=""/>
    <s v="Labor"/>
    <s v=""/>
    <s v=""/>
    <s v=""/>
    <s v="1000650900"/>
    <s v="GLENN RILEY 30-42 M 4LS"/>
    <s v="Upstream"/>
    <s v="1046"/>
    <s v=""/>
    <s v=""/>
    <s v=""/>
    <s v=""/>
    <s v=""/>
    <s v=""/>
    <s v=""/>
    <n v="4"/>
    <s v="HR"/>
    <n v="115"/>
    <s v=""/>
    <n v="460"/>
    <s v="Pricebook"/>
    <s v="712996"/>
    <d v="2025-10-03T09:05:57"/>
    <s v=""/>
    <s v=""/>
    <s v=""/>
    <s v=""/>
  </r>
  <r>
    <s v="44119"/>
    <s v="Valdez Oil Services, L.L.C."/>
    <x v="2"/>
    <s v="Noel Quinonez-Ruiz"/>
    <s v="Christopher Cain"/>
    <s v="COLE RANCH 35-113: MANLIFT IN LOCATION. DAILY RENTAL"/>
    <s v="5051049"/>
    <s v="Upstream"/>
    <s v="167454"/>
    <s v="USD"/>
    <n v="950"/>
    <s v="Direct Entry"/>
    <s v="1"/>
    <s v=""/>
    <s v="MANLIFT"/>
    <s v=""/>
    <d v="2025-10-07T13:53:24"/>
    <d v="2025-09-30T00:00:00"/>
    <d v="2025-09-30T00:00:00"/>
    <s v=""/>
    <s v="COLE RANCH 35 (113)"/>
    <s v=""/>
    <s v=""/>
    <s v=""/>
    <s v=""/>
    <s v=""/>
    <s v=""/>
    <s v=""/>
    <s v=""/>
    <s v=""/>
    <s v=""/>
    <s v=""/>
    <s v=""/>
    <s v=""/>
    <s v=""/>
    <s v=""/>
    <s v=""/>
    <s v=""/>
    <s v=""/>
    <s v=""/>
    <s v=""/>
    <s v=""/>
    <s v=""/>
    <s v="Labor"/>
    <s v=""/>
    <s v=""/>
    <s v=""/>
    <s v="8000049400"/>
    <s v="COLE RANCH -35- (113) BATTERY"/>
    <s v="Upstream"/>
    <s v="1046"/>
    <s v=""/>
    <s v=""/>
    <s v=""/>
    <s v=""/>
    <s v=""/>
    <s v=""/>
    <s v=""/>
    <n v="1"/>
    <s v="D"/>
    <n v="950"/>
    <s v=""/>
    <n v="950"/>
    <s v="--multiple--"/>
    <s v="712959"/>
    <d v="2025-10-07T13:55:43"/>
    <s v=""/>
    <s v=""/>
    <s v=""/>
    <s v=""/>
  </r>
  <r>
    <s v="44407"/>
    <s v="Valdez Oil Services, L.L.C."/>
    <x v="2"/>
    <s v="Noel Quinonez-Ruiz"/>
    <s v="Christopher Cain"/>
    <s v="COLE RANCH 35 113: Drove to location. Replaced the water dump, nipples, clamps and 90's. Replaced the oil dump. Replaced the 6-inch and 4-inch clamps on the water leg. Replaced the flange, gasket and bolts on the heater."/>
    <s v="5051049"/>
    <s v="Upstream"/>
    <s v="167454"/>
    <s v="USD"/>
    <n v="1887.5"/>
    <s v="Direct Entry"/>
    <s v="1"/>
    <s v=""/>
    <s v="ROUSTABOUT"/>
    <s v="Roustabout"/>
    <d v="2025-10-06T15:53:13"/>
    <d v="2025-10-01T10:00:00"/>
    <d v="2025-10-01T17:30:00"/>
    <s v=""/>
    <s v="COLE RANCH 35 (113)"/>
    <s v=""/>
    <s v=""/>
    <s v=""/>
    <s v=""/>
    <s v=""/>
    <s v=""/>
    <s v=""/>
    <s v=""/>
    <s v=""/>
    <s v=""/>
    <s v=""/>
    <s v=""/>
    <s v=""/>
    <s v=""/>
    <s v=""/>
    <s v=""/>
    <s v=""/>
    <s v=""/>
    <s v=""/>
    <s v=""/>
    <s v=""/>
    <s v=""/>
    <s v="Labor"/>
    <s v=""/>
    <s v=""/>
    <s v=""/>
    <s v="8000049400"/>
    <s v="COLE RANCH -35- (113) BATTERY"/>
    <s v="Upstream"/>
    <s v="1046"/>
    <s v=""/>
    <s v=""/>
    <s v=""/>
    <s v=""/>
    <s v=""/>
    <s v=""/>
    <s v=""/>
    <n v="7.5"/>
    <s v="HR"/>
    <n v="125"/>
    <s v=""/>
    <n v="937.5"/>
    <s v="--multiple--"/>
    <s v="712959"/>
    <d v="2025-10-06T15:55:51"/>
    <s v=""/>
    <s v=""/>
    <s v=""/>
    <s v=""/>
  </r>
  <r>
    <s v="44311"/>
    <s v="Valdez Oil Services, L.L.C."/>
    <x v="2"/>
    <s v="Noel Quinonez-Ruiz"/>
    <s v="Christopher Cain"/>
    <s v="COLE RANCH 41-2: Drove to location and went to the wellhead #2, disconnected the tester and took it to wellhead #6 and connected the tester."/>
    <s v="5051049"/>
    <s v="Upstream"/>
    <s v="169372"/>
    <s v="USD"/>
    <n v="406.25"/>
    <s v="Direct Entry"/>
    <s v="1"/>
    <s v=""/>
    <s v="ROUSTABOUT"/>
    <s v="Roustabout"/>
    <d v="2025-10-07T10:59:25"/>
    <d v="2025-10-03T06:00:00"/>
    <d v="2025-10-03T09:15:00"/>
    <s v=""/>
    <s v="COLE RANCH 41-2"/>
    <s v=""/>
    <s v=""/>
    <s v=""/>
    <s v=""/>
    <s v=""/>
    <s v=""/>
    <s v=""/>
    <s v=""/>
    <s v=""/>
    <s v=""/>
    <s v=""/>
    <s v=""/>
    <s v=""/>
    <s v=""/>
    <s v=""/>
    <s v=""/>
    <s v=""/>
    <s v=""/>
    <s v=""/>
    <s v=""/>
    <s v=""/>
    <s v=""/>
    <s v="Labor"/>
    <s v=""/>
    <s v=""/>
    <s v=""/>
    <s v="1000056400"/>
    <s v="COLE RANCH 41 2"/>
    <s v="Upstream"/>
    <s v="1046"/>
    <s v=""/>
    <s v=""/>
    <s v=""/>
    <s v=""/>
    <s v=""/>
    <s v=""/>
    <s v=""/>
    <n v="3.25"/>
    <s v="HR"/>
    <n v="125"/>
    <s v=""/>
    <n v="406.25"/>
    <s v="--multiple--"/>
    <s v="712959"/>
    <d v="2025-10-07T11:01:25"/>
    <s v=""/>
    <s v=""/>
    <s v=""/>
    <s v=""/>
  </r>
  <r>
    <s v="64886"/>
    <s v="Valdez Oil Services, L.L.C."/>
    <x v="2"/>
    <s v="Noel Quinonez-Ruiz"/>
    <s v="Christopher Cain"/>
    <s v="TOMAHAWK: Picked up spill from heater containment and Hauled 5 bbl. of fluid to Buchanan Environmental   Services. Performed wash out."/>
    <s v="5051049"/>
    <s v="Upstream"/>
    <s v=""/>
    <s v="USD"/>
    <n v="572"/>
    <s v="Direct Entry"/>
    <s v="1"/>
    <s v="Vacuum Truck"/>
    <s v="Vacuum Truck"/>
    <s v=""/>
    <d v="2025-10-08T14:52:43"/>
    <d v="2025-10-06T08:00:00"/>
    <d v="2025-10-06T14:30:00"/>
    <d v="1899-12-30T06:30:00"/>
    <s v="TOMAHAWK"/>
    <s v=""/>
    <s v=""/>
    <s v="SPILL-CLEAN UP"/>
    <s v=""/>
    <s v=""/>
    <s v=""/>
    <s v=""/>
    <s v=""/>
    <s v=""/>
    <s v=""/>
    <s v=""/>
    <s v=""/>
    <s v=""/>
    <s v=""/>
    <s v=""/>
    <s v=""/>
    <s v=""/>
    <s v=""/>
    <s v=""/>
    <s v=""/>
    <n v="5"/>
    <s v="bbl"/>
    <s v=""/>
    <s v=""/>
    <s v=""/>
    <s v=""/>
    <s v="8000063000"/>
    <s v="TOMAHAWK BATTERY"/>
    <s v="Upstream"/>
    <s v="1046"/>
    <s v=""/>
    <s v=""/>
    <s v=""/>
    <s v=""/>
    <s v=""/>
    <s v=""/>
    <s v="Hours Worked"/>
    <n v="6.5"/>
    <s v="hour"/>
    <n v="88"/>
    <s v=""/>
    <n v="572"/>
    <s v="--multiple--"/>
    <s v="712959"/>
    <d v="2025-10-08T14:56:06"/>
    <s v=""/>
    <s v=""/>
    <s v=""/>
    <s v=""/>
  </r>
  <r>
    <s v="205578"/>
    <s v="Basin Trucking LLC"/>
    <x v="12"/>
    <s v="Rick Case"/>
    <s v="Christopher Cain"/>
    <s v="Drove to ACS and picked up parts then drove to location to add a 1/2 nipple and a T 1/2 ball on main flow on heater."/>
    <s v="5051049"/>
    <s v="Upstream"/>
    <s v="166404"/>
    <s v="USD"/>
    <n v="552.5"/>
    <s v="Direct Entry"/>
    <s v="1"/>
    <s v="3 Man Crew"/>
    <s v="3 Man Crew"/>
    <s v="Roustabout Crew"/>
    <d v="2025-10-04T08:47:00"/>
    <d v="2025-09-25T06:30:00"/>
    <d v="2025-09-25T10:45:00"/>
    <s v=""/>
    <s v="RILEY BATTERY"/>
    <s v=""/>
    <s v=""/>
    <s v=""/>
    <s v=""/>
    <s v=""/>
    <s v=""/>
    <s v=""/>
    <s v=""/>
    <s v=""/>
    <s v=""/>
    <s v=""/>
    <s v=""/>
    <s v=""/>
    <s v=""/>
    <s v=""/>
    <s v=""/>
    <s v=""/>
    <s v=""/>
    <s v=""/>
    <s v=""/>
    <s v=""/>
    <s v=""/>
    <s v="Labor"/>
    <s v=""/>
    <s v=""/>
    <s v=""/>
    <s v="8000062300"/>
    <s v="RILEY BATTERY"/>
    <s v="Upstream"/>
    <s v="1046"/>
    <s v=""/>
    <s v=""/>
    <s v=""/>
    <s v=""/>
    <s v=""/>
    <s v=""/>
    <s v=""/>
    <n v="4.25"/>
    <s v="HR"/>
    <n v="130"/>
    <s v=""/>
    <n v="552.5"/>
    <s v="--multiple--"/>
    <s v="703517"/>
    <d v="2025-10-04T08:48:29"/>
    <s v=""/>
    <s v=""/>
    <s v=""/>
    <s v=""/>
  </r>
  <r>
    <s v="205580"/>
    <s v="Basin Trucking LLC"/>
    <x v="12"/>
    <s v="Rick Case"/>
    <s v="Christopher Cain"/>
    <s v="Drove to location and did a walk around location to see what tanks where leaking to clean them."/>
    <s v="5051049"/>
    <s v="Upstream"/>
    <s v="166902"/>
    <s v="USD"/>
    <n v="325"/>
    <s v="Direct Entry"/>
    <s v="1"/>
    <s v="3 Man Crew"/>
    <s v="3 Man Crew"/>
    <s v="Roustabout Crew"/>
    <d v="2025-10-04T08:37:06"/>
    <d v="2025-09-25T13:30:00"/>
    <d v="2025-09-25T16:00:00"/>
    <s v=""/>
    <s v="ODOM 11 BATTERY"/>
    <s v=""/>
    <s v=""/>
    <s v=""/>
    <s v=""/>
    <s v=""/>
    <s v=""/>
    <s v=""/>
    <s v=""/>
    <s v=""/>
    <s v=""/>
    <s v=""/>
    <s v=""/>
    <s v=""/>
    <s v=""/>
    <s v=""/>
    <s v=""/>
    <s v=""/>
    <s v=""/>
    <s v=""/>
    <s v=""/>
    <s v=""/>
    <s v=""/>
    <s v="Labor"/>
    <s v=""/>
    <s v=""/>
    <s v=""/>
    <s v="8000082500"/>
    <s v="ODOM 11 BATTERY"/>
    <s v="Upstream"/>
    <s v="1046"/>
    <s v=""/>
    <s v=""/>
    <s v=""/>
    <s v=""/>
    <s v=""/>
    <s v=""/>
    <s v=""/>
    <n v="2.5"/>
    <s v="HR"/>
    <n v="130"/>
    <s v=""/>
    <n v="325"/>
    <s v="--multiple--"/>
    <s v="703517"/>
    <d v="2025-10-04T08:40:56"/>
    <s v=""/>
    <s v=""/>
    <s v=""/>
    <s v=""/>
  </r>
  <r>
    <s v="212066"/>
    <s v="Basin Trucking LLC"/>
    <x v="12"/>
    <s v="Rick Case"/>
    <s v="Christopher Cain"/>
    <s v="Drove to location and removed the manway cleaned out the water tank and use the air trailer to get in the tanks finished cleaning the tanks."/>
    <s v="5051049"/>
    <s v="Upstream"/>
    <s v="166902"/>
    <s v="USD"/>
    <n v="1470"/>
    <s v="Direct Entry"/>
    <s v="1"/>
    <s v="3 Man Crew"/>
    <s v="3 Man Crew"/>
    <s v="Roustabout Crew"/>
    <d v="2025-10-07T08:37:04"/>
    <d v="2025-09-26T06:15:00"/>
    <d v="2025-09-26T15:15:00"/>
    <s v=""/>
    <s v="Odom 11 Battery"/>
    <s v=""/>
    <s v=""/>
    <s v=""/>
    <s v=""/>
    <s v=""/>
    <s v=""/>
    <s v=""/>
    <s v=""/>
    <s v=""/>
    <s v=""/>
    <s v=""/>
    <s v=""/>
    <s v=""/>
    <s v=""/>
    <s v=""/>
    <s v=""/>
    <s v=""/>
    <s v=""/>
    <s v=""/>
    <s v=""/>
    <s v=""/>
    <s v=""/>
    <s v="Labor"/>
    <s v=""/>
    <s v=""/>
    <s v=""/>
    <s v="8000082500"/>
    <s v="ODOM 11 BATTERY"/>
    <s v="Upstream"/>
    <s v="1046"/>
    <s v=""/>
    <s v=""/>
    <s v=""/>
    <s v=""/>
    <s v=""/>
    <s v=""/>
    <s v=""/>
    <n v="9"/>
    <s v="HR"/>
    <n v="130"/>
    <s v=""/>
    <n v="1170"/>
    <s v="--multiple--"/>
    <s v="703517"/>
    <d v="2025-10-07T08:39:16"/>
    <s v=""/>
    <s v=""/>
    <s v=""/>
    <s v=""/>
  </r>
  <r>
    <s v="210776"/>
    <s v="Basin Trucking LLC"/>
    <x v="12"/>
    <s v="Rick Case"/>
    <s v="Christopher Cain"/>
    <s v="Drove to location monitored tank farm area for H2s and other hydrocarbons opened hatches to rent out three water tanks then opened mon ways one at a time and cleaned out all three tanks."/>
    <s v="5051049"/>
    <s v="Upstream"/>
    <s v="166902"/>
    <s v="USD"/>
    <n v="906.25"/>
    <s v="Direct Entry"/>
    <s v="1"/>
    <s v="Safety  Man"/>
    <s v="Safety  Man"/>
    <s v=""/>
    <d v="2025-10-09T07:36:51"/>
    <d v="2025-09-26T07:00:00"/>
    <d v="2025-09-26T15:45:00"/>
    <s v=""/>
    <s v="Odom 11 Battery"/>
    <s v=""/>
    <s v=""/>
    <s v=""/>
    <s v=""/>
    <s v=""/>
    <s v=""/>
    <s v=""/>
    <s v=""/>
    <s v=""/>
    <s v=""/>
    <s v=""/>
    <s v=""/>
    <s v=""/>
    <s v=""/>
    <s v=""/>
    <s v=""/>
    <s v=""/>
    <s v=""/>
    <s v=""/>
    <s v=""/>
    <s v=""/>
    <s v=""/>
    <s v="Labor"/>
    <s v=""/>
    <s v=""/>
    <s v=""/>
    <s v="8000082500"/>
    <s v="ODOM 11 BATTERY"/>
    <s v="Upstream"/>
    <s v="1046"/>
    <s v=""/>
    <s v=""/>
    <s v=""/>
    <s v=""/>
    <s v=""/>
    <s v=""/>
    <s v=""/>
    <n v="8.75"/>
    <s v="HR"/>
    <n v="75"/>
    <s v=""/>
    <n v="656.25"/>
    <s v="--multiple--"/>
    <s v="703517"/>
    <d v="2025-10-09T07:39:36"/>
    <s v=""/>
    <s v=""/>
    <s v=""/>
    <s v=""/>
  </r>
  <r>
    <s v="17734"/>
    <s v="Absolute Noise Control LLC"/>
    <x v="7"/>
    <s v="Brian Averette"/>
    <s v="Christopher Falcon"/>
    <s v="Hydro-vac"/>
    <s v="5051022"/>
    <s v="Upstream"/>
    <s v=""/>
    <s v="USD"/>
    <n v="2502.85"/>
    <s v="Direct Entry"/>
    <s v="1"/>
    <s v="PRODUCT"/>
    <s v="PRODUCT- Hydrovac back bill"/>
    <s v=""/>
    <d v="2025-10-10T15:53:26"/>
    <d v="2025-09-15T07:00:00"/>
    <d v="2025-09-15T08:00:00"/>
    <s v=""/>
    <s v=""/>
    <s v=""/>
    <s v=""/>
    <s v=""/>
    <s v=""/>
    <s v=""/>
    <s v=""/>
    <s v=""/>
    <s v=""/>
    <s v=""/>
    <s v=""/>
    <s v=""/>
    <s v=""/>
    <s v=""/>
    <s v=""/>
    <s v=""/>
    <s v=""/>
    <s v=""/>
    <s v=""/>
    <s v=""/>
    <s v=""/>
    <s v=""/>
    <s v=""/>
    <s v="Material"/>
    <s v=""/>
    <s v=""/>
    <s v=""/>
    <s v="8300200500"/>
    <s v="WILLIS 44-41 (1) BATTERY"/>
    <s v="Upstream"/>
    <s v="1046"/>
    <s v=""/>
    <s v=""/>
    <s v=""/>
    <s v=""/>
    <s v=""/>
    <s v=""/>
    <s v=""/>
    <n v="1"/>
    <s v="EA"/>
    <n v="2502.85"/>
    <s v=""/>
    <n v="2502.85"/>
    <s v="--multiple--"/>
    <s v="700896"/>
    <d v="2025-10-10T16:02:26"/>
    <s v=""/>
    <s v=""/>
    <s v=""/>
    <s v=""/>
  </r>
  <r>
    <s v="51119914"/>
    <s v="Lufkin US Acquisition Company LLC"/>
    <x v="3"/>
    <s v="Bud Wilson"/>
    <s v="Perry Jamison"/>
    <s v="PARTS"/>
    <s v="5051003"/>
    <s v="Upstream"/>
    <s v=""/>
    <s v="USD"/>
    <n v="369"/>
    <s v="Direct Entry"/>
    <s v="1"/>
    <s v="530.5010"/>
    <s v="LCD LWM"/>
    <s v="530.5010"/>
    <d v="2025-10-02T07:37:17"/>
    <d v="2025-10-01T00:00:00"/>
    <d v="2025-10-01T00:00:00"/>
    <s v=""/>
    <s v="MABEE 93 1"/>
    <s v=""/>
    <s v=""/>
    <s v=""/>
    <s v=""/>
    <s v=""/>
    <s v=""/>
    <s v=""/>
    <s v=""/>
    <s v=""/>
    <s v=""/>
    <s v=""/>
    <s v=""/>
    <s v=""/>
    <s v=""/>
    <s v=""/>
    <s v=""/>
    <s v=""/>
    <s v=""/>
    <s v=""/>
    <s v=""/>
    <s v=""/>
    <s v=""/>
    <s v="Material"/>
    <s v=""/>
    <s v=""/>
    <s v=""/>
    <s v="1001289400"/>
    <s v="MABEE 93 1"/>
    <s v="Upstream"/>
    <s v="1046"/>
    <s v=""/>
    <s v=""/>
    <s v=""/>
    <s v=""/>
    <s v=""/>
    <s v=""/>
    <s v=""/>
    <n v="1"/>
    <s v="EA"/>
    <n v="275"/>
    <s v=""/>
    <n v="275"/>
    <s v="--multiple--"/>
    <s v="706723"/>
    <d v="2025-10-02T07:37:45"/>
    <s v=""/>
    <s v=""/>
    <s v=""/>
    <s v=""/>
  </r>
  <r>
    <s v="MD2699499"/>
    <s v="Jet Specialty Inc"/>
    <x v="4"/>
    <s v="Callen Elliott"/>
    <s v="Britt Gunnels"/>
    <s v="LEASE: TETRIS SN1 -48 BTY; BUYER: CODY SULLIVAN; PO: WO - 159129"/>
    <s v="5051024"/>
    <s v="Upstream"/>
    <s v="159129"/>
    <s v="USD"/>
    <n v="11869.89"/>
    <s v="API"/>
    <s v="1"/>
    <s v="340139"/>
    <s v="1 2000# SEAL SS QUAD BALL VALVE"/>
    <s v="E&amp;M"/>
    <d v="2025-10-09T16:57:17"/>
    <d v="2025-09-17T00:00:00"/>
    <d v="2025-09-17T00:00:00"/>
    <s v=""/>
    <s v=""/>
    <s v=""/>
    <s v=""/>
    <s v=""/>
    <s v=""/>
    <s v=""/>
    <s v=""/>
    <s v=""/>
    <s v=""/>
    <s v=""/>
    <s v=""/>
    <s v=""/>
    <s v=""/>
    <s v=""/>
    <s v=""/>
    <s v=""/>
    <s v=""/>
    <s v=""/>
    <s v=""/>
    <s v=""/>
    <s v=""/>
    <s v=""/>
    <s v=""/>
    <s v="Material"/>
    <s v=""/>
    <s v=""/>
    <s v=""/>
    <s v="8000051900"/>
    <s v="TETRIS SN 1-48 BATTERY"/>
    <s v="Upstream"/>
    <s v="1046"/>
    <s v=""/>
    <s v=""/>
    <s v=""/>
    <s v=""/>
    <s v=""/>
    <s v=""/>
    <s v=""/>
    <n v="20"/>
    <s v="EA"/>
    <n v="71.459999999999994"/>
    <s v=""/>
    <n v="1429.2"/>
    <s v="--multiple--"/>
    <s v="708023"/>
    <d v="2025-10-10T07:10:53"/>
    <s v=""/>
    <s v=""/>
    <s v=""/>
    <s v=""/>
  </r>
  <r>
    <s v="211276"/>
    <s v="Basin Trucking LLC"/>
    <x v="12"/>
    <s v="Delfino Martinez"/>
    <s v="Christopher Falcon"/>
    <s v="Drove to the prefab to location bypass parts with filter to place it on the gas line thar feeds the torch the gas line to remove all residue."/>
    <s v="5051049"/>
    <s v="Upstream"/>
    <s v="162721"/>
    <s v="USD"/>
    <n v="487.5"/>
    <s v="Direct Entry"/>
    <s v="1"/>
    <s v="3 Man Crew"/>
    <s v="3 Man Crew"/>
    <s v="Roustabout Crew"/>
    <d v="2025-10-02T08:24:52"/>
    <d v="2025-09-22T15:00:00"/>
    <d v="2025-09-22T18:45:00"/>
    <s v=""/>
    <s v="WINDHAM C BATTERY"/>
    <s v=""/>
    <s v=""/>
    <s v=""/>
    <s v=""/>
    <s v=""/>
    <s v=""/>
    <s v=""/>
    <s v=""/>
    <s v=""/>
    <s v=""/>
    <s v=""/>
    <s v=""/>
    <s v=""/>
    <s v=""/>
    <s v=""/>
    <s v=""/>
    <s v=""/>
    <s v=""/>
    <s v=""/>
    <s v=""/>
    <s v=""/>
    <s v=""/>
    <s v="Labor"/>
    <s v=""/>
    <s v=""/>
    <s v=""/>
    <s v="8300167700"/>
    <s v="WINDHAM C BATTERY"/>
    <s v="Upstream"/>
    <s v="1046"/>
    <s v=""/>
    <s v=""/>
    <s v=""/>
    <s v=""/>
    <s v=""/>
    <s v=""/>
    <s v=""/>
    <n v="3.75"/>
    <s v="HR"/>
    <n v="130"/>
    <s v=""/>
    <n v="487.5"/>
    <s v="--multiple--"/>
    <s v="703517"/>
    <d v="2025-10-02T08:25:55"/>
    <s v=""/>
    <s v=""/>
    <s v=""/>
    <s v=""/>
  </r>
  <r>
    <s v="MD2699249"/>
    <s v="Jet Specialty Inc"/>
    <x v="4"/>
    <s v="Callen Elliott"/>
    <s v="Britt Gunnels"/>
    <s v="LEASE: TETRIS SN 1-48 BATTERY; BUYER: CORY SULLIVAN, JOSE OLIVAS; PO: WO# 159129"/>
    <s v="5051024"/>
    <s v="Upstream"/>
    <s v="159129"/>
    <s v="USD"/>
    <n v="572.62"/>
    <s v="API"/>
    <s v="1"/>
    <s v="310031"/>
    <s v="1 PT BTC RECTORSEAL TRU-BLU PIPE THRD #187-31431"/>
    <s v="E&amp;M"/>
    <d v="2025-10-09T16:40:35"/>
    <d v="2025-09-20T00:00:00"/>
    <d v="2025-09-20T00:00:00"/>
    <s v=""/>
    <s v=""/>
    <s v=""/>
    <s v=""/>
    <s v=""/>
    <s v=""/>
    <s v=""/>
    <s v=""/>
    <s v=""/>
    <s v=""/>
    <s v=""/>
    <s v=""/>
    <s v=""/>
    <s v=""/>
    <s v=""/>
    <s v=""/>
    <s v=""/>
    <s v=""/>
    <s v=""/>
    <s v=""/>
    <s v=""/>
    <s v=""/>
    <s v=""/>
    <s v=""/>
    <s v="Material"/>
    <s v=""/>
    <s v=""/>
    <s v=""/>
    <s v="8000051900"/>
    <s v="TETRIS SN 1-48 BATTERY"/>
    <s v="Upstream"/>
    <s v="1046"/>
    <s v=""/>
    <s v=""/>
    <s v=""/>
    <s v=""/>
    <s v=""/>
    <s v=""/>
    <s v=""/>
    <n v="2"/>
    <s v="EA"/>
    <n v="32.93"/>
    <s v=""/>
    <n v="65.86"/>
    <s v="--multiple--"/>
    <s v="708023"/>
    <d v="2025-10-10T07:45:13"/>
    <s v=""/>
    <s v=""/>
    <s v=""/>
    <s v=""/>
  </r>
  <r>
    <s v="396109"/>
    <s v="Tommy White Supply Company, Inc."/>
    <x v="10"/>
    <s v="Delfino Martinez"/>
    <s v="Christopher Falcon"/>
    <s v="ELLS - BALL VALVE - PIPE NIPPLES - HAMMER UNIONS - CHECK VALVE"/>
    <s v="5051049"/>
    <s v="Upstream"/>
    <s v="167507"/>
    <s v="USD"/>
    <n v="359.81"/>
    <s v="Direct Entry"/>
    <s v="1"/>
    <s v="PRODUCT"/>
    <s v="2&quot; PC 2000# F.S. 90 ELL"/>
    <s v=""/>
    <d v="2025-10-03T15:53:37"/>
    <d v="2025-09-29T00:00:00"/>
    <d v="2025-09-29T00:00:00"/>
    <s v=""/>
    <s v="PERRO ROJO 36 1 BATTERY"/>
    <s v=""/>
    <s v=""/>
    <s v=""/>
    <s v=""/>
    <s v=""/>
    <s v=""/>
    <s v=""/>
    <s v=""/>
    <s v=""/>
    <s v=""/>
    <s v=""/>
    <s v=""/>
    <s v=""/>
    <s v=""/>
    <s v=""/>
    <s v=""/>
    <s v=""/>
    <s v=""/>
    <s v=""/>
    <s v=""/>
    <s v=""/>
    <s v=""/>
    <s v="Material"/>
    <s v=""/>
    <s v=""/>
    <s v=""/>
    <s v="8300136600"/>
    <s v="PERRO ROJO 36 1 BATTERY"/>
    <s v="Upstream"/>
    <s v="1046"/>
    <s v=""/>
    <s v=""/>
    <s v=""/>
    <s v=""/>
    <s v=""/>
    <s v=""/>
    <s v=""/>
    <n v="1"/>
    <s v=""/>
    <n v="31.61"/>
    <s v=""/>
    <n v="31.61"/>
    <s v=""/>
    <s v="706526"/>
    <d v="2025-10-03T15:58:42"/>
    <s v=""/>
    <s v=""/>
    <s v=""/>
    <s v=""/>
  </r>
  <r>
    <s v="396110"/>
    <s v="Tommy White Supply Company, Inc."/>
    <x v="2"/>
    <s v="Delfino Martinez"/>
    <s v="Christopher Falcon"/>
    <s v="TEES - HAMMER UNIONS - PIPE NIPPLES"/>
    <s v="5051049"/>
    <s v="Upstream"/>
    <s v="167509"/>
    <s v="USD"/>
    <n v="442.28"/>
    <s v="Direct Entry"/>
    <s v="1"/>
    <s v="PRODUCT"/>
    <s v="2&quot; PC 2000# F.S. TEE"/>
    <s v=""/>
    <d v="2025-10-07T08:03:31"/>
    <d v="2025-09-29T00:00:00"/>
    <d v="2025-09-29T00:00:00"/>
    <s v=""/>
    <s v="ARMSTRONG 36 BATTERY"/>
    <s v=""/>
    <s v=""/>
    <s v=""/>
    <s v=""/>
    <s v=""/>
    <s v=""/>
    <s v=""/>
    <s v=""/>
    <s v=""/>
    <s v=""/>
    <s v=""/>
    <s v=""/>
    <s v=""/>
    <s v=""/>
    <s v=""/>
    <s v=""/>
    <s v=""/>
    <s v=""/>
    <s v=""/>
    <s v=""/>
    <s v=""/>
    <s v=""/>
    <s v="Material"/>
    <s v=""/>
    <s v=""/>
    <s v=""/>
    <s v="8300077900"/>
    <s v="ARMSTRONG 36 BATTERY"/>
    <s v="Upstream"/>
    <s v="1046"/>
    <s v=""/>
    <s v=""/>
    <s v=""/>
    <s v=""/>
    <s v=""/>
    <s v=""/>
    <s v=""/>
    <n v="2"/>
    <s v=""/>
    <n v="30.18"/>
    <s v=""/>
    <n v="60.36"/>
    <s v=""/>
    <s v="706526"/>
    <d v="2025-10-07T08:10:10"/>
    <s v=""/>
    <s v=""/>
    <s v=""/>
    <s v=""/>
  </r>
  <r>
    <s v="211109"/>
    <s v="Basin Trucking LLC"/>
    <x v="12"/>
    <s v="Delfino Martinez"/>
    <s v="Christopher Falcon"/>
    <s v="Drove to location and check the W.T.P was off and proceeded to change all 2&quot; connections of the raiser from the W.T.P tightened the hammer unions we made sure everything was correctly."/>
    <s v="5051049"/>
    <s v="Upstream"/>
    <s v="167507"/>
    <s v="USD"/>
    <n v="227.5"/>
    <s v="Direct Entry"/>
    <s v="1"/>
    <s v="3 Man Crew"/>
    <s v="3 Man Crew"/>
    <s v="Roustabout Crew"/>
    <d v="2025-10-07T08:09:32"/>
    <d v="2025-09-29T13:30:00"/>
    <d v="2025-09-29T15:15:00"/>
    <s v=""/>
    <s v="PERRO ROJO 36 1 BATTERY"/>
    <s v=""/>
    <s v=""/>
    <s v=""/>
    <s v=""/>
    <s v=""/>
    <s v=""/>
    <s v=""/>
    <s v=""/>
    <s v=""/>
    <s v=""/>
    <s v=""/>
    <s v=""/>
    <s v=""/>
    <s v=""/>
    <s v=""/>
    <s v=""/>
    <s v=""/>
    <s v=""/>
    <s v=""/>
    <s v=""/>
    <s v=""/>
    <s v=""/>
    <s v="Labor"/>
    <s v=""/>
    <s v=""/>
    <s v=""/>
    <s v="8300136600"/>
    <s v="PERRO ROJO 36 1 BATTERY"/>
    <s v="Upstream"/>
    <s v="1046"/>
    <s v=""/>
    <s v=""/>
    <s v=""/>
    <s v=""/>
    <s v=""/>
    <s v=""/>
    <s v=""/>
    <n v="1.75"/>
    <s v="HR"/>
    <n v="130"/>
    <s v=""/>
    <n v="227.5"/>
    <s v="--multiple--"/>
    <s v="703517"/>
    <d v="2025-10-07T08:10:32"/>
    <s v=""/>
    <s v=""/>
    <s v=""/>
    <s v=""/>
  </r>
  <r>
    <s v="78670"/>
    <s v="Pumping Unit Technologies, LLC"/>
    <x v="0"/>
    <s v="Jacob Rogers"/>
    <s v="Christopher Falcon"/>
    <s v="Hung on Head for RTP"/>
    <s v="5051035"/>
    <s v="Upstream"/>
    <s v="151779"/>
    <s v="USD"/>
    <n v="1417.5"/>
    <s v="Direct Entry"/>
    <s v="1"/>
    <s v=""/>
    <s v="Tandem/Crane with Operator and Pumping Unit Work"/>
    <s v=""/>
    <d v="2025-09-10T11:26:26"/>
    <d v="2025-08-25T07:30:00"/>
    <d v="2025-08-25T11:00:00"/>
    <s v=""/>
    <s v="Elaine 2"/>
    <s v=""/>
    <s v=""/>
    <s v=""/>
    <s v=""/>
    <s v=""/>
    <s v=""/>
    <s v=""/>
    <s v=""/>
    <s v=""/>
    <s v=""/>
    <s v=""/>
    <s v=""/>
    <s v=""/>
    <s v=""/>
    <s v=""/>
    <s v=""/>
    <s v=""/>
    <s v=""/>
    <s v=""/>
    <s v=""/>
    <s v=""/>
    <s v=""/>
    <s v="Labor"/>
    <s v=""/>
    <s v=""/>
    <s v=""/>
    <s v="1001388000"/>
    <s v="ELAINE 2"/>
    <s v="Upstream"/>
    <s v="1046"/>
    <s v=""/>
    <s v=""/>
    <s v=""/>
    <s v=""/>
    <s v=""/>
    <s v=""/>
    <s v=""/>
    <n v="3.5"/>
    <s v="HR"/>
    <n v="305"/>
    <s v=""/>
    <n v="1067.5"/>
    <s v="--multiple--"/>
    <s v="712963"/>
    <d v="2025-10-01T11:19:40"/>
    <s v=""/>
    <s v=""/>
    <s v="Missing GPS Data | Service Date/Time Issue"/>
    <s v=""/>
  </r>
  <r>
    <s v="9990156"/>
    <s v="Onit Energy Solutions"/>
    <x v="5"/>
    <s v="Brandon Thompson"/>
    <s v="Fabian Lujan"/>
    <s v="Rental"/>
    <s v="5051037"/>
    <s v="Upstream"/>
    <s v=""/>
    <s v="USD"/>
    <n v="2325"/>
    <s v="Direct Entry"/>
    <s v="1"/>
    <s v="OES-S3610-250"/>
    <s v="Trailer Mounted 3PHASE SEPARATOR 36”X10’ 250#"/>
    <s v=""/>
    <d v="2025-10-01T11:24:15"/>
    <d v="2025-09-16T01:00:00"/>
    <d v="2025-09-30T23:59:00"/>
    <s v=""/>
    <s v="Fasken Foundation Battery"/>
    <s v=""/>
    <s v=""/>
    <s v=""/>
    <s v=""/>
    <s v=""/>
    <s v=""/>
    <s v=""/>
    <s v=""/>
    <s v=""/>
    <s v=""/>
    <s v=""/>
    <s v=""/>
    <s v=""/>
    <s v=""/>
    <s v=""/>
    <s v=""/>
    <s v=""/>
    <s v=""/>
    <s v=""/>
    <s v=""/>
    <s v=""/>
    <s v=""/>
    <s v="Equipment"/>
    <s v=""/>
    <s v=""/>
    <s v=""/>
    <s v="8300180400"/>
    <s v="FASKEN 16-21 BATTERY"/>
    <s v="Upstream"/>
    <s v="1046"/>
    <s v=""/>
    <s v=""/>
    <s v=""/>
    <s v=""/>
    <s v=""/>
    <s v=""/>
    <s v=""/>
    <n v="15"/>
    <s v="Day"/>
    <n v="155"/>
    <s v=""/>
    <n v="2325"/>
    <s v="Pricebook"/>
    <s v="712949"/>
    <d v="2025-10-01T11:26:16"/>
    <s v=""/>
    <s v=""/>
    <s v=""/>
    <s v=""/>
  </r>
  <r>
    <s v="51505"/>
    <s v="Basin Trucking LLC"/>
    <x v="12"/>
    <s v="Brandon Thompson"/>
    <s v="Fabian Lujan"/>
    <s v="Hauled 10bbls of p/w from Fasken 56 to Greenwood SWD"/>
    <s v="5051054"/>
    <s v="Upstream"/>
    <s v=""/>
    <s v="USD"/>
    <n v="132"/>
    <s v="Direct Entry"/>
    <s v="1"/>
    <s v="Vac Truck"/>
    <s v="Vac Truck"/>
    <s v=""/>
    <d v="2025-10-09T15:17:21"/>
    <d v="2025-09-16T09:30:00"/>
    <d v="2025-09-16T11:00:00"/>
    <d v="1899-12-30T01:30:00"/>
    <s v="Fasken 56"/>
    <s v=""/>
    <s v=""/>
    <s v="vacuum"/>
    <s v=""/>
    <s v=""/>
    <s v=""/>
    <s v=""/>
    <s v=""/>
    <s v=""/>
    <s v=""/>
    <s v=""/>
    <s v=""/>
    <s v=""/>
    <s v=""/>
    <s v=""/>
    <s v=""/>
    <s v=""/>
    <s v=""/>
    <s v=""/>
    <s v=""/>
    <n v="0"/>
    <s v="bbl"/>
    <s v=""/>
    <s v=""/>
    <s v=""/>
    <s v=""/>
    <s v="8300180700"/>
    <s v="FASKEN 56 BATTERY"/>
    <s v="Upstream"/>
    <s v="1046"/>
    <s v=""/>
    <s v=""/>
    <s v=""/>
    <s v=""/>
    <s v=""/>
    <s v=""/>
    <s v="Other"/>
    <n v="1.5"/>
    <s v="HR"/>
    <n v="88"/>
    <s v=""/>
    <n v="132"/>
    <s v="--multiple--"/>
    <s v="703517"/>
    <d v="2025-10-14T05:07:23"/>
    <s v=""/>
    <s v=""/>
    <s v="Validation Overlapping Hours"/>
    <s v=""/>
  </r>
  <r>
    <s v="21870"/>
    <s v="Belloc Energy Services &amp; Transport,LLC"/>
    <x v="12"/>
    <s v="Brandon Thompson"/>
    <s v="Fabian Lujan"/>
    <s v="PULLED 110 BBLS OF PW FROM LOCATION"/>
    <s v="5051054"/>
    <s v="Upstream"/>
    <s v=""/>
    <s v="USD"/>
    <n v="279"/>
    <s v="Direct Entry"/>
    <s v="1"/>
    <s v="Vacuum Truck"/>
    <s v="Vacuum Truck"/>
    <s v=""/>
    <d v="2025-09-23T21:22:28"/>
    <d v="2025-09-18T14:00:00"/>
    <d v="2025-09-18T17:00:00"/>
    <d v="1899-12-30T03:00:00"/>
    <s v="BIRDWELL 01 BATTERY"/>
    <s v=""/>
    <s v=""/>
    <s v="Produced Water"/>
    <s v=""/>
    <s v=""/>
    <s v=""/>
    <s v=""/>
    <s v=""/>
    <s v=""/>
    <s v=""/>
    <s v=""/>
    <s v=""/>
    <s v=""/>
    <s v=""/>
    <s v=""/>
    <s v=""/>
    <s v=""/>
    <s v=""/>
    <s v=""/>
    <s v=""/>
    <n v="120"/>
    <s v="bbl"/>
    <s v=""/>
    <s v=""/>
    <s v=""/>
    <s v=""/>
    <s v="8000320300"/>
    <s v="BIRDWELL 01 BATTERY"/>
    <s v="Upstream"/>
    <s v="1046"/>
    <s v=""/>
    <s v=""/>
    <s v=""/>
    <s v=""/>
    <s v=""/>
    <s v=""/>
    <s v="Hours Worked"/>
    <n v="3"/>
    <s v="hour"/>
    <n v="93"/>
    <s v=""/>
    <n v="279"/>
    <s v="Pricebook"/>
    <s v="712945"/>
    <d v="2025-10-02T14:19:01"/>
    <s v=""/>
    <s v=""/>
    <s v=""/>
    <s v=""/>
  </r>
  <r>
    <s v="21863"/>
    <s v="Belloc Energy Services &amp; Transport,LLC"/>
    <x v="12"/>
    <s v="Brandon Thompson"/>
    <s v="Fabian Lujan"/>
    <s v="PULLED 110 BBLS OF PW FROM LOCATION"/>
    <s v="5051054"/>
    <s v="Upstream"/>
    <s v=""/>
    <s v="USD"/>
    <n v="139.5"/>
    <s v="Direct Entry"/>
    <s v="1"/>
    <s v="Vacuum Truck"/>
    <s v="Vacuum Truck"/>
    <s v=""/>
    <d v="2025-09-23T21:26:00"/>
    <d v="2025-09-18T17:00:00"/>
    <d v="2025-09-18T18:30:00"/>
    <d v="1899-12-30T01:30:00"/>
    <s v="HALE A BATTERY"/>
    <s v=""/>
    <s v=""/>
    <s v="Produced Water"/>
    <s v=""/>
    <s v=""/>
    <s v=""/>
    <s v=""/>
    <s v=""/>
    <s v=""/>
    <s v=""/>
    <s v=""/>
    <s v=""/>
    <s v=""/>
    <s v=""/>
    <s v=""/>
    <s v=""/>
    <s v=""/>
    <s v=""/>
    <s v=""/>
    <s v=""/>
    <n v="110"/>
    <s v="bbl"/>
    <s v=""/>
    <s v=""/>
    <s v=""/>
    <s v=""/>
    <s v="8000321800"/>
    <s v="HALE A BATTERY"/>
    <s v="Upstream"/>
    <s v="1046"/>
    <s v=""/>
    <s v=""/>
    <s v=""/>
    <s v=""/>
    <s v=""/>
    <s v=""/>
    <s v="Hours Worked"/>
    <n v="1.5"/>
    <s v="hour"/>
    <n v="93"/>
    <s v=""/>
    <n v="139.5"/>
    <s v="Pricebook"/>
    <s v="712945"/>
    <d v="2025-10-02T15:14:40"/>
    <s v=""/>
    <s v=""/>
    <s v=""/>
    <s v=""/>
  </r>
  <r>
    <s v="23802"/>
    <s v="Belloc Energy Services &amp; Transport,LLC"/>
    <x v="12"/>
    <s v="Brandon Thompson"/>
    <s v="Fabian Lujan"/>
    <s v="USED VAC TRUCK TO PASS THE OIL FROM ONE TANK TO ANOTHER TANK"/>
    <s v="5051057"/>
    <s v="Upstream"/>
    <s v=""/>
    <s v="USD"/>
    <n v="558"/>
    <s v="Direct Entry"/>
    <s v="1"/>
    <s v="Vacuum Truck"/>
    <s v="Vacuum Truck"/>
    <s v=""/>
    <d v="2025-09-26T10:42:20"/>
    <d v="2025-09-19T09:45:00"/>
    <d v="2025-09-19T15:45:00"/>
    <d v="1899-12-30T06:00:00"/>
    <s v="7904 JVP HILLGER D 23D BATTERY"/>
    <s v=""/>
    <s v=""/>
    <s v="Produced Water"/>
    <s v=""/>
    <s v=""/>
    <s v=""/>
    <s v=""/>
    <s v=""/>
    <s v=""/>
    <s v=""/>
    <s v=""/>
    <s v=""/>
    <s v=""/>
    <s v=""/>
    <s v=""/>
    <s v=""/>
    <s v=""/>
    <s v=""/>
    <s v=""/>
    <s v=""/>
    <n v="120"/>
    <s v="bbl"/>
    <s v=""/>
    <s v=""/>
    <s v=""/>
    <s v=""/>
    <s v="8000320100"/>
    <s v="7904 JVP HILLGER D 23D BATTERY"/>
    <s v="Upstream"/>
    <s v="1046"/>
    <s v=""/>
    <s v=""/>
    <s v=""/>
    <s v=""/>
    <s v=""/>
    <s v=""/>
    <s v="Hours Worked"/>
    <n v="6"/>
    <s v="hour"/>
    <n v="93"/>
    <s v=""/>
    <n v="558"/>
    <s v="Pricebook"/>
    <s v="712945"/>
    <d v="2025-10-02T15:43:08"/>
    <s v=""/>
    <s v=""/>
    <s v=""/>
    <s v=""/>
  </r>
  <r>
    <s v="18336"/>
    <s v="Belloc Energy Services &amp; Transport,LLC"/>
    <x v="12"/>
    <s v="Brandon Thompson"/>
    <s v="Fabian Lujan"/>
    <s v="PULLED 100 BBLS OF PW FROM LOCATION AND HAULED TO SWD"/>
    <s v="5051054"/>
    <s v="Upstream"/>
    <s v=""/>
    <s v="USD"/>
    <n v="139.5"/>
    <s v="Direct Entry"/>
    <s v="1"/>
    <s v="Vacuum Truck"/>
    <s v="Vacuum Truck"/>
    <s v=""/>
    <d v="2025-09-26T09:51:06"/>
    <d v="2025-09-19T15:45:00"/>
    <d v="2025-09-19T17:15:00"/>
    <d v="1899-12-30T01:30:00"/>
    <s v="BIRDWELL 01 BATTERY"/>
    <s v=""/>
    <s v=""/>
    <s v="Produced Water"/>
    <s v=""/>
    <s v=""/>
    <s v=""/>
    <s v=""/>
    <s v=""/>
    <s v=""/>
    <s v=""/>
    <s v=""/>
    <s v=""/>
    <s v=""/>
    <s v=""/>
    <s v=""/>
    <s v=""/>
    <s v=""/>
    <s v=""/>
    <s v=""/>
    <s v=""/>
    <n v="100"/>
    <s v="bbl"/>
    <s v=""/>
    <s v=""/>
    <s v=""/>
    <s v=""/>
    <s v="8000320300"/>
    <s v="BIRDWELL 01 BATTERY"/>
    <s v="Upstream"/>
    <s v="1046"/>
    <s v=""/>
    <s v=""/>
    <s v=""/>
    <s v=""/>
    <s v=""/>
    <s v=""/>
    <s v="Hours Worked"/>
    <n v="1.5"/>
    <s v="hour"/>
    <n v="93"/>
    <s v=""/>
    <n v="139.5"/>
    <s v="Pricebook"/>
    <s v="712945"/>
    <d v="2025-10-02T16:06:29"/>
    <s v=""/>
    <s v=""/>
    <s v=""/>
    <s v=""/>
  </r>
  <r>
    <s v="21872"/>
    <s v="Belloc Energy Services &amp; Transport,LLC"/>
    <x v="12"/>
    <s v="Brandon Thompson"/>
    <s v="Fabian Lujan"/>
    <s v="PULLED 80BBLS OF PW FROM LOCATION"/>
    <s v="5051054"/>
    <s v="Upstream"/>
    <s v=""/>
    <s v="USD"/>
    <n v="441.75"/>
    <s v="Direct Entry"/>
    <s v="1"/>
    <s v="Vacuum Truck"/>
    <s v="Vacuum Truck"/>
    <s v=""/>
    <d v="2025-09-28T20:04:23"/>
    <d v="2025-09-20T23:45:00"/>
    <d v="2025-09-21T04:30:00"/>
    <d v="1899-12-30T04:45:00"/>
    <s v="BIRDWELL 01 BATTERY"/>
    <s v=""/>
    <s v=""/>
    <s v="Produced Water"/>
    <s v=""/>
    <s v=""/>
    <s v=""/>
    <s v=""/>
    <s v=""/>
    <s v=""/>
    <s v=""/>
    <s v=""/>
    <s v=""/>
    <s v=""/>
    <s v=""/>
    <s v=""/>
    <s v=""/>
    <s v=""/>
    <s v=""/>
    <s v=""/>
    <s v=""/>
    <n v="120"/>
    <s v="bbl"/>
    <s v=""/>
    <s v=""/>
    <s v=""/>
    <s v=""/>
    <s v="8000320300"/>
    <s v="BIRDWELL 01 BATTERY"/>
    <s v="Upstream"/>
    <s v="1046"/>
    <s v=""/>
    <s v=""/>
    <s v=""/>
    <s v=""/>
    <s v=""/>
    <s v=""/>
    <s v="Hours Worked"/>
    <n v="4.75"/>
    <s v="hour"/>
    <n v="93"/>
    <s v=""/>
    <n v="441.75"/>
    <s v="Pricebook"/>
    <s v="712945"/>
    <d v="2025-10-02T16:28:48"/>
    <s v=""/>
    <s v=""/>
    <s v=""/>
    <s v=""/>
  </r>
  <r>
    <s v="21879"/>
    <s v="Belloc Energy Services &amp; Transport,LLC"/>
    <x v="12"/>
    <s v="Brandon Thompson"/>
    <s v="Fabian Lujan"/>
    <s v="PULLED 100BBLS OF PW FROM LOCATION"/>
    <s v="5051054"/>
    <s v="Upstream"/>
    <s v=""/>
    <s v="USD"/>
    <n v="302.25"/>
    <s v="Direct Entry"/>
    <s v="1"/>
    <s v="Vacuum Truck"/>
    <s v="Vacuum Truck"/>
    <s v=""/>
    <d v="2025-09-28T20:12:51"/>
    <d v="2025-09-21T04:30:00"/>
    <d v="2025-09-21T07:45:00"/>
    <d v="1899-12-30T03:15:00"/>
    <s v="DUNIGAN 12 BATTERY"/>
    <s v=""/>
    <s v=""/>
    <s v="Produced Water"/>
    <s v=""/>
    <s v=""/>
    <s v=""/>
    <s v=""/>
    <s v=""/>
    <s v=""/>
    <s v=""/>
    <s v=""/>
    <s v=""/>
    <s v=""/>
    <s v=""/>
    <s v=""/>
    <s v=""/>
    <s v=""/>
    <s v=""/>
    <s v=""/>
    <s v=""/>
    <n v="120"/>
    <s v="bbl"/>
    <s v=""/>
    <s v=""/>
    <s v=""/>
    <s v=""/>
    <s v="8000326200"/>
    <s v="DUNIGAN 12 BATTERY"/>
    <s v="Upstream"/>
    <s v="1046"/>
    <s v=""/>
    <s v=""/>
    <s v=""/>
    <s v=""/>
    <s v=""/>
    <s v=""/>
    <s v="Hours Worked"/>
    <n v="3.25"/>
    <s v="hour"/>
    <n v="93"/>
    <s v=""/>
    <n v="302.25"/>
    <s v="Pricebook"/>
    <s v="712945"/>
    <d v="2025-10-02T16:31:46"/>
    <s v=""/>
    <s v=""/>
    <s v=""/>
    <s v=""/>
  </r>
  <r>
    <s v="81251"/>
    <s v="DTM Trucking Inc."/>
    <x v="6"/>
    <s v="Brandon Thompson"/>
    <s v="Fabian Lujan"/>
    <s v="Haul 110bbls of produced water from location to 715"/>
    <s v="5051054"/>
    <s v="Upstream"/>
    <s v=""/>
    <s v="USD"/>
    <n v="251.75"/>
    <s v="Direct Entry"/>
    <s v="1"/>
    <s v="Vacuum Truck"/>
    <s v="Vacuum Truck"/>
    <s v=""/>
    <d v="2025-10-06T11:12:46"/>
    <d v="2025-10-05T15:15:00"/>
    <d v="2025-10-05T17:30:00"/>
    <d v="1899-12-30T02:15:00"/>
    <s v="Jet Battery"/>
    <s v="N/A"/>
    <s v="N/A"/>
    <s v="NA"/>
    <s v=""/>
    <s v=""/>
    <s v=""/>
    <s v=""/>
    <s v=""/>
    <s v=""/>
    <s v=""/>
    <s v=""/>
    <s v=""/>
    <s v=""/>
    <s v=""/>
    <s v=""/>
    <s v=""/>
    <s v=""/>
    <s v=""/>
    <s v=""/>
    <s v=""/>
    <n v="110"/>
    <s v="bbl"/>
    <s v=""/>
    <s v=""/>
    <s v=""/>
    <s v=""/>
    <s v="8000309600"/>
    <s v="JET BATTERY"/>
    <s v="Upstream"/>
    <s v="1046"/>
    <s v=""/>
    <s v=""/>
    <s v=""/>
    <s v=""/>
    <s v=""/>
    <s v=""/>
    <s v="Hours Worked"/>
    <n v="2.25"/>
    <s v="hour"/>
    <n v="85"/>
    <s v=""/>
    <n v="191.25"/>
    <s v="Pricebook"/>
    <s v="712980"/>
    <d v="2025-10-09T08:27:37"/>
    <s v=""/>
    <s v=""/>
    <s v=""/>
    <s v=""/>
  </r>
  <r>
    <s v="83188"/>
    <s v="DTM Trucking Inc."/>
    <x v="6"/>
    <s v="Brandon Thompson"/>
    <s v="Fabian Lujan"/>
    <s v="Haul 110bbls of produced water from location to Environmental Disposal Solution"/>
    <s v="5051054"/>
    <s v="Upstream"/>
    <s v=""/>
    <s v="USD"/>
    <n v="255"/>
    <s v="Direct Entry"/>
    <s v="1"/>
    <s v="Vacuum Truck"/>
    <s v="Vacuum Truck"/>
    <s v=""/>
    <d v="2025-10-06T11:27:37"/>
    <d v="2025-10-05T04:30:00"/>
    <d v="2025-10-05T07:30:00"/>
    <d v="1899-12-30T03:00:00"/>
    <s v="McClintic 19-9"/>
    <s v="N/A"/>
    <s v="N/A"/>
    <s v="NA"/>
    <s v=""/>
    <s v=""/>
    <s v=""/>
    <s v=""/>
    <s v=""/>
    <s v=""/>
    <s v=""/>
    <s v=""/>
    <s v=""/>
    <s v=""/>
    <s v=""/>
    <s v=""/>
    <s v=""/>
    <s v=""/>
    <s v=""/>
    <s v=""/>
    <s v=""/>
    <n v="110"/>
    <s v="bbl"/>
    <s v=""/>
    <s v=""/>
    <s v=""/>
    <s v=""/>
    <s v="8300189900"/>
    <s v="MCCLINTIC 19-9 BATTERY"/>
    <s v="Upstream"/>
    <s v="1046"/>
    <s v=""/>
    <s v=""/>
    <s v=""/>
    <s v=""/>
    <s v=""/>
    <s v=""/>
    <s v="Hours Worked"/>
    <n v="3"/>
    <s v="hour"/>
    <n v="85"/>
    <s v=""/>
    <n v="255"/>
    <s v="Pricebook"/>
    <s v="712980"/>
    <d v="2025-10-09T08:30:31"/>
    <s v=""/>
    <s v=""/>
    <s v=""/>
    <s v=""/>
  </r>
  <r>
    <s v="83058"/>
    <s v="DTM Trucking Inc."/>
    <x v="6"/>
    <s v="Brandon Thompson"/>
    <s v="Fabian Lujan"/>
    <s v="Haul 110bbls of p/w from location to Midland National Bank SWd"/>
    <s v="5051054"/>
    <s v="Upstream"/>
    <s v=""/>
    <s v="USD"/>
    <n v="148.75"/>
    <s v="Direct Entry"/>
    <s v="1"/>
    <s v="Vacuum Truck"/>
    <s v="Vacuum Truck"/>
    <s v=""/>
    <d v="2025-10-06T13:25:47"/>
    <d v="2025-10-05T10:00:00"/>
    <d v="2025-10-05T11:45:00"/>
    <d v="1899-12-30T01:45:00"/>
    <s v="O'Brien 44"/>
    <s v="NA"/>
    <s v="NA"/>
    <s v="NA"/>
    <s v=""/>
    <s v=""/>
    <s v=""/>
    <s v=""/>
    <s v=""/>
    <s v=""/>
    <s v=""/>
    <s v=""/>
    <s v=""/>
    <s v=""/>
    <s v=""/>
    <s v=""/>
    <s v=""/>
    <s v=""/>
    <s v=""/>
    <s v=""/>
    <s v=""/>
    <n v="0"/>
    <s v="bbl"/>
    <s v=""/>
    <s v=""/>
    <s v=""/>
    <s v=""/>
    <s v="8300131400"/>
    <s v="OBRIEN 44 1 BATTERY"/>
    <s v="Upstream"/>
    <s v="1046"/>
    <s v=""/>
    <s v=""/>
    <s v=""/>
    <s v=""/>
    <s v=""/>
    <s v=""/>
    <s v="Hours Worked"/>
    <n v="1.75"/>
    <s v="hour"/>
    <n v="85"/>
    <s v=""/>
    <n v="148.75"/>
    <s v="Pricebook"/>
    <s v="712980"/>
    <d v="2025-10-09T08:28:27"/>
    <s v=""/>
    <s v=""/>
    <s v=""/>
    <s v=""/>
  </r>
  <r>
    <s v="83068"/>
    <s v="DTM Trucking Inc."/>
    <x v="6"/>
    <s v="Brandon Thompson"/>
    <s v="Fabian Lujan"/>
    <s v="Haul 110bbls of p/w from location to Midland National Bank SWD"/>
    <s v="5051054"/>
    <s v="Upstream"/>
    <s v=""/>
    <s v="USD"/>
    <n v="170"/>
    <s v="Direct Entry"/>
    <s v="1"/>
    <s v="Vacuum Truck"/>
    <s v="Vacuum Truck"/>
    <s v=""/>
    <d v="2025-10-06T13:28:18"/>
    <d v="2025-10-05T13:15:00"/>
    <d v="2025-10-05T15:15:00"/>
    <d v="1899-12-30T02:00:00"/>
    <s v="Clearbee 29"/>
    <s v="NA"/>
    <s v="NA"/>
    <s v="NA"/>
    <s v=""/>
    <s v=""/>
    <s v=""/>
    <s v=""/>
    <s v=""/>
    <s v=""/>
    <s v=""/>
    <s v=""/>
    <s v=""/>
    <s v=""/>
    <s v=""/>
    <s v=""/>
    <s v=""/>
    <s v=""/>
    <s v=""/>
    <s v=""/>
    <s v=""/>
    <n v="0"/>
    <s v="bbl"/>
    <s v=""/>
    <s v=""/>
    <s v=""/>
    <s v=""/>
    <s v="8300089100"/>
    <s v="CLEARBEE 29 BATTERY"/>
    <s v="Upstream"/>
    <s v="1046"/>
    <s v=""/>
    <s v=""/>
    <s v=""/>
    <s v=""/>
    <s v=""/>
    <s v=""/>
    <s v="Hours Worked"/>
    <n v="2"/>
    <s v="hour"/>
    <n v="85"/>
    <s v=""/>
    <n v="170"/>
    <s v="Pricebook"/>
    <s v="712980"/>
    <d v="2025-10-09T08:29:56"/>
    <s v=""/>
    <s v=""/>
    <s v=""/>
    <s v=""/>
  </r>
  <r>
    <s v="52036"/>
    <s v="Basin Trucking LLC"/>
    <x v="12"/>
    <s v="Brandon Thompson"/>
    <s v="Fabian Lujan"/>
    <s v="Hauled 110 barrels of produce water from Buchanan 35 2 to Greenwood SWD."/>
    <s v="5051054"/>
    <s v="Upstream"/>
    <s v=""/>
    <s v="USD"/>
    <n v="176"/>
    <s v="Direct Entry"/>
    <s v="1"/>
    <s v="Vac Truck"/>
    <s v="Vac Truck"/>
    <s v=""/>
    <d v="2025-10-13T07:36:01"/>
    <d v="2025-10-05T09:15:00"/>
    <d v="2025-10-05T11:15:00"/>
    <d v="1899-12-30T02:00:00"/>
    <s v="BUCHANAN 35 2"/>
    <s v=""/>
    <s v=""/>
    <s v="vacuum"/>
    <s v=""/>
    <s v=""/>
    <s v=""/>
    <s v=""/>
    <s v=""/>
    <s v=""/>
    <s v=""/>
    <s v=""/>
    <s v=""/>
    <s v=""/>
    <s v=""/>
    <s v=""/>
    <s v=""/>
    <s v=""/>
    <s v=""/>
    <s v=""/>
    <s v=""/>
    <n v="0"/>
    <s v="bbl"/>
    <s v=""/>
    <s v=""/>
    <s v=""/>
    <s v=""/>
    <s v="8300177400"/>
    <s v="BUCHANAN 35 2 BATTERY"/>
    <s v="Upstream"/>
    <s v="1046"/>
    <s v=""/>
    <s v=""/>
    <s v=""/>
    <s v=""/>
    <s v=""/>
    <s v=""/>
    <s v="Hours Worked"/>
    <n v="2"/>
    <s v="hour"/>
    <n v="88"/>
    <s v=""/>
    <n v="176"/>
    <s v="--multiple--"/>
    <s v="703517"/>
    <d v="2025-10-13T07:41:47"/>
    <s v=""/>
    <s v=""/>
    <s v=""/>
    <s v=""/>
  </r>
  <r>
    <s v="52038"/>
    <s v="Basin Trucking LLC"/>
    <x v="9"/>
    <s v="Brandon Thompson"/>
    <s v="Fabian Lujan"/>
    <s v="Hauled 110 barrels of produce water from Buchanan D 235 to Greenwood SWD."/>
    <s v="5051054"/>
    <s v="Upstream"/>
    <s v=""/>
    <s v="USD"/>
    <n v="176"/>
    <s v="Direct Entry"/>
    <s v="1"/>
    <s v="Vac Truck"/>
    <s v="Vac Truck"/>
    <s v=""/>
    <d v="2025-10-11T11:15:16"/>
    <d v="2025-10-05T14:15:00"/>
    <d v="2025-10-05T16:15:00"/>
    <d v="1899-12-30T02:00:00"/>
    <s v="BUCHANAN D 235"/>
    <s v=""/>
    <s v=""/>
    <s v="vacuum"/>
    <s v=""/>
    <s v=""/>
    <s v=""/>
    <s v=""/>
    <s v=""/>
    <s v=""/>
    <s v=""/>
    <s v=""/>
    <s v=""/>
    <s v=""/>
    <s v=""/>
    <s v=""/>
    <s v=""/>
    <s v=""/>
    <s v=""/>
    <s v=""/>
    <s v=""/>
    <n v="0"/>
    <s v="bbl"/>
    <s v=""/>
    <s v=""/>
    <s v=""/>
    <s v=""/>
    <s v="8300177600"/>
    <s v="BUCHANAN D 235 BATTERY"/>
    <s v="Upstream"/>
    <s v="1046"/>
    <s v=""/>
    <s v=""/>
    <s v=""/>
    <s v=""/>
    <s v=""/>
    <s v=""/>
    <s v="Hours Worked"/>
    <n v="2"/>
    <s v="hour"/>
    <n v="88"/>
    <s v=""/>
    <n v="176"/>
    <s v="--multiple--"/>
    <s v="703517"/>
    <d v="2025-10-11T11:17:38"/>
    <s v=""/>
    <s v=""/>
    <s v=""/>
    <s v=""/>
  </r>
  <r>
    <s v="80319"/>
    <s v="DTM Trucking Inc."/>
    <x v="6"/>
    <s v="Brandon Thompson"/>
    <s v="Fabian Lujan"/>
    <s v="Haul 110bbls of p/w from location to Midland National Bank SWD"/>
    <s v="5051054"/>
    <s v="Upstream"/>
    <s v=""/>
    <s v="USD"/>
    <n v="191.25"/>
    <s v="Direct Entry"/>
    <s v="1"/>
    <s v="Vacuum Truck"/>
    <s v="Vacuum Truck"/>
    <s v=""/>
    <d v="2025-10-08T09:57:02"/>
    <d v="2025-10-06T06:45:00"/>
    <d v="2025-10-06T09:00:00"/>
    <d v="1899-12-30T02:15:00"/>
    <s v="Evans 33"/>
    <s v="NA"/>
    <s v="NA"/>
    <s v="NA"/>
    <s v=""/>
    <s v=""/>
    <s v=""/>
    <s v=""/>
    <s v=""/>
    <s v=""/>
    <s v=""/>
    <s v=""/>
    <s v=""/>
    <s v=""/>
    <s v=""/>
    <s v=""/>
    <s v=""/>
    <s v=""/>
    <s v=""/>
    <s v=""/>
    <s v=""/>
    <n v="0"/>
    <s v="bbl"/>
    <s v=""/>
    <s v=""/>
    <s v=""/>
    <s v=""/>
    <s v="8300180100"/>
    <s v="EVANS 33 BATTERY"/>
    <s v="Upstream"/>
    <s v="1046"/>
    <s v=""/>
    <s v=""/>
    <s v=""/>
    <s v=""/>
    <s v=""/>
    <s v=""/>
    <s v="Hours Worked"/>
    <n v="2.25"/>
    <s v="hour"/>
    <n v="85"/>
    <s v=""/>
    <n v="191.25"/>
    <s v="Pricebook"/>
    <s v="712980"/>
    <d v="2025-10-08T13:33:16"/>
    <s v=""/>
    <s v=""/>
    <s v=""/>
    <s v=""/>
  </r>
  <r>
    <s v="81254"/>
    <s v="DTM Trucking Inc."/>
    <x v="6"/>
    <s v="Brandon Thompson"/>
    <s v="Fabian Lujan"/>
    <s v="Haul 110bbls of p/w from location to Midland National Bank SWD"/>
    <s v="5051054"/>
    <s v="Upstream"/>
    <s v=""/>
    <s v="USD"/>
    <n v="170"/>
    <s v="Direct Entry"/>
    <s v="1"/>
    <s v="Vacuum Truck"/>
    <s v="Vacuum Truck"/>
    <s v=""/>
    <d v="2025-10-08T10:15:52"/>
    <d v="2025-10-06T13:45:00"/>
    <d v="2025-10-06T15:45:00"/>
    <d v="1899-12-30T02:00:00"/>
    <s v="O'Brien 44"/>
    <s v="NA"/>
    <s v="NA"/>
    <s v="NA"/>
    <s v=""/>
    <s v=""/>
    <s v=""/>
    <s v=""/>
    <s v=""/>
    <s v=""/>
    <s v=""/>
    <s v=""/>
    <s v=""/>
    <s v=""/>
    <s v=""/>
    <s v=""/>
    <s v=""/>
    <s v=""/>
    <s v=""/>
    <s v=""/>
    <s v=""/>
    <n v="0"/>
    <s v="bbl"/>
    <s v=""/>
    <s v=""/>
    <s v=""/>
    <s v=""/>
    <s v="8300131400"/>
    <s v="OBRIEN 44 1 BATTERY"/>
    <s v="Upstream"/>
    <s v="1046"/>
    <s v=""/>
    <s v=""/>
    <s v=""/>
    <s v=""/>
    <s v=""/>
    <s v=""/>
    <s v="Hours Worked"/>
    <n v="2"/>
    <s v="hour"/>
    <n v="85"/>
    <s v=""/>
    <n v="170"/>
    <s v="Pricebook"/>
    <s v="712980"/>
    <d v="2025-10-08T13:44:41"/>
    <s v=""/>
    <s v=""/>
    <s v=""/>
    <s v=""/>
  </r>
  <r>
    <s v="81255"/>
    <s v="DTM Trucking Inc."/>
    <x v="6"/>
    <s v="Brandon Thompson"/>
    <s v="Fabian Lujan"/>
    <s v="Haul 110bbls of p/w from location to Midland National Bank SWD"/>
    <s v="5051054"/>
    <s v="Upstream"/>
    <s v=""/>
    <s v="USD"/>
    <n v="170"/>
    <s v="Direct Entry"/>
    <s v="1"/>
    <s v="Vacuum Truck"/>
    <s v="Vacuum Truck"/>
    <s v=""/>
    <d v="2025-10-08T10:18:07"/>
    <d v="2025-10-06T15:45:00"/>
    <d v="2025-10-06T17:45:00"/>
    <d v="1899-12-30T02:00:00"/>
    <s v="Jet Battery"/>
    <s v="NA"/>
    <s v="NA"/>
    <s v="NA"/>
    <s v=""/>
    <s v=""/>
    <s v=""/>
    <s v=""/>
    <s v=""/>
    <s v=""/>
    <s v=""/>
    <s v=""/>
    <s v=""/>
    <s v=""/>
    <s v=""/>
    <s v=""/>
    <s v=""/>
    <s v=""/>
    <s v=""/>
    <s v=""/>
    <s v=""/>
    <n v="0"/>
    <s v="bbl"/>
    <s v=""/>
    <s v=""/>
    <s v=""/>
    <s v=""/>
    <s v="8000309600"/>
    <s v="JET BATTERY"/>
    <s v="Upstream"/>
    <s v="1046"/>
    <s v=""/>
    <s v=""/>
    <s v=""/>
    <s v=""/>
    <s v=""/>
    <s v=""/>
    <s v="Hours Worked"/>
    <n v="2"/>
    <s v="hour"/>
    <n v="85"/>
    <s v=""/>
    <n v="170"/>
    <s v="Pricebook"/>
    <s v="712980"/>
    <d v="2025-10-08T13:46:16"/>
    <s v=""/>
    <s v=""/>
    <s v=""/>
    <s v=""/>
  </r>
  <r>
    <s v="83194"/>
    <s v="DTM Trucking Inc."/>
    <x v="6"/>
    <s v="Brandon Thompson"/>
    <s v="Fabian Lujan"/>
    <s v="Haul 110bbls of p/w from location to Midland National Bank SWD"/>
    <s v="5051054"/>
    <s v="Upstream"/>
    <s v=""/>
    <s v="USD"/>
    <n v="255"/>
    <s v="Direct Entry"/>
    <s v="1"/>
    <s v="Vacuum Truck"/>
    <s v="Vacuum Truck"/>
    <s v=""/>
    <d v="2025-10-08T11:16:09"/>
    <d v="2025-10-06T04:45:00"/>
    <d v="2025-10-06T07:45:00"/>
    <d v="1899-12-30T03:00:00"/>
    <s v="McClintic 19-9"/>
    <s v="NA"/>
    <s v="NA"/>
    <s v="NA"/>
    <s v=""/>
    <s v=""/>
    <s v=""/>
    <s v=""/>
    <s v=""/>
    <s v=""/>
    <s v=""/>
    <s v=""/>
    <s v=""/>
    <s v=""/>
    <s v=""/>
    <s v=""/>
    <s v=""/>
    <s v=""/>
    <s v=""/>
    <s v=""/>
    <s v=""/>
    <n v="0"/>
    <s v="bbl"/>
    <s v=""/>
    <s v=""/>
    <s v=""/>
    <s v=""/>
    <s v="8300189900"/>
    <s v="MCCLINTIC 19-9 BATTERY"/>
    <s v="Upstream"/>
    <s v="1046"/>
    <s v=""/>
    <s v=""/>
    <s v=""/>
    <s v=""/>
    <s v=""/>
    <s v=""/>
    <s v="Hours Worked"/>
    <n v="3"/>
    <s v="hour"/>
    <n v="85"/>
    <s v=""/>
    <n v="255"/>
    <s v="Pricebook"/>
    <s v="712980"/>
    <d v="2025-10-08T13:51:52"/>
    <s v=""/>
    <s v=""/>
    <s v=""/>
    <s v=""/>
  </r>
  <r>
    <s v="62677"/>
    <s v="DTM Trucking Inc."/>
    <x v="6"/>
    <s v="Brandon Thompson"/>
    <s v="Fabian Lujan"/>
    <s v="Haul 220bbls of p/w from location to Midland National Bank SWD"/>
    <s v="5051054"/>
    <s v="Upstream"/>
    <s v=""/>
    <s v="USD"/>
    <n v="340"/>
    <s v="Direct Entry"/>
    <s v="1"/>
    <s v="Vacuum Truck"/>
    <s v="Vacuum Truck"/>
    <s v=""/>
    <d v="2025-10-08T11:32:41"/>
    <d v="2025-10-06T09:00:00"/>
    <d v="2025-10-06T13:00:00"/>
    <d v="1899-12-30T04:00:00"/>
    <s v="Clearbee 29"/>
    <s v="NA"/>
    <s v="NA"/>
    <s v="NA"/>
    <s v=""/>
    <s v=""/>
    <s v=""/>
    <s v=""/>
    <s v=""/>
    <s v=""/>
    <s v=""/>
    <s v=""/>
    <s v=""/>
    <s v=""/>
    <s v=""/>
    <s v=""/>
    <s v=""/>
    <s v=""/>
    <s v=""/>
    <s v=""/>
    <s v=""/>
    <n v="0"/>
    <s v="bbl"/>
    <s v=""/>
    <s v=""/>
    <s v=""/>
    <s v=""/>
    <s v="8300089100"/>
    <s v="CLEARBEE 29 BATTERY"/>
    <s v="Upstream"/>
    <s v="1046"/>
    <s v=""/>
    <s v=""/>
    <s v=""/>
    <s v=""/>
    <s v=""/>
    <s v=""/>
    <s v="Hours Worked"/>
    <n v="4"/>
    <s v="hour"/>
    <n v="85"/>
    <s v=""/>
    <n v="340"/>
    <s v="Pricebook"/>
    <s v="712980"/>
    <d v="2025-10-10T09:53:39"/>
    <s v=""/>
    <s v=""/>
    <s v=""/>
    <s v=""/>
  </r>
  <r>
    <s v="08-252261"/>
    <s v="Milestone Environmental Services, LLC"/>
    <x v="2"/>
    <s v="Jacob Rogers"/>
    <s v="Christopher Falcon"/>
    <s v="Disposal Ticket"/>
    <s v="5051013"/>
    <s v="Upstream"/>
    <s v=""/>
    <s v="USD"/>
    <n v="460"/>
    <s v="B2B"/>
    <s v="1"/>
    <s v="WB"/>
    <s v="Waterbase Mud / Pit Waste"/>
    <s v="MUDS"/>
    <d v="2025-09-30T06:44:53"/>
    <d v="2025-09-28T14:19:00"/>
    <d v="2025-09-28T15:19:00"/>
    <d v="1899-12-30T01:00:00"/>
    <s v="ARMSTRONG 36 BATTERY"/>
    <s v=""/>
    <s v=""/>
    <s v="WB"/>
    <s v=""/>
    <s v=""/>
    <s v=""/>
    <s v=""/>
    <n v="0"/>
    <s v=""/>
    <s v=""/>
    <s v=""/>
    <s v=""/>
    <s v=""/>
    <s v=""/>
    <s v=""/>
    <s v=""/>
    <s v=""/>
    <s v=""/>
    <s v=""/>
    <s v="Imperial"/>
    <n v="40"/>
    <s v="bbl"/>
    <s v=""/>
    <s v=""/>
    <s v=""/>
    <s v=""/>
    <s v="8300077900"/>
    <s v="ARMSTRONG 36 BATTERY"/>
    <s v="Upstream"/>
    <s v="1046"/>
    <s v=""/>
    <s v=""/>
    <s v=""/>
    <s v=""/>
    <s v=""/>
    <s v=""/>
    <s v="Other"/>
    <n v="40"/>
    <s v="BBL"/>
    <n v="6.5"/>
    <s v=""/>
    <n v="260"/>
    <s v="Pricebook"/>
    <s v="708539"/>
    <d v="2025-10-14T06:12:26"/>
    <s v=""/>
    <s v=""/>
    <s v="Altered or Handwritten"/>
    <s v=""/>
  </r>
  <r>
    <s v="MD2699578"/>
    <s v="Jet Specialty Inc"/>
    <x v="4"/>
    <s v="Callen Elliott"/>
    <s v="Britt Gunnels"/>
    <s v="LEASE: TETRIS SN 1-48 BATTERY; BUYER: CORY SULLIVAN/ MARIO CUELLAR; PO: WK# 159129"/>
    <s v="5051024"/>
    <s v="Upstream"/>
    <s v="159129"/>
    <s v="USD"/>
    <n v="74"/>
    <s v="API"/>
    <s v="1"/>
    <s v="409911"/>
    <s v="2&quot; U-BOLT W/ DELRIN ROD, BUNA PAD, NUTS &amp; WASHERS"/>
    <s v="E&amp;M"/>
    <d v="2025-10-09T16:41:22"/>
    <d v="2025-09-22T00:00:00"/>
    <d v="2025-09-22T00:00:00"/>
    <s v=""/>
    <s v=""/>
    <s v=""/>
    <s v=""/>
    <s v=""/>
    <s v=""/>
    <s v=""/>
    <s v=""/>
    <s v=""/>
    <s v=""/>
    <s v=""/>
    <s v=""/>
    <s v=""/>
    <s v=""/>
    <s v=""/>
    <s v=""/>
    <s v=""/>
    <s v=""/>
    <s v=""/>
    <s v=""/>
    <s v=""/>
    <s v=""/>
    <s v=""/>
    <s v=""/>
    <s v="Material"/>
    <s v=""/>
    <s v=""/>
    <s v=""/>
    <s v="8000051900"/>
    <s v="TETRIS SN 1-48 BATTERY"/>
    <s v="Upstream"/>
    <s v="1046"/>
    <s v=""/>
    <s v=""/>
    <s v=""/>
    <s v=""/>
    <s v=""/>
    <s v=""/>
    <s v=""/>
    <n v="10"/>
    <s v="EA"/>
    <n v="7.4"/>
    <s v=""/>
    <n v="74"/>
    <s v="--multiple--"/>
    <s v="708023"/>
    <d v="2025-10-10T07:49:00"/>
    <s v=""/>
    <s v=""/>
    <s v=""/>
    <s v=""/>
  </r>
  <r>
    <s v="52042"/>
    <s v="Basin Trucking LLC"/>
    <x v="9"/>
    <s v="Brandon Thompson"/>
    <s v="Fabian Lujan"/>
    <s v="Hauled 110 barrels of produce water from Buchanan D 235 to Greenwood SWD."/>
    <s v="5051054"/>
    <s v="Upstream"/>
    <s v=""/>
    <s v="USD"/>
    <n v="176"/>
    <s v="Direct Entry"/>
    <s v="1"/>
    <s v="Vac Truck"/>
    <s v="Vac Truck"/>
    <s v=""/>
    <d v="2025-10-11T10:14:47"/>
    <d v="2025-10-06T10:45:00"/>
    <d v="2025-10-06T12:45:00"/>
    <d v="1899-12-30T02:00:00"/>
    <s v="BUCHANA D 235"/>
    <s v=""/>
    <s v=""/>
    <s v="vacuum"/>
    <s v=""/>
    <s v=""/>
    <s v=""/>
    <s v=""/>
    <s v=""/>
    <s v=""/>
    <s v=""/>
    <s v=""/>
    <s v=""/>
    <s v=""/>
    <s v=""/>
    <s v=""/>
    <s v=""/>
    <s v=""/>
    <s v=""/>
    <s v=""/>
    <s v=""/>
    <n v="0"/>
    <s v="bbl"/>
    <s v=""/>
    <s v=""/>
    <s v=""/>
    <s v=""/>
    <s v="8300177600"/>
    <s v="BUCHANAN D 235 BATTERY"/>
    <s v="Upstream"/>
    <s v="1046"/>
    <s v=""/>
    <s v=""/>
    <s v=""/>
    <s v=""/>
    <s v=""/>
    <s v=""/>
    <s v="Hours Worked"/>
    <n v="2"/>
    <s v="hour"/>
    <n v="88"/>
    <s v=""/>
    <n v="176"/>
    <s v="--multiple--"/>
    <s v="703517"/>
    <d v="2025-10-11T10:16:21"/>
    <s v=""/>
    <s v=""/>
    <s v=""/>
    <s v=""/>
  </r>
  <r>
    <s v="52045"/>
    <s v="Basin Trucking LLC"/>
    <x v="9"/>
    <s v="Brandon Thompson"/>
    <s v="Fabian Lujan"/>
    <s v="Hauled 110 barrels of produce water from Fasken 56 to Greenwood SWD."/>
    <s v="5051054"/>
    <s v="Upstream"/>
    <s v=""/>
    <s v="USD"/>
    <n v="198"/>
    <s v="Direct Entry"/>
    <s v="1"/>
    <s v="Vac Truck"/>
    <s v="Vac Truck"/>
    <s v=""/>
    <d v="2025-10-11T10:17:05"/>
    <d v="2025-10-06T15:30:00"/>
    <d v="2025-10-06T17:45:00"/>
    <d v="1899-12-30T02:15:00"/>
    <s v="FASKEN 56"/>
    <s v=""/>
    <s v=""/>
    <s v="vacuum"/>
    <s v=""/>
    <s v=""/>
    <s v=""/>
    <s v=""/>
    <s v=""/>
    <s v=""/>
    <s v=""/>
    <s v=""/>
    <s v=""/>
    <s v=""/>
    <s v=""/>
    <s v=""/>
    <s v=""/>
    <s v=""/>
    <s v=""/>
    <s v=""/>
    <s v=""/>
    <n v="0"/>
    <s v="bbl"/>
    <s v=""/>
    <s v=""/>
    <s v=""/>
    <s v=""/>
    <s v="8300180700"/>
    <s v="FASKEN 56 BATTERY"/>
    <s v="Upstream"/>
    <s v="1046"/>
    <s v=""/>
    <s v=""/>
    <s v=""/>
    <s v=""/>
    <s v=""/>
    <s v=""/>
    <s v="Hours Worked"/>
    <n v="2.25"/>
    <s v="hour"/>
    <n v="88"/>
    <s v=""/>
    <n v="198"/>
    <s v="--multiple--"/>
    <s v="703517"/>
    <d v="2025-10-11T10:18:39"/>
    <s v=""/>
    <s v=""/>
    <s v=""/>
    <s v=""/>
  </r>
  <r>
    <s v="62697"/>
    <s v="DTM Trucking Inc."/>
    <x v="6"/>
    <s v="Brandon Thompson"/>
    <s v="Fabian Lujan"/>
    <s v="Haul 220bbls of p/w from location to Midland National Bank SWD"/>
    <s v="5051054"/>
    <s v="Upstream"/>
    <s v=""/>
    <s v="USD"/>
    <n v="276.25"/>
    <s v="Direct Entry"/>
    <s v="1"/>
    <s v="Vacuum Truck"/>
    <s v="Vacuum Truck"/>
    <s v=""/>
    <d v="2025-10-08T09:39:17"/>
    <d v="2025-10-07T09:00:00"/>
    <d v="2025-10-07T12:15:00"/>
    <d v="1899-12-30T03:15:00"/>
    <s v="Harvard 46"/>
    <s v="NA"/>
    <s v="NA"/>
    <s v="NA"/>
    <s v=""/>
    <s v=""/>
    <s v=""/>
    <s v=""/>
    <s v=""/>
    <s v=""/>
    <s v=""/>
    <s v=""/>
    <s v=""/>
    <s v=""/>
    <s v=""/>
    <s v=""/>
    <s v=""/>
    <s v=""/>
    <s v=""/>
    <s v=""/>
    <s v=""/>
    <n v="0"/>
    <s v="bbl"/>
    <s v=""/>
    <s v=""/>
    <s v=""/>
    <s v=""/>
    <s v="8300184600"/>
    <s v="HARVARD 46 BATTERY"/>
    <s v="Upstream"/>
    <s v="1046"/>
    <s v=""/>
    <s v=""/>
    <s v=""/>
    <s v=""/>
    <s v=""/>
    <s v=""/>
    <s v="Hours Worked"/>
    <n v="3.25"/>
    <s v="hour"/>
    <n v="85"/>
    <s v=""/>
    <n v="276.25"/>
    <s v="Pricebook"/>
    <s v="712980"/>
    <d v="2025-10-10T09:58:11"/>
    <s v=""/>
    <s v=""/>
    <s v=""/>
    <s v=""/>
  </r>
  <r>
    <s v="83200"/>
    <s v="DTM Trucking Inc."/>
    <x v="6"/>
    <s v="Brandon Thompson"/>
    <s v="Fabian Lujan"/>
    <s v="Haul 110bbls of p/w from location to Midland National Bank SWD"/>
    <s v="5051054"/>
    <s v="Upstream"/>
    <s v=""/>
    <s v="USD"/>
    <n v="255"/>
    <s v="Direct Entry"/>
    <s v="1"/>
    <s v="Vacuum Truck"/>
    <s v="Vacuum Truck"/>
    <s v=""/>
    <d v="2025-10-08T10:55:23"/>
    <d v="2025-10-07T10:30:00"/>
    <d v="2025-10-07T13:30:00"/>
    <d v="1899-12-30T03:00:00"/>
    <s v="McClintic 19-9"/>
    <s v="NA"/>
    <s v="NA"/>
    <s v="NA"/>
    <s v=""/>
    <s v=""/>
    <s v=""/>
    <s v=""/>
    <s v=""/>
    <s v=""/>
    <s v=""/>
    <s v=""/>
    <s v=""/>
    <s v=""/>
    <s v=""/>
    <s v=""/>
    <s v=""/>
    <s v=""/>
    <s v=""/>
    <s v=""/>
    <s v=""/>
    <n v="0"/>
    <s v="bbl"/>
    <s v=""/>
    <s v=""/>
    <s v=""/>
    <s v=""/>
    <s v="8300189900"/>
    <s v="MCCLINTIC 19-9 BATTERY"/>
    <s v="Upstream"/>
    <s v="1046"/>
    <s v=""/>
    <s v=""/>
    <s v=""/>
    <s v=""/>
    <s v=""/>
    <s v=""/>
    <s v="Hours Worked"/>
    <n v="3"/>
    <s v="hour"/>
    <n v="85"/>
    <s v=""/>
    <n v="255"/>
    <s v="Pricebook"/>
    <s v="712980"/>
    <d v="2025-10-08T14:30:10"/>
    <s v=""/>
    <s v=""/>
    <s v=""/>
    <s v=""/>
  </r>
  <r>
    <s v="82951"/>
    <s v="DTM Trucking Inc."/>
    <x v="6"/>
    <s v="Brandon Thompson"/>
    <s v="Fabian Lujan"/>
    <s v="Haul 110bbls of p/w from location to 715"/>
    <s v="5051054"/>
    <s v="Upstream"/>
    <s v=""/>
    <s v="USD"/>
    <n v="273"/>
    <s v="Direct Entry"/>
    <s v="1"/>
    <s v="Vacuum Truck"/>
    <s v="Vacuum Truck"/>
    <s v=""/>
    <d v="2025-10-08T11:48:20"/>
    <d v="2025-10-07T13:45:00"/>
    <d v="2025-10-07T16:15:00"/>
    <d v="1899-12-30T02:30:00"/>
    <s v="Keeter"/>
    <s v="NA"/>
    <s v="NA"/>
    <s v="NA"/>
    <s v=""/>
    <s v=""/>
    <s v=""/>
    <s v=""/>
    <s v=""/>
    <s v=""/>
    <s v=""/>
    <s v=""/>
    <s v=""/>
    <s v=""/>
    <s v=""/>
    <s v=""/>
    <s v=""/>
    <s v=""/>
    <s v=""/>
    <s v=""/>
    <s v=""/>
    <n v="0"/>
    <s v="bbl"/>
    <s v=""/>
    <s v=""/>
    <s v=""/>
    <s v=""/>
    <s v="8300115900"/>
    <s v="KEETER BATTERY"/>
    <s v="Upstream"/>
    <s v="1046"/>
    <s v=""/>
    <s v=""/>
    <s v=""/>
    <s v=""/>
    <s v=""/>
    <s v=""/>
    <s v="Hours Worked"/>
    <n v="2.5"/>
    <s v="hour"/>
    <n v="85"/>
    <s v=""/>
    <n v="212.5"/>
    <s v="Pricebook"/>
    <s v="712980"/>
    <d v="2025-10-08T14:26:33"/>
    <s v=""/>
    <s v=""/>
    <s v=""/>
    <s v=""/>
  </r>
  <r>
    <s v="83197"/>
    <s v="DTM Trucking Inc."/>
    <x v="6"/>
    <s v="Brandon Thompson"/>
    <s v="Fabian Lujan"/>
    <s v="Haul 110bbls of p/w from location to Midland National Bank SWD"/>
    <s v="5051054"/>
    <s v="Upstream"/>
    <s v=""/>
    <s v="USD"/>
    <n v="255"/>
    <s v="Direct Entry"/>
    <s v="1"/>
    <s v="Vacuum Truck"/>
    <s v="Vacuum Truck"/>
    <s v=""/>
    <d v="2025-10-08T11:51:11"/>
    <d v="2025-10-07T04:30:00"/>
    <d v="2025-10-07T07:30:00"/>
    <d v="1899-12-30T03:00:00"/>
    <s v="McClintic 19-9"/>
    <s v="NA"/>
    <s v="NA"/>
    <s v="NA"/>
    <s v=""/>
    <s v=""/>
    <s v=""/>
    <s v=""/>
    <s v=""/>
    <s v=""/>
    <s v=""/>
    <s v=""/>
    <s v=""/>
    <s v=""/>
    <s v=""/>
    <s v=""/>
    <s v=""/>
    <s v=""/>
    <s v=""/>
    <s v=""/>
    <s v=""/>
    <n v="0"/>
    <s v="bbl"/>
    <s v=""/>
    <s v=""/>
    <s v=""/>
    <s v=""/>
    <s v="8300189900"/>
    <s v="MCCLINTIC 19-9 BATTERY"/>
    <s v="Upstream"/>
    <s v="1046"/>
    <s v=""/>
    <s v=""/>
    <s v=""/>
    <s v=""/>
    <s v=""/>
    <s v=""/>
    <s v="Hours Worked"/>
    <n v="3"/>
    <s v="hour"/>
    <n v="85"/>
    <s v=""/>
    <n v="255"/>
    <s v="Pricebook"/>
    <s v="712980"/>
    <d v="2025-10-08T14:28:22"/>
    <s v=""/>
    <s v=""/>
    <s v=""/>
    <s v=""/>
  </r>
  <r>
    <s v="R-5292"/>
    <s v="ACH Services, LLC"/>
    <x v="12"/>
    <s v="Jacob Rogers"/>
    <s v="Christopher Falcon"/>
    <s v="Drove to location to plug off line to vacuum wasted oil."/>
    <s v="5051027"/>
    <s v="Upstream"/>
    <s v="166872"/>
    <s v="USD"/>
    <n v="2537.5"/>
    <s v="Direct Entry"/>
    <s v="1"/>
    <s v="Roustabout - 3-Man"/>
    <s v="Roustabout - 3-Man"/>
    <s v=""/>
    <d v="2025-10-02T12:06:43"/>
    <d v="2025-10-01T06:30:00"/>
    <d v="2025-10-01T17:45:00"/>
    <s v=""/>
    <s v="TP LAND TRUST BATTERY"/>
    <s v=""/>
    <s v=""/>
    <s v=""/>
    <s v=""/>
    <s v=""/>
    <s v=""/>
    <s v=""/>
    <s v=""/>
    <s v=""/>
    <s v=""/>
    <s v=""/>
    <s v=""/>
    <s v=""/>
    <s v=""/>
    <s v=""/>
    <s v=""/>
    <s v=""/>
    <s v=""/>
    <s v=""/>
    <s v=""/>
    <s v=""/>
    <s v=""/>
    <s v="Labor"/>
    <s v=""/>
    <s v=""/>
    <s v=""/>
    <s v="8300160500"/>
    <s v="TP LAND TRUST BATTERY"/>
    <s v="Upstream"/>
    <s v="1046"/>
    <s v=""/>
    <s v=""/>
    <s v=""/>
    <s v=""/>
    <s v=""/>
    <s v=""/>
    <s v=""/>
    <n v="11.25"/>
    <s v="HR"/>
    <n v="135"/>
    <s v=""/>
    <n v="1518.75"/>
    <s v="Pricebook"/>
    <s v="712932"/>
    <d v="2025-10-02T12:09:07"/>
    <s v=""/>
    <s v=""/>
    <s v=""/>
    <s v=""/>
  </r>
  <r>
    <s v="80436"/>
    <s v="DTM Trucking Inc."/>
    <x v="6"/>
    <s v="Brandon Thompson"/>
    <s v="Fabian Lujan"/>
    <s v="Haul 110bbls of p/w from location to Greenwood SWD"/>
    <s v="5051054"/>
    <s v="Upstream"/>
    <s v=""/>
    <s v="USD"/>
    <n v="148.75"/>
    <s v="Direct Entry"/>
    <s v="1"/>
    <s v="Vacuum Truck"/>
    <s v="Vacuum Truck"/>
    <s v=""/>
    <d v="2025-10-09T09:14:46"/>
    <d v="2025-10-08T16:30:00"/>
    <d v="2025-10-08T18:15:00"/>
    <d v="1899-12-30T01:45:00"/>
    <s v="McClintic 19-9"/>
    <s v="NA"/>
    <s v="NA"/>
    <s v="NA"/>
    <s v=""/>
    <s v=""/>
    <s v=""/>
    <s v=""/>
    <s v=""/>
    <s v=""/>
    <s v=""/>
    <s v=""/>
    <s v=""/>
    <s v=""/>
    <s v=""/>
    <s v=""/>
    <s v=""/>
    <s v=""/>
    <s v=""/>
    <s v=""/>
    <s v=""/>
    <n v="0"/>
    <s v="bbl"/>
    <s v=""/>
    <s v=""/>
    <s v=""/>
    <s v=""/>
    <s v="8300189900"/>
    <s v="MCCLINTIC 19-9 BATTERY"/>
    <s v="Upstream"/>
    <s v="1046"/>
    <s v=""/>
    <s v=""/>
    <s v=""/>
    <s v=""/>
    <s v=""/>
    <s v=""/>
    <s v="Hours Worked"/>
    <n v="1.75"/>
    <s v="hour"/>
    <n v="85"/>
    <s v=""/>
    <n v="148.75"/>
    <s v="Pricebook"/>
    <s v="712980"/>
    <d v="2025-10-10T12:51:54"/>
    <s v=""/>
    <s v=""/>
    <s v=""/>
    <s v=""/>
  </r>
  <r>
    <s v="81200"/>
    <s v="DTM Trucking Inc."/>
    <x v="6"/>
    <s v="Brandon Thompson"/>
    <s v="Fabian Lujan"/>
    <s v="Haul 110bbls of p/w from location to Glasscock SWD"/>
    <s v="5051054"/>
    <s v="Upstream"/>
    <s v=""/>
    <s v="USD"/>
    <n v="212.5"/>
    <s v="Direct Entry"/>
    <s v="1"/>
    <s v="Vacuum Truck"/>
    <s v="Vacuum Truck"/>
    <s v=""/>
    <d v="2025-10-09T09:18:34"/>
    <d v="2025-10-08T09:15:00"/>
    <d v="2025-10-08T11:45:00"/>
    <d v="1899-12-30T02:30:00"/>
    <s v="McClintic 19-9"/>
    <s v="NA"/>
    <s v="NA"/>
    <s v="NA"/>
    <s v=""/>
    <s v=""/>
    <s v=""/>
    <s v=""/>
    <s v=""/>
    <s v=""/>
    <s v=""/>
    <s v=""/>
    <s v=""/>
    <s v=""/>
    <s v=""/>
    <s v=""/>
    <s v=""/>
    <s v=""/>
    <s v=""/>
    <s v=""/>
    <s v=""/>
    <n v="0"/>
    <s v="bbl"/>
    <s v=""/>
    <s v=""/>
    <s v=""/>
    <s v=""/>
    <s v="8300189900"/>
    <s v="MCCLINTIC 19-9 BATTERY"/>
    <s v="Upstream"/>
    <s v="1046"/>
    <s v=""/>
    <s v=""/>
    <s v=""/>
    <s v=""/>
    <s v=""/>
    <s v=""/>
    <s v="Hours Worked"/>
    <n v="2.5"/>
    <s v="hour"/>
    <n v="85"/>
    <s v=""/>
    <n v="212.5"/>
    <s v="Pricebook"/>
    <s v="712980"/>
    <d v="2025-10-10T12:52:39"/>
    <s v=""/>
    <s v=""/>
    <s v=""/>
    <s v=""/>
  </r>
  <r>
    <s v="62727"/>
    <s v="DTM Trucking Inc."/>
    <x v="6"/>
    <s v="Brandon Thompson"/>
    <s v="Fabian Lujan"/>
    <s v="Haul 220bbls of p/w from location to Midland National Bank SWD"/>
    <s v="5051054"/>
    <s v="Upstream"/>
    <s v=""/>
    <s v="USD"/>
    <n v="467.5"/>
    <s v="Direct Entry"/>
    <s v="1"/>
    <s v="Vacuum Truck"/>
    <s v="Vacuum Truck"/>
    <s v=""/>
    <d v="2025-10-09T09:41:02"/>
    <d v="2025-10-08T09:45:00"/>
    <d v="2025-10-08T15:15:00"/>
    <d v="1899-12-30T05:30:00"/>
    <s v="RV Powell South"/>
    <s v="NA"/>
    <s v="NA"/>
    <s v="NA"/>
    <s v=""/>
    <s v=""/>
    <s v=""/>
    <s v=""/>
    <s v=""/>
    <s v=""/>
    <s v=""/>
    <s v=""/>
    <s v=""/>
    <s v=""/>
    <s v=""/>
    <s v=""/>
    <s v=""/>
    <s v=""/>
    <s v=""/>
    <s v=""/>
    <s v=""/>
    <n v="0"/>
    <s v="bbl"/>
    <s v=""/>
    <s v=""/>
    <s v=""/>
    <s v=""/>
    <s v="8300150100"/>
    <s v="RV POWELL SOUTH BATTERY"/>
    <s v="Upstream"/>
    <s v="1046"/>
    <s v=""/>
    <s v=""/>
    <s v=""/>
    <s v=""/>
    <s v=""/>
    <s v=""/>
    <s v="Hours Worked"/>
    <n v="5.5"/>
    <s v="hour"/>
    <n v="85"/>
    <s v=""/>
    <n v="467.5"/>
    <s v="Pricebook"/>
    <s v="712980"/>
    <d v="2025-10-10T12:57:33"/>
    <s v=""/>
    <s v=""/>
    <s v=""/>
    <s v=""/>
  </r>
  <r>
    <s v="62728"/>
    <s v="DTM Trucking Inc."/>
    <x v="6"/>
    <s v="Brandon Thompson"/>
    <s v="Fabian Lujan"/>
    <s v="Haul 220bbls of p/w from location to Midland National Bank SWD"/>
    <s v="5051054"/>
    <s v="Upstream"/>
    <s v=""/>
    <s v="USD"/>
    <n v="340"/>
    <s v="Direct Entry"/>
    <s v="1"/>
    <s v="Vacuum Truck"/>
    <s v="Vacuum Truck"/>
    <s v=""/>
    <d v="2025-10-09T09:44:36"/>
    <d v="2025-10-08T12:00:00"/>
    <d v="2025-10-08T16:00:00"/>
    <d v="1899-12-30T04:00:00"/>
    <s v="Clearbee 29"/>
    <s v="NA"/>
    <s v="NA"/>
    <s v="NA"/>
    <s v=""/>
    <s v=""/>
    <s v=""/>
    <s v=""/>
    <s v=""/>
    <s v=""/>
    <s v=""/>
    <s v=""/>
    <s v=""/>
    <s v=""/>
    <s v=""/>
    <s v=""/>
    <s v=""/>
    <s v=""/>
    <s v=""/>
    <s v=""/>
    <s v=""/>
    <n v="0"/>
    <s v="bbl"/>
    <s v=""/>
    <s v=""/>
    <s v=""/>
    <s v=""/>
    <s v="8300089100"/>
    <s v="CLEARBEE 29 BATTERY"/>
    <s v="Upstream"/>
    <s v="1046"/>
    <s v=""/>
    <s v=""/>
    <s v=""/>
    <s v=""/>
    <s v=""/>
    <s v=""/>
    <s v="Hours Worked"/>
    <n v="4"/>
    <s v="hour"/>
    <n v="85"/>
    <s v=""/>
    <n v="340"/>
    <s v="Pricebook"/>
    <s v="712980"/>
    <d v="2025-10-10T12:50:56"/>
    <s v=""/>
    <s v=""/>
    <s v=""/>
    <s v=""/>
  </r>
  <r>
    <s v="83202"/>
    <s v="DTM Trucking Inc."/>
    <x v="6"/>
    <s v="Brandon Thompson"/>
    <s v="Fabian Lujan"/>
    <s v="Haul 110bbls p/w from location to Midland National Bank SWD"/>
    <s v="5051054"/>
    <s v="Upstream"/>
    <s v=""/>
    <s v="USD"/>
    <n v="255"/>
    <s v="Direct Entry"/>
    <s v="1"/>
    <s v="Vacuum Truck"/>
    <s v="Vacuum Truck"/>
    <s v=""/>
    <d v="2025-10-10T10:26:25"/>
    <d v="2025-10-09T05:00:00"/>
    <d v="2025-10-09T08:00:00"/>
    <d v="1899-12-30T03:00:00"/>
    <s v="McClintic 19-9"/>
    <s v="NA"/>
    <s v="NA"/>
    <s v="NA"/>
    <s v=""/>
    <s v=""/>
    <s v=""/>
    <s v=""/>
    <s v=""/>
    <s v=""/>
    <s v=""/>
    <s v=""/>
    <s v=""/>
    <s v=""/>
    <s v=""/>
    <s v=""/>
    <s v=""/>
    <s v=""/>
    <s v=""/>
    <s v=""/>
    <s v=""/>
    <n v="0"/>
    <s v="bbl"/>
    <s v=""/>
    <s v=""/>
    <s v=""/>
    <s v=""/>
    <s v="8300189900"/>
    <s v="MCCLINTIC 19-9 BATTERY"/>
    <s v="Upstream"/>
    <s v="1046"/>
    <s v=""/>
    <s v=""/>
    <s v=""/>
    <s v=""/>
    <s v=""/>
    <s v=""/>
    <s v="Hours Worked"/>
    <n v="3"/>
    <s v="hour"/>
    <n v="85"/>
    <s v=""/>
    <n v="255"/>
    <s v="Pricebook"/>
    <s v="712980"/>
    <d v="2025-10-10T13:02:52"/>
    <s v=""/>
    <s v=""/>
    <s v=""/>
    <s v=""/>
  </r>
  <r>
    <s v="83208"/>
    <s v="DTM Trucking Inc."/>
    <x v="6"/>
    <s v="Brandon Thompson"/>
    <s v="Fabian Lujan"/>
    <s v="Haul 110bbls p/w from location to Midland National Bank SWD"/>
    <s v="5051054"/>
    <s v="Upstream"/>
    <s v=""/>
    <s v="USD"/>
    <n v="170"/>
    <s v="Direct Entry"/>
    <s v="1"/>
    <s v="Vacuum Truck"/>
    <s v="Vacuum Truck"/>
    <s v=""/>
    <d v="2025-10-10T10:30:40"/>
    <d v="2025-10-09T19:15:00"/>
    <d v="2025-10-09T21:15:00"/>
    <d v="1899-12-30T02:00:00"/>
    <s v="McClintic 19-9"/>
    <s v="NA"/>
    <s v="NA"/>
    <s v="NA"/>
    <s v=""/>
    <s v=""/>
    <s v=""/>
    <s v=""/>
    <s v=""/>
    <s v=""/>
    <s v=""/>
    <s v=""/>
    <s v=""/>
    <s v=""/>
    <s v=""/>
    <s v=""/>
    <s v=""/>
    <s v=""/>
    <s v=""/>
    <s v=""/>
    <s v=""/>
    <n v="0"/>
    <s v="bbl"/>
    <s v=""/>
    <s v=""/>
    <s v=""/>
    <s v=""/>
    <s v="8300189900"/>
    <s v="MCCLINTIC 19-9 BATTERY"/>
    <s v="Upstream"/>
    <s v="1046"/>
    <s v=""/>
    <s v=""/>
    <s v=""/>
    <s v=""/>
    <s v=""/>
    <s v=""/>
    <s v="Hours Worked"/>
    <n v="2"/>
    <s v="hour"/>
    <n v="85"/>
    <s v=""/>
    <n v="170"/>
    <s v="Pricebook"/>
    <s v="712980"/>
    <d v="2025-10-10T13:04:52"/>
    <s v=""/>
    <s v=""/>
    <s v=""/>
    <s v=""/>
  </r>
  <r>
    <s v="211909"/>
    <s v="Basin Trucking LLC"/>
    <x v="12"/>
    <s v="Joshua Pallanes"/>
    <s v="Christopher Falcon"/>
    <s v="Drove to location had a brief tailgate meeting finished connecting tester#2"/>
    <s v="5051049"/>
    <s v="Upstream"/>
    <s v="157580"/>
    <s v="USD"/>
    <n v="877.5"/>
    <s v="Direct Entry"/>
    <s v="1"/>
    <s v="3 Man Crew"/>
    <s v="3 Man Crew"/>
    <s v="Roustabout Crew"/>
    <d v="2025-10-06T06:11:43"/>
    <d v="2025-09-24T06:15:00"/>
    <d v="2025-09-24T13:00:00"/>
    <s v=""/>
    <s v="Peggy Battery"/>
    <s v=""/>
    <s v=""/>
    <s v=""/>
    <s v=""/>
    <s v=""/>
    <s v=""/>
    <s v=""/>
    <s v=""/>
    <s v=""/>
    <s v=""/>
    <s v=""/>
    <s v=""/>
    <s v=""/>
    <s v=""/>
    <s v=""/>
    <s v=""/>
    <s v=""/>
    <s v=""/>
    <s v=""/>
    <s v=""/>
    <s v=""/>
    <s v=""/>
    <s v="Labor"/>
    <s v=""/>
    <s v=""/>
    <s v=""/>
    <s v="8000310300"/>
    <s v="PEGGY EAST BATTERY"/>
    <s v="Upstream"/>
    <s v="1046"/>
    <s v=""/>
    <s v=""/>
    <s v=""/>
    <s v=""/>
    <s v=""/>
    <s v=""/>
    <s v=""/>
    <n v="6.75"/>
    <s v="HR"/>
    <n v="130"/>
    <s v=""/>
    <n v="877.5"/>
    <s v="--multiple--"/>
    <s v="703517"/>
    <d v="2025-10-06T06:57:14"/>
    <s v=""/>
    <s v=""/>
    <s v=""/>
    <s v=""/>
  </r>
  <r>
    <s v="211440"/>
    <s v="Basin Trucking LLC"/>
    <x v="12"/>
    <s v="Robert Heater"/>
    <s v="Christopher Falcon"/>
    <s v="Drove to location talked to client about the hob made out a part list."/>
    <s v="5051049"/>
    <s v="Upstream"/>
    <s v="162738"/>
    <s v="USD"/>
    <n v="112.5"/>
    <s v="Direct Entry"/>
    <s v="1"/>
    <s v="Supervisor"/>
    <s v="Supervisor"/>
    <s v="Roustabout Crew"/>
    <d v="2025-10-02T09:54:58"/>
    <d v="2025-09-22T11:45:00"/>
    <d v="2025-09-22T13:15:00"/>
    <s v=""/>
    <s v="TP LAN TRUST A"/>
    <s v=""/>
    <s v=""/>
    <s v=""/>
    <s v=""/>
    <s v=""/>
    <s v=""/>
    <s v=""/>
    <s v=""/>
    <s v=""/>
    <s v=""/>
    <s v=""/>
    <s v=""/>
    <s v=""/>
    <s v=""/>
    <s v=""/>
    <s v=""/>
    <s v=""/>
    <s v=""/>
    <s v=""/>
    <s v=""/>
    <s v=""/>
    <s v=""/>
    <s v="Labor"/>
    <s v=""/>
    <s v=""/>
    <s v=""/>
    <s v="8300160400"/>
    <s v="TP LAND TRUST A BATTERY"/>
    <s v="Upstream"/>
    <s v="1046"/>
    <s v=""/>
    <s v=""/>
    <s v=""/>
    <s v=""/>
    <s v=""/>
    <s v=""/>
    <s v=""/>
    <n v="1.5"/>
    <s v="HR"/>
    <n v="75"/>
    <s v=""/>
    <n v="112.5"/>
    <s v="--multiple--"/>
    <s v="703517"/>
    <d v="2025-10-02T09:56:02"/>
    <s v=""/>
    <s v=""/>
    <s v=""/>
    <s v=""/>
  </r>
  <r>
    <s v="395586"/>
    <s v="Tommy White Supply Company, Inc."/>
    <x v="0"/>
    <s v="Robert Heater"/>
    <s v="Christopher Falcon"/>
    <s v="SWAGE NIPPLE"/>
    <s v="5051049"/>
    <s v="Upstream"/>
    <s v="162738"/>
    <s v="USD"/>
    <n v="118.19"/>
    <s v="Direct Entry"/>
    <s v="1"/>
    <s v="PRODUCT"/>
    <s v="4&quot; X 1-1/2&quot; G X T SWAGE NIPPLE STD"/>
    <s v=""/>
    <d v="2025-09-30T11:49:46"/>
    <d v="2025-09-23T00:00:00"/>
    <d v="2025-09-23T00:00:00"/>
    <s v=""/>
    <s v="TP LAND TRUST A BATTERY"/>
    <s v=""/>
    <s v=""/>
    <s v=""/>
    <s v=""/>
    <s v=""/>
    <s v=""/>
    <s v=""/>
    <s v=""/>
    <s v=""/>
    <s v=""/>
    <s v=""/>
    <s v=""/>
    <s v=""/>
    <s v=""/>
    <s v=""/>
    <s v=""/>
    <s v=""/>
    <s v=""/>
    <s v=""/>
    <s v=""/>
    <s v=""/>
    <s v=""/>
    <s v="Material"/>
    <s v=""/>
    <s v=""/>
    <s v=""/>
    <s v="8300160400"/>
    <s v="TP LAND TRUST A BATTERY"/>
    <s v="Upstream"/>
    <s v="1046"/>
    <s v=""/>
    <s v=""/>
    <s v=""/>
    <s v=""/>
    <s v=""/>
    <s v=""/>
    <s v=""/>
    <n v="1"/>
    <s v="EA"/>
    <n v="118.19"/>
    <s v=""/>
    <n v="118.19"/>
    <s v=""/>
    <s v="706526"/>
    <d v="2025-09-30T11:53:14"/>
    <s v=""/>
    <s v=""/>
    <s v=""/>
    <s v=""/>
  </r>
  <r>
    <s v="212366"/>
    <s v="Basin Trucking LLC"/>
    <x v="12"/>
    <s v="Robert Heater"/>
    <s v="Christopher Falcon"/>
    <s v="Drove to different parts store to find parts connected 2&quot; poly with fuzzed and later picked meter run at Tommy White ad went back with crew all day."/>
    <s v="5051049"/>
    <s v="Upstream"/>
    <s v="162738"/>
    <s v="USD"/>
    <n v="1301.25"/>
    <s v="Direct Entry"/>
    <s v="1"/>
    <s v="Supervisor"/>
    <s v="Supervisor"/>
    <s v="Roustabout Crew"/>
    <d v="2025-10-08T14:49:18"/>
    <d v="2025-09-23T08:00:00"/>
    <d v="2025-09-23T19:45:00"/>
    <s v=""/>
    <s v="TP LAND TRUST A BATTERY"/>
    <s v=""/>
    <s v=""/>
    <s v=""/>
    <s v=""/>
    <s v=""/>
    <s v=""/>
    <s v=""/>
    <s v=""/>
    <s v=""/>
    <s v=""/>
    <s v=""/>
    <s v=""/>
    <s v=""/>
    <s v=""/>
    <s v=""/>
    <s v=""/>
    <s v=""/>
    <s v=""/>
    <s v=""/>
    <s v=""/>
    <s v=""/>
    <s v=""/>
    <s v="Equipment"/>
    <s v=""/>
    <s v=""/>
    <s v=""/>
    <s v="8300160400"/>
    <s v="TP LAND TRUST A BATTERY"/>
    <s v="Upstream"/>
    <s v="1046"/>
    <s v=""/>
    <s v=""/>
    <s v=""/>
    <s v=""/>
    <s v=""/>
    <s v=""/>
    <s v=""/>
    <n v="11.75"/>
    <s v="HR"/>
    <n v="75"/>
    <s v=""/>
    <n v="881.25"/>
    <s v="--multiple--"/>
    <s v="703517"/>
    <d v="2025-10-08T14:49:44"/>
    <s v=""/>
    <s v=""/>
    <s v=""/>
    <s v=""/>
  </r>
  <r>
    <s v="211278"/>
    <s v="Basin Trucking LLC"/>
    <x v="12"/>
    <s v="Robert Heater"/>
    <s v="Christopher Falcon"/>
    <s v="Drove to location and disconnected 2&quot; parts from the transfer pumps then fabricate and reinstall them on the transfer pumps that feed the water tank, attached four-inch poly to them helped build a ramp where we placed the poly, we waited for the pumps to turn on to check for leaks collected trash around."/>
    <s v="5051049"/>
    <s v="Upstream"/>
    <s v="162738"/>
    <s v="USD"/>
    <n v="1475"/>
    <s v="Direct Entry"/>
    <s v="1"/>
    <s v="3 Man Crew"/>
    <s v="3 Man Crew"/>
    <s v="Roustabout Crew"/>
    <d v="2025-10-02T14:49:09"/>
    <d v="2025-09-23T10:45:00"/>
    <d v="2025-09-23T19:45:00"/>
    <s v=""/>
    <s v="TP LAND TRUST A BATTERY"/>
    <s v=""/>
    <s v=""/>
    <s v=""/>
    <s v=""/>
    <s v=""/>
    <s v=""/>
    <s v=""/>
    <s v=""/>
    <s v=""/>
    <s v=""/>
    <s v=""/>
    <s v=""/>
    <s v=""/>
    <s v=""/>
    <s v=""/>
    <s v=""/>
    <s v=""/>
    <s v=""/>
    <s v=""/>
    <s v=""/>
    <s v=""/>
    <s v=""/>
    <s v="Labor"/>
    <s v=""/>
    <s v=""/>
    <s v=""/>
    <s v="8300160400"/>
    <s v="TP LAND TRUST A BATTERY"/>
    <s v="Upstream"/>
    <s v="1046"/>
    <s v=""/>
    <s v=""/>
    <s v=""/>
    <s v=""/>
    <s v=""/>
    <s v=""/>
    <s v=""/>
    <n v="9"/>
    <s v="HR"/>
    <n v="130"/>
    <s v=""/>
    <n v="1170"/>
    <s v="--multiple--"/>
    <s v="703517"/>
    <d v="2025-10-02T14:51:18"/>
    <s v=""/>
    <s v=""/>
    <s v=""/>
    <s v=""/>
  </r>
  <r>
    <s v="211514"/>
    <s v="Basin Trucking LLC"/>
    <x v="12"/>
    <s v="Robert Heater"/>
    <s v="Christopher Falcon"/>
    <s v="Delivered backhoe to work on battery."/>
    <s v="5051049"/>
    <s v="Upstream"/>
    <s v="162738"/>
    <s v="USD"/>
    <n v="300"/>
    <s v="Direct Entry"/>
    <s v="1"/>
    <s v="lowboy"/>
    <s v="Lowboy"/>
    <s v="freight"/>
    <d v="2025-10-02T13:13:49"/>
    <d v="2025-09-23T13:30:00"/>
    <d v="2025-09-23T15:30:00"/>
    <s v=""/>
    <s v="TP LAND TRUST A BATTERY"/>
    <s v=""/>
    <s v=""/>
    <s v=""/>
    <s v=""/>
    <s v=""/>
    <s v=""/>
    <s v=""/>
    <s v=""/>
    <s v=""/>
    <s v=""/>
    <s v=""/>
    <s v=""/>
    <s v=""/>
    <s v=""/>
    <s v=""/>
    <s v=""/>
    <s v=""/>
    <s v=""/>
    <s v=""/>
    <s v=""/>
    <s v=""/>
    <s v=""/>
    <s v="Equipment"/>
    <s v=""/>
    <s v=""/>
    <s v=""/>
    <s v="8300160400"/>
    <s v="TP LAND TRUST A BATTERY"/>
    <s v="Upstream"/>
    <s v="1046"/>
    <s v=""/>
    <s v=""/>
    <s v=""/>
    <s v=""/>
    <s v=""/>
    <s v=""/>
    <s v=""/>
    <n v="2"/>
    <s v="HR"/>
    <n v="150"/>
    <s v=""/>
    <n v="300"/>
    <s v="--multiple--"/>
    <s v="703517"/>
    <d v="2025-10-02T13:14:44"/>
    <s v=""/>
    <s v=""/>
    <s v=""/>
    <s v=""/>
  </r>
  <r>
    <s v="212368"/>
    <s v="Basin Trucking LLC"/>
    <x v="12"/>
    <s v="Robert Heater"/>
    <s v="Christopher Falcon"/>
    <s v="Working on the 4&quot; adjustable for the battery and install."/>
    <s v="5051049"/>
    <s v="Upstream"/>
    <s v="162738"/>
    <s v="USD"/>
    <n v="550"/>
    <s v="Direct Entry"/>
    <s v="1"/>
    <s v="Welder"/>
    <s v="Welder"/>
    <s v="Welding Services"/>
    <d v="2025-10-02T16:23:14"/>
    <d v="2025-09-23T14:00:00"/>
    <d v="2025-09-23T19:30:00"/>
    <s v=""/>
    <s v="TP LAND TRUST A BATTERY"/>
    <s v=""/>
    <s v=""/>
    <s v=""/>
    <s v=""/>
    <s v=""/>
    <s v=""/>
    <s v=""/>
    <s v=""/>
    <s v=""/>
    <s v=""/>
    <s v=""/>
    <s v=""/>
    <s v=""/>
    <s v=""/>
    <s v=""/>
    <s v=""/>
    <s v=""/>
    <s v=""/>
    <s v=""/>
    <s v=""/>
    <s v=""/>
    <s v=""/>
    <s v="Labor"/>
    <s v=""/>
    <s v=""/>
    <s v=""/>
    <s v="8300160400"/>
    <s v="TP LAND TRUST A BATTERY"/>
    <s v="Upstream"/>
    <s v="1046"/>
    <s v=""/>
    <s v=""/>
    <s v=""/>
    <s v=""/>
    <s v=""/>
    <s v=""/>
    <s v=""/>
    <n v="5.5"/>
    <s v="HR"/>
    <n v="100"/>
    <s v=""/>
    <n v="550"/>
    <s v="--multiple--"/>
    <s v="703517"/>
    <d v="2025-10-02T16:25:50"/>
    <s v=""/>
    <s v=""/>
    <s v=""/>
    <s v=""/>
  </r>
  <r>
    <s v="212005"/>
    <s v="Basin Trucking LLC"/>
    <x v="8"/>
    <s v="Robert Heater"/>
    <s v="Christopher Falcon"/>
    <s v="Drove to Jet Supply and picked up 4&quot; turbine meter then drove to location and assisted the crew to install the turbine meter."/>
    <s v="5051049"/>
    <s v="Upstream"/>
    <s v="162738"/>
    <s v="USD"/>
    <n v="112.5"/>
    <s v="Direct Entry"/>
    <s v="1"/>
    <s v="Supervisor"/>
    <s v="Supervisor"/>
    <s v="Roustabout Crew"/>
    <d v="2025-10-06T08:44:00"/>
    <d v="2025-09-24T18:30:00"/>
    <d v="2025-09-24T20:00:00"/>
    <s v=""/>
    <s v="TP Land Trust A"/>
    <s v=""/>
    <s v=""/>
    <s v=""/>
    <s v=""/>
    <s v=""/>
    <s v=""/>
    <s v=""/>
    <s v=""/>
    <s v=""/>
    <s v=""/>
    <s v=""/>
    <s v=""/>
    <s v=""/>
    <s v=""/>
    <s v=""/>
    <s v=""/>
    <s v=""/>
    <s v=""/>
    <s v=""/>
    <s v=""/>
    <s v=""/>
    <s v=""/>
    <s v="Labor"/>
    <s v=""/>
    <s v=""/>
    <s v=""/>
    <s v="8300160400"/>
    <s v="TP LAND TRUST A BATTERY"/>
    <s v="Upstream"/>
    <s v="1046"/>
    <s v=""/>
    <s v=""/>
    <s v=""/>
    <s v=""/>
    <s v=""/>
    <s v=""/>
    <s v=""/>
    <n v="1.5"/>
    <s v="HR"/>
    <n v="75"/>
    <s v=""/>
    <n v="112.5"/>
    <s v="--multiple--"/>
    <s v="703517"/>
    <d v="2025-10-06T08:52:14"/>
    <s v=""/>
    <s v=""/>
    <s v=""/>
    <s v=""/>
  </r>
  <r>
    <s v="660493"/>
    <s v="J&amp;R Roustabout, LLC"/>
    <x v="12"/>
    <s v="Callen Elliott"/>
    <s v="Britt Gunnels"/>
    <s v="DROVE TO ACS FOR CEMENT BASES, THEN DROVE TO LOCATION AND CONTINUED TO WORK ON CONNECTING COMPRESSOR. AT END OF DAY CLEAN UP WORK AREA AND HAULED OFF JUNK TO DESIGNATED AREA."/>
    <s v="5051024"/>
    <s v="Upstream"/>
    <s v="159129"/>
    <s v="USD"/>
    <n v="1320"/>
    <s v="Direct Entry"/>
    <s v="1"/>
    <s v="3 Man Roustabout Crew"/>
    <s v="3 Man Roustabout Crew"/>
    <s v=""/>
    <d v="2025-09-24T10:37:10"/>
    <d v="2025-09-23T07:00:00"/>
    <d v="2025-09-23T18:00:00"/>
    <s v=""/>
    <s v="TETRIS SN 1-48"/>
    <s v=""/>
    <s v=""/>
    <s v=""/>
    <s v=""/>
    <s v=""/>
    <s v=""/>
    <s v=""/>
    <s v=""/>
    <s v=""/>
    <s v=""/>
    <s v=""/>
    <s v=""/>
    <s v=""/>
    <s v=""/>
    <s v=""/>
    <s v=""/>
    <s v=""/>
    <s v=""/>
    <s v=""/>
    <s v=""/>
    <s v=""/>
    <s v=""/>
    <s v="Labor"/>
    <s v=""/>
    <s v=""/>
    <s v=""/>
    <s v="8000051900"/>
    <s v="TETRIS SN 1-48 BATTERY"/>
    <s v="Upstream"/>
    <s v="1046"/>
    <s v=""/>
    <s v=""/>
    <s v=""/>
    <s v=""/>
    <s v=""/>
    <s v=""/>
    <s v=""/>
    <n v="11"/>
    <s v="HR"/>
    <n v="120"/>
    <s v=""/>
    <n v="1320"/>
    <s v="Pricebook"/>
    <s v="712950"/>
    <d v="2025-10-02T09:47:11"/>
    <s v=""/>
    <s v=""/>
    <s v="Attachment Issue"/>
    <s v=""/>
  </r>
  <r>
    <s v="206815"/>
    <s v="Basin Trucking LLC"/>
    <x v="12"/>
    <s v="Robert Heater"/>
    <s v="Christopher Falcon"/>
    <s v="Suck water in the pipe"/>
    <s v="5051049"/>
    <s v="Upstream"/>
    <s v="162738"/>
    <s v="USD"/>
    <n v="499.5"/>
    <s v="Direct Entry"/>
    <s v="1"/>
    <s v="Vac Truck"/>
    <s v="Vac Truck"/>
    <s v=""/>
    <d v="2025-10-04T12:48:24"/>
    <d v="2025-09-25T13:30:00"/>
    <d v="2025-09-25T18:45:00"/>
    <d v="1899-12-30T05:15:00"/>
    <s v="TP LAND TRUST A BATTERY"/>
    <s v=""/>
    <s v=""/>
    <s v="vacuum"/>
    <s v=""/>
    <s v=""/>
    <s v=""/>
    <s v=""/>
    <s v=""/>
    <s v=""/>
    <s v=""/>
    <s v=""/>
    <s v=""/>
    <s v=""/>
    <s v=""/>
    <s v=""/>
    <s v=""/>
    <s v=""/>
    <s v=""/>
    <s v=""/>
    <s v=""/>
    <n v="0"/>
    <s v="Lbs"/>
    <s v=""/>
    <s v=""/>
    <s v=""/>
    <s v=""/>
    <s v="8300160400"/>
    <s v="TP LAND TRUST A BATTERY"/>
    <s v="Upstream"/>
    <s v="1046"/>
    <s v=""/>
    <s v=""/>
    <s v=""/>
    <s v=""/>
    <s v=""/>
    <s v=""/>
    <s v="Hours Worked"/>
    <n v="5.25"/>
    <s v="hour"/>
    <n v="88"/>
    <s v=""/>
    <n v="462"/>
    <s v="--multiple--"/>
    <s v="703517"/>
    <d v="2025-10-04T12:59:56"/>
    <s v=""/>
    <s v=""/>
    <s v=""/>
    <s v=""/>
  </r>
  <r>
    <s v="1002433"/>
    <s v="B-P Supply Inc"/>
    <x v="3"/>
    <s v="Art Bazan"/>
    <s v="Cody Clement"/>
    <s v="PARTS ORDERED BY ART BAZAN - NMB-ULC 24A"/>
    <s v="5051028"/>
    <s v="Upstream"/>
    <s v=""/>
    <s v="USD"/>
    <n v="49.36"/>
    <s v="B2B"/>
    <s v="1"/>
    <s v="0275-RAZORBACK-SQ-FG"/>
    <s v="RAZORBACK SQUARE SHOVEL W/ FG"/>
    <s v="Other"/>
    <d v="2025-10-07T15:14:19"/>
    <d v="2025-09-26T00:00:00"/>
    <d v="2025-09-26T00:00:00"/>
    <s v=""/>
    <s v=""/>
    <s v=""/>
    <s v=""/>
    <s v=""/>
    <s v=""/>
    <s v=""/>
    <s v=""/>
    <s v=""/>
    <s v=""/>
    <s v=""/>
    <s v=""/>
    <s v=""/>
    <s v=""/>
    <s v=""/>
    <s v=""/>
    <s v=""/>
    <s v=""/>
    <s v=""/>
    <s v=""/>
    <s v=""/>
    <s v=""/>
    <s v=""/>
    <s v=""/>
    <s v="Material"/>
    <s v=""/>
    <s v=""/>
    <s v=""/>
    <s v="9100014500"/>
    <s v="NMB-ULC 24A"/>
    <s v="Upstream"/>
    <s v="1046"/>
    <s v=""/>
    <s v=""/>
    <s v=""/>
    <s v=""/>
    <s v=""/>
    <s v=""/>
    <s v=""/>
    <n v="1"/>
    <s v="EA"/>
    <n v="49.36"/>
    <s v=""/>
    <n v="49.36"/>
    <s v="--multiple--"/>
    <s v="705219"/>
    <d v="2025-10-10T13:40:25"/>
    <s v=""/>
    <s v=""/>
    <s v=""/>
    <s v=""/>
  </r>
  <r>
    <s v="51119890"/>
    <s v="Lufkin US Acquisition Company LLC"/>
    <x v="3"/>
    <s v="Bud Wilson"/>
    <s v="Cody Clement"/>
    <s v="MATERIAL"/>
    <s v="5051035"/>
    <s v="Upstream"/>
    <s v=""/>
    <s v="USD"/>
    <n v="1053"/>
    <s v="Direct Entry"/>
    <s v="1"/>
    <s v="062.1001"/>
    <s v="Load Cell 50K"/>
    <s v=""/>
    <d v="2025-10-01T13:09:13"/>
    <d v="2025-08-13T08:00:00"/>
    <d v="2025-08-13T09:00:00"/>
    <s v=""/>
    <s v=""/>
    <s v=""/>
    <s v=""/>
    <s v=""/>
    <s v=""/>
    <s v=""/>
    <s v=""/>
    <s v=""/>
    <s v=""/>
    <s v=""/>
    <s v=""/>
    <s v=""/>
    <s v=""/>
    <s v=""/>
    <s v=""/>
    <s v=""/>
    <s v=""/>
    <s v=""/>
    <s v=""/>
    <s v=""/>
    <s v=""/>
    <s v=""/>
    <s v=""/>
    <s v="Material"/>
    <s v=""/>
    <s v=""/>
    <s v=""/>
    <s v="1000517900"/>
    <s v="VINEYARD HZ L UNIT 9703MS"/>
    <s v="Upstream"/>
    <s v="1046"/>
    <s v=""/>
    <s v=""/>
    <s v=""/>
    <s v=""/>
    <s v=""/>
    <s v=""/>
    <s v=""/>
    <n v="1"/>
    <s v="EA"/>
    <n v="595"/>
    <s v=""/>
    <n v="595"/>
    <s v="--multiple--"/>
    <s v="706723"/>
    <d v="2025-10-01T13:13:56"/>
    <s v=""/>
    <s v=""/>
    <s v=""/>
    <s v=""/>
  </r>
  <r>
    <s v="51119895"/>
    <s v="Lufkin US Acquisition Company LLC"/>
    <x v="3"/>
    <s v="Bud Wilson"/>
    <s v="Cody Clement"/>
    <s v="MATERIAL"/>
    <s v="5051035"/>
    <s v="Upstream"/>
    <s v=""/>
    <s v="USD"/>
    <n v="1053"/>
    <s v="Direct Entry"/>
    <s v="1"/>
    <s v="062.1001"/>
    <s v="Load Cell 50K"/>
    <s v=""/>
    <d v="2025-10-01T14:35:37"/>
    <d v="2025-08-13T08:00:00"/>
    <d v="2025-08-13T09:00:00"/>
    <s v=""/>
    <s v=""/>
    <s v=""/>
    <s v=""/>
    <s v=""/>
    <s v=""/>
    <s v=""/>
    <s v=""/>
    <s v=""/>
    <s v=""/>
    <s v=""/>
    <s v=""/>
    <s v=""/>
    <s v=""/>
    <s v=""/>
    <s v=""/>
    <s v=""/>
    <s v=""/>
    <s v=""/>
    <s v=""/>
    <s v=""/>
    <s v=""/>
    <s v=""/>
    <s v=""/>
    <s v="Material"/>
    <s v=""/>
    <s v=""/>
    <s v=""/>
    <s v="1000200300"/>
    <s v="VINEYARD HZ F 9802MS"/>
    <s v="Upstream"/>
    <s v="1046"/>
    <s v=""/>
    <s v=""/>
    <s v=""/>
    <s v=""/>
    <s v=""/>
    <s v=""/>
    <s v=""/>
    <n v="1"/>
    <s v="EA"/>
    <n v="595"/>
    <s v=""/>
    <n v="595"/>
    <s v="--multiple--"/>
    <s v="706723"/>
    <d v="2025-10-01T14:36:14"/>
    <s v=""/>
    <s v=""/>
    <s v=""/>
    <s v=""/>
  </r>
  <r>
    <s v="51119916"/>
    <s v="Lufkin US Acquisition Company LLC"/>
    <x v="3"/>
    <s v="Bud Wilson"/>
    <s v="Cody Clement"/>
    <s v="PARTS"/>
    <s v="5051035"/>
    <s v="Upstream"/>
    <s v=""/>
    <s v="USD"/>
    <n v="369"/>
    <s v="Direct Entry"/>
    <s v="1"/>
    <s v="530.5010"/>
    <s v="LCD LWM"/>
    <s v="530.5010"/>
    <d v="2025-10-02T07:14:39"/>
    <d v="2025-10-01T00:00:00"/>
    <d v="2025-10-01T00:00:00"/>
    <s v=""/>
    <s v="RIESLING 7"/>
    <s v=""/>
    <s v=""/>
    <s v=""/>
    <s v=""/>
    <s v=""/>
    <s v=""/>
    <s v=""/>
    <s v=""/>
    <s v=""/>
    <s v=""/>
    <s v=""/>
    <s v=""/>
    <s v=""/>
    <s v=""/>
    <s v=""/>
    <s v=""/>
    <s v=""/>
    <s v=""/>
    <s v=""/>
    <s v=""/>
    <s v=""/>
    <s v=""/>
    <s v="Material"/>
    <s v=""/>
    <s v=""/>
    <s v=""/>
    <s v="1000583500"/>
    <s v="RIESLING 7"/>
    <s v="Upstream"/>
    <s v="1046"/>
    <s v=""/>
    <s v=""/>
    <s v=""/>
    <s v=""/>
    <s v=""/>
    <s v=""/>
    <s v=""/>
    <n v="1"/>
    <s v="EA"/>
    <n v="275"/>
    <s v=""/>
    <n v="275"/>
    <s v="--multiple--"/>
    <s v="706723"/>
    <d v="2025-10-02T07:15:10"/>
    <s v=""/>
    <s v=""/>
    <s v=""/>
    <s v=""/>
  </r>
  <r>
    <s v="MD2698930"/>
    <s v="Jet Specialty Inc"/>
    <x v="4"/>
    <s v="Callen Elliott"/>
    <s v="Christopher Falcon"/>
    <s v="LEASE: CONCHO; BUYER: JONATHAN SALAZAR, ARTURO DOMINGUEZ; PO: WO# 159539"/>
    <s v="5051024"/>
    <s v="Upstream"/>
    <s v="159539"/>
    <s v="USD"/>
    <n v="1373.15"/>
    <s v="API"/>
    <s v="1"/>
    <s v="61645"/>
    <s v="1&quot; 3000# 316SS THREADED TEE"/>
    <s v="Fitting"/>
    <d v="2025-10-09T16:40:22"/>
    <d v="2025-09-17T00:00:00"/>
    <d v="2025-09-17T00:00:00"/>
    <s v=""/>
    <s v=""/>
    <s v=""/>
    <s v=""/>
    <s v=""/>
    <s v=""/>
    <s v=""/>
    <s v=""/>
    <s v=""/>
    <s v=""/>
    <s v=""/>
    <s v=""/>
    <s v=""/>
    <s v=""/>
    <s v=""/>
    <s v=""/>
    <s v=""/>
    <s v=""/>
    <s v=""/>
    <s v=""/>
    <s v=""/>
    <s v=""/>
    <s v=""/>
    <s v=""/>
    <s v="Material"/>
    <s v=""/>
    <s v=""/>
    <s v=""/>
    <s v="8300145600"/>
    <s v="RIO CONCHO 34-46 BATTERY"/>
    <s v="Upstream"/>
    <s v="1046"/>
    <s v=""/>
    <s v=""/>
    <s v=""/>
    <s v=""/>
    <s v=""/>
    <s v=""/>
    <s v=""/>
    <n v="2"/>
    <s v="EA"/>
    <n v="37.130000000000003"/>
    <s v=""/>
    <n v="74.260000000000005"/>
    <s v="--multiple--"/>
    <s v="708023"/>
    <d v="2025-10-10T07:16:27"/>
    <s v=""/>
    <s v=""/>
    <s v=""/>
    <s v=""/>
  </r>
  <r>
    <s v="207235"/>
    <s v="Basin Trucking LLC"/>
    <x v="4"/>
    <s v="Callen Elliott"/>
    <s v="Dalton Gray"/>
    <s v="Threaded pipe and ran screw pipe for compressor drain lines and skid drain. Installed pipe supports and U-bolts."/>
    <s v="5051024"/>
    <s v="Upstream"/>
    <s v="166282"/>
    <s v="USD"/>
    <n v="2626.25"/>
    <s v="Direct Entry"/>
    <s v="1"/>
    <s v="3 Man Crew"/>
    <s v="3 Man Crew"/>
    <s v="Roustabout Crew"/>
    <d v="2025-10-09T09:31:59"/>
    <d v="2025-10-03T06:00:00"/>
    <d v="2025-10-03T16:45:00"/>
    <s v=""/>
    <s v="HANSON BATTERY"/>
    <s v=""/>
    <s v=""/>
    <s v=""/>
    <s v=""/>
    <s v=""/>
    <s v=""/>
    <s v=""/>
    <s v=""/>
    <s v=""/>
    <s v=""/>
    <s v=""/>
    <s v=""/>
    <s v=""/>
    <s v=""/>
    <s v=""/>
    <s v=""/>
    <s v=""/>
    <s v=""/>
    <s v=""/>
    <s v=""/>
    <s v=""/>
    <s v=""/>
    <s v="Labor"/>
    <s v=""/>
    <s v=""/>
    <s v=""/>
    <s v="8300184300"/>
    <s v="HANSON BATTERY"/>
    <s v="Upstream"/>
    <s v="1046"/>
    <s v=""/>
    <s v=""/>
    <s v=""/>
    <s v=""/>
    <s v=""/>
    <s v=""/>
    <s v=""/>
    <n v="10.75"/>
    <s v="HR"/>
    <n v="130"/>
    <s v=""/>
    <n v="1397.5"/>
    <s v="--multiple--"/>
    <s v="703517"/>
    <d v="2025-10-09T09:38:05"/>
    <s v=""/>
    <s v=""/>
    <s v=""/>
    <s v=""/>
  </r>
  <r>
    <s v="430888"/>
    <s v="Diamond Pump and Transport, LLC"/>
    <x v="3"/>
    <s v="Bud Wilson"/>
    <s v="Cody Clement"/>
    <s v="430888-LOAD WATER AT FRAC TAKE TO HO"/>
    <s v="5051057"/>
    <s v="Upstream"/>
    <s v=""/>
    <s v="USD"/>
    <n v="570"/>
    <s v="Direct Entry"/>
    <s v="1"/>
    <s v="VACUUM TRUCK"/>
    <s v="Vac Truck"/>
    <s v=""/>
    <d v="2025-10-13T14:00:44"/>
    <d v="2025-10-08T05:00:00"/>
    <d v="2025-10-08T11:00:00"/>
    <d v="1899-12-30T06:00:00"/>
    <s v="PATRICIA LANDS 2201H"/>
    <s v=""/>
    <s v=""/>
    <s v="*"/>
    <s v=""/>
    <s v=""/>
    <s v=""/>
    <s v=""/>
    <s v=""/>
    <s v=""/>
    <s v=""/>
    <s v=""/>
    <s v=""/>
    <s v=""/>
    <s v=""/>
    <s v=""/>
    <s v=""/>
    <s v=""/>
    <s v=""/>
    <s v=""/>
    <s v=""/>
    <n v="0"/>
    <s v="bbl"/>
    <s v=""/>
    <s v=""/>
    <s v=""/>
    <s v=""/>
    <s v="1000534700"/>
    <s v="PATRICIA LANDS 2201H"/>
    <s v="Upstream"/>
    <s v="1046"/>
    <s v=""/>
    <s v=""/>
    <s v=""/>
    <s v=""/>
    <s v=""/>
    <s v=""/>
    <s v="Hours Worked"/>
    <n v="6"/>
    <s v="hour"/>
    <n v="95"/>
    <s v=""/>
    <n v="570"/>
    <s v="Pricebook"/>
    <s v="705890"/>
    <d v="2025-10-13T14:02:41"/>
    <s v=""/>
    <s v=""/>
    <s v=""/>
    <s v=""/>
  </r>
  <r>
    <s v="430892"/>
    <s v="Diamond Pump and Transport, LLC"/>
    <x v="3"/>
    <s v="Bud Wilson"/>
    <s v="Cody Clement"/>
    <s v="430892-LAOD GALS BIO AT BAT LAOD WATWER AT BAT TO HO"/>
    <s v="5051057"/>
    <s v="Upstream"/>
    <s v=""/>
    <s v="USD"/>
    <n v="308.75"/>
    <s v="Direct Entry"/>
    <s v="1"/>
    <s v="VACUUM TRUCK"/>
    <s v="Vac Truck"/>
    <s v=""/>
    <d v="2025-10-11T11:04:32"/>
    <d v="2025-10-09T05:15:00"/>
    <d v="2025-10-09T08:30:00"/>
    <d v="1899-12-30T03:15:00"/>
    <s v="VINEYARD HZ C 9801LS"/>
    <s v=""/>
    <s v=""/>
    <s v="*"/>
    <s v=""/>
    <s v=""/>
    <s v=""/>
    <s v=""/>
    <s v=""/>
    <s v=""/>
    <s v=""/>
    <s v=""/>
    <s v=""/>
    <s v=""/>
    <s v=""/>
    <s v=""/>
    <s v=""/>
    <s v=""/>
    <s v=""/>
    <s v=""/>
    <s v=""/>
    <n v="0"/>
    <s v="bbl"/>
    <s v=""/>
    <s v=""/>
    <s v=""/>
    <s v=""/>
    <s v="1000200100"/>
    <s v="VINEYARD HZ C 9801JM"/>
    <s v="Upstream"/>
    <s v="1046"/>
    <s v=""/>
    <s v=""/>
    <s v=""/>
    <s v=""/>
    <s v=""/>
    <s v=""/>
    <s v="Hours Worked"/>
    <n v="3.25"/>
    <s v="hour"/>
    <n v="95"/>
    <s v=""/>
    <n v="308.75"/>
    <s v="Pricebook"/>
    <s v="705890"/>
    <d v="2025-10-11T11:06:53"/>
    <s v=""/>
    <s v=""/>
    <s v=""/>
    <s v=""/>
  </r>
  <r>
    <s v="430893"/>
    <s v="Diamond Pump and Transport, LLC"/>
    <x v="3"/>
    <s v="Bud Wilson"/>
    <s v="Cody Clement"/>
    <s v="430893-LAOD WATER T BAT LAOD GALS AT BIO TO HO"/>
    <s v="5051057"/>
    <s v="Upstream"/>
    <s v=""/>
    <s v="USD"/>
    <n v="190"/>
    <s v="Direct Entry"/>
    <s v="1"/>
    <s v="VACUUM TRUCK"/>
    <s v="Vac Truck"/>
    <s v=""/>
    <d v="2025-10-11T11:02:39"/>
    <d v="2025-10-09T08:30:00"/>
    <d v="2025-10-09T10:30:00"/>
    <d v="1899-12-30T02:00:00"/>
    <s v="VINEYARD HZ B 9801WA"/>
    <s v=""/>
    <s v=""/>
    <s v="*"/>
    <s v=""/>
    <s v=""/>
    <s v=""/>
    <s v=""/>
    <s v=""/>
    <s v=""/>
    <s v=""/>
    <s v=""/>
    <s v=""/>
    <s v=""/>
    <s v=""/>
    <s v=""/>
    <s v=""/>
    <s v=""/>
    <s v=""/>
    <s v=""/>
    <s v=""/>
    <n v="0"/>
    <s v="bbl"/>
    <s v=""/>
    <s v=""/>
    <s v=""/>
    <s v=""/>
    <s v="1000197100"/>
    <s v="VINEYARD HZ B 9801WA"/>
    <s v="Upstream"/>
    <s v="1046"/>
    <s v=""/>
    <s v=""/>
    <s v=""/>
    <s v=""/>
    <s v=""/>
    <s v=""/>
    <s v="Hours Worked"/>
    <n v="2"/>
    <s v="hour"/>
    <n v="95"/>
    <s v=""/>
    <n v="190"/>
    <s v="Pricebook"/>
    <s v="705890"/>
    <d v="2025-10-11T11:03:55"/>
    <s v=""/>
    <s v=""/>
    <s v=""/>
    <s v=""/>
  </r>
  <r>
    <s v="430894"/>
    <s v="Diamond Pump and Transport, LLC"/>
    <x v="3"/>
    <s v="Bud Wilson"/>
    <s v="Cody Clement"/>
    <s v="430894-LAOD WATER AT CAB BAT TAKE TO HO"/>
    <s v="5051057"/>
    <s v="Upstream"/>
    <s v=""/>
    <s v="USD"/>
    <n v="190"/>
    <s v="Direct Entry"/>
    <s v="1"/>
    <s v="VACUUM TRUCK"/>
    <s v="Vac Truck"/>
    <s v=""/>
    <d v="2025-10-12T10:53:34"/>
    <d v="2025-10-09T10:30:00"/>
    <d v="2025-10-09T12:30:00"/>
    <d v="1899-12-30T02:00:00"/>
    <s v="VINEYARD HZ A 9801LS"/>
    <s v=""/>
    <s v=""/>
    <s v="*"/>
    <s v=""/>
    <s v=""/>
    <s v=""/>
    <s v=""/>
    <s v=""/>
    <s v=""/>
    <s v=""/>
    <s v=""/>
    <s v=""/>
    <s v=""/>
    <s v=""/>
    <s v=""/>
    <s v=""/>
    <s v=""/>
    <s v=""/>
    <s v=""/>
    <s v=""/>
    <n v="0"/>
    <s v="bbl"/>
    <s v=""/>
    <s v=""/>
    <s v=""/>
    <s v=""/>
    <s v="1000200200"/>
    <s v="VINEYARD HZ A 9801LS"/>
    <s v="Upstream"/>
    <s v="1046"/>
    <s v=""/>
    <s v=""/>
    <s v=""/>
    <s v=""/>
    <s v=""/>
    <s v=""/>
    <s v="Hours Worked"/>
    <n v="2"/>
    <s v="hour"/>
    <n v="95"/>
    <s v=""/>
    <n v="190"/>
    <s v="Pricebook"/>
    <s v="705890"/>
    <d v="2025-10-12T10:54:50"/>
    <s v=""/>
    <s v=""/>
    <s v=""/>
    <s v=""/>
  </r>
  <r>
    <s v="430895"/>
    <s v="Diamond Pump and Transport, LLC"/>
    <x v="3"/>
    <s v="Bud Wilson"/>
    <s v="Cody Clement"/>
    <s v="430895-LAOD WATER AT PLOW BAT AND BIO TO HOT"/>
    <s v="5051057"/>
    <s v="Upstream"/>
    <s v=""/>
    <s v="USD"/>
    <n v="142.5"/>
    <s v="Direct Entry"/>
    <s v="1"/>
    <s v="VACUUM TRUCK"/>
    <s v="Vac Truck"/>
    <s v=""/>
    <d v="2025-10-12T10:57:07"/>
    <d v="2025-10-09T12:30:00"/>
    <d v="2025-10-09T14:00:00"/>
    <d v="1899-12-30T01:30:00"/>
    <s v="VINEYARD HZ F 9802MS"/>
    <s v=""/>
    <s v=""/>
    <s v="*"/>
    <s v=""/>
    <s v=""/>
    <s v=""/>
    <s v=""/>
    <s v=""/>
    <s v=""/>
    <s v=""/>
    <s v=""/>
    <s v=""/>
    <s v=""/>
    <s v=""/>
    <s v=""/>
    <s v=""/>
    <s v=""/>
    <s v=""/>
    <s v=""/>
    <s v=""/>
    <n v="0"/>
    <s v="bbl"/>
    <s v=""/>
    <s v=""/>
    <s v=""/>
    <s v=""/>
    <s v="1000200300"/>
    <s v="VINEYARD HZ F 9802MS"/>
    <s v="Upstream"/>
    <s v="1046"/>
    <s v=""/>
    <s v=""/>
    <s v=""/>
    <s v=""/>
    <s v=""/>
    <s v=""/>
    <s v="Hours Worked"/>
    <n v="1.5"/>
    <s v="hour"/>
    <n v="95"/>
    <s v=""/>
    <n v="142.5"/>
    <s v="Pricebook"/>
    <s v="705890"/>
    <d v="2025-10-12T11:00:33"/>
    <s v=""/>
    <s v=""/>
    <s v=""/>
    <s v=""/>
  </r>
  <r>
    <s v="430896"/>
    <s v="Diamond Pump and Transport, LLC"/>
    <x v="3"/>
    <s v="Bud Wilson"/>
    <s v="Cody Clement"/>
    <s v="430896-LAOD WATER AT BAT AND CHEM TO HO"/>
    <s v="5051057"/>
    <s v="Upstream"/>
    <s v=""/>
    <s v="USD"/>
    <n v="142.5"/>
    <s v="Direct Entry"/>
    <s v="1"/>
    <s v="VACUUM TRUCK"/>
    <s v="Vac Truck"/>
    <s v=""/>
    <d v="2025-10-12T11:01:21"/>
    <d v="2025-10-09T14:00:00"/>
    <d v="2025-10-09T15:30:00"/>
    <d v="1899-12-30T01:30:00"/>
    <s v="VINEYARD E 9802WA"/>
    <s v=""/>
    <s v=""/>
    <s v="*"/>
    <s v=""/>
    <s v=""/>
    <s v=""/>
    <s v=""/>
    <s v=""/>
    <s v=""/>
    <s v=""/>
    <s v=""/>
    <s v=""/>
    <s v=""/>
    <s v=""/>
    <s v=""/>
    <s v=""/>
    <s v=""/>
    <s v=""/>
    <s v=""/>
    <s v=""/>
    <n v="0"/>
    <s v="bbl"/>
    <s v=""/>
    <s v=""/>
    <s v=""/>
    <s v=""/>
    <s v="1000197300"/>
    <s v="VINEYARD HZ E 9802WA"/>
    <s v="Upstream"/>
    <s v="1046"/>
    <s v=""/>
    <s v=""/>
    <s v=""/>
    <s v=""/>
    <s v=""/>
    <s v=""/>
    <s v="Hours Worked"/>
    <n v="1.5"/>
    <s v="hour"/>
    <n v="95"/>
    <s v=""/>
    <n v="142.5"/>
    <s v="Pricebook"/>
    <s v="705890"/>
    <d v="2025-10-12T11:06:47"/>
    <s v=""/>
    <s v=""/>
    <s v=""/>
    <s v=""/>
  </r>
  <r>
    <s v="MD2699528"/>
    <s v="Jet Specialty Inc"/>
    <x v="4"/>
    <s v="German Sanchez"/>
    <s v="Cody Clement"/>
    <s v="LEASE: AMOCO HOLT H BATTERY CC: 8000119400; BUYER: GERMAN SANCHEZ/ CARLOS; PO: WK# 159793R"/>
    <s v="5051049"/>
    <s v="Upstream"/>
    <s v="159793"/>
    <s v="USD"/>
    <n v="29.85"/>
    <s v="API"/>
    <s v="1"/>
    <s v="73209"/>
    <s v="2&quot; 3000# C/S THREADED COUPLING"/>
    <s v="Fittings"/>
    <d v="2025-10-09T16:41:04"/>
    <d v="2025-09-18T00:00:00"/>
    <d v="2025-09-18T00:00:00"/>
    <s v=""/>
    <s v=""/>
    <s v=""/>
    <s v=""/>
    <s v=""/>
    <s v=""/>
    <s v=""/>
    <s v=""/>
    <s v=""/>
    <s v=""/>
    <s v=""/>
    <s v=""/>
    <s v=""/>
    <s v=""/>
    <s v=""/>
    <s v=""/>
    <s v=""/>
    <s v=""/>
    <s v=""/>
    <s v=""/>
    <s v=""/>
    <s v=""/>
    <s v=""/>
    <s v=""/>
    <s v="Material"/>
    <s v=""/>
    <s v=""/>
    <s v=""/>
    <s v="8000119400"/>
    <s v="AMOCO HOLT HZ BATTERY"/>
    <s v="Upstream"/>
    <s v="1046"/>
    <s v=""/>
    <s v=""/>
    <s v=""/>
    <s v=""/>
    <s v=""/>
    <s v=""/>
    <s v=""/>
    <n v="3"/>
    <s v="EA"/>
    <n v="9.9499999999999993"/>
    <s v=""/>
    <n v="29.85"/>
    <s v="--multiple--"/>
    <s v="708023"/>
    <d v="2025-10-10T07:18:24"/>
    <s v=""/>
    <s v=""/>
    <s v=""/>
    <s v=""/>
  </r>
  <r>
    <s v="1001928"/>
    <s v="B-P Supply Inc"/>
    <x v="4"/>
    <s v="German Sanchez"/>
    <s v="Cody Clement"/>
    <s v="PARTS ORDERED BY GERMAN SANCHEZ - AMOCO HOLT HZ BATTERY"/>
    <s v="5051049"/>
    <s v="Upstream"/>
    <s v="159793"/>
    <s v="USD"/>
    <n v="2447.75"/>
    <s v="B2B"/>
    <s v="1"/>
    <s v="0056Y-12-O-SS"/>
    <s v="2&quot; 1000# SS Y STRAINER"/>
    <s v="Other"/>
    <d v="2025-09-29T14:54:28"/>
    <d v="2025-09-23T00:00:00"/>
    <d v="2025-09-23T00:00:00"/>
    <s v=""/>
    <s v=""/>
    <s v=""/>
    <s v=""/>
    <s v=""/>
    <s v=""/>
    <s v=""/>
    <s v=""/>
    <s v=""/>
    <s v=""/>
    <s v=""/>
    <s v=""/>
    <s v=""/>
    <s v=""/>
    <s v=""/>
    <s v=""/>
    <s v=""/>
    <s v=""/>
    <s v=""/>
    <s v=""/>
    <s v=""/>
    <s v=""/>
    <s v=""/>
    <s v=""/>
    <s v="Material"/>
    <s v=""/>
    <s v=""/>
    <s v=""/>
    <s v="8000119400"/>
    <s v="AMOCO HOLT HZ BATTERY"/>
    <s v="Upstream"/>
    <s v="1046"/>
    <s v=""/>
    <s v=""/>
    <s v=""/>
    <s v=""/>
    <s v=""/>
    <s v=""/>
    <s v=""/>
    <n v="1"/>
    <s v="EA"/>
    <n v="89.9"/>
    <s v=""/>
    <n v="89.9"/>
    <s v="--multiple--"/>
    <s v="705219"/>
    <d v="2025-10-09T13:40:02"/>
    <s v=""/>
    <s v=""/>
    <s v=""/>
    <s v=""/>
  </r>
  <r>
    <s v="1002130"/>
    <s v="B-P Supply Inc"/>
    <x v="4"/>
    <s v="German Sanchez"/>
    <s v="Cody Clement"/>
    <s v="PARTS ORDERED BY GERMAN SANCHEZ - VINEYARD H BATTERY"/>
    <s v="5051049"/>
    <s v="Upstream"/>
    <s v="163098"/>
    <s v="USD"/>
    <n v="814.25"/>
    <s v="B2B"/>
    <s v="1"/>
    <s v="SPECIALORDER"/>
    <s v="60&quot; BLUEHEAD ANODES W/ GROUND WIRE"/>
    <s v=""/>
    <d v="2025-10-07T15:14:48"/>
    <d v="2025-09-24T00:00:00"/>
    <d v="2025-09-24T00:00:00"/>
    <s v=""/>
    <s v=""/>
    <s v=""/>
    <s v=""/>
    <s v=""/>
    <s v=""/>
    <s v=""/>
    <s v=""/>
    <s v=""/>
    <s v=""/>
    <s v=""/>
    <s v=""/>
    <s v=""/>
    <s v=""/>
    <s v=""/>
    <s v=""/>
    <s v=""/>
    <s v=""/>
    <s v=""/>
    <s v=""/>
    <s v=""/>
    <s v=""/>
    <s v=""/>
    <s v=""/>
    <s v="Material"/>
    <s v=""/>
    <s v=""/>
    <s v=""/>
    <s v="8000039200"/>
    <s v="VINEYARD H BATTERY"/>
    <s v="Upstream"/>
    <s v="1046"/>
    <s v=""/>
    <s v=""/>
    <s v=""/>
    <s v=""/>
    <s v=""/>
    <s v=""/>
    <s v=""/>
    <n v="2"/>
    <s v="EA"/>
    <n v="342.38"/>
    <s v=""/>
    <n v="684.77"/>
    <s v="--multiple--"/>
    <s v="705219"/>
    <d v="2025-10-10T10:14:26"/>
    <s v=""/>
    <s v=""/>
    <s v=""/>
    <s v=""/>
  </r>
  <r>
    <s v="1002399"/>
    <s v="B-P Supply Inc"/>
    <x v="4"/>
    <s v="German Sanchez"/>
    <s v="Cody Clement"/>
    <s v="PARTS ORDERED BY GERMAN SANCHEZ - UL NORTHEAST BATTERY"/>
    <s v="5051049"/>
    <s v="Upstream"/>
    <s v="166369"/>
    <s v="USD"/>
    <n v="1299.1400000000001"/>
    <s v="B2B"/>
    <s v="1"/>
    <s v="0214-BARBLESS"/>
    <s v="ROLL OF BARBLESS WIRE"/>
    <s v=""/>
    <d v="2025-10-07T15:14:20"/>
    <d v="2025-09-26T00:00:00"/>
    <d v="2025-09-26T00:00:00"/>
    <s v=""/>
    <s v=""/>
    <s v=""/>
    <s v=""/>
    <s v=""/>
    <s v=""/>
    <s v=""/>
    <s v=""/>
    <s v=""/>
    <s v=""/>
    <s v=""/>
    <s v=""/>
    <s v=""/>
    <s v=""/>
    <s v=""/>
    <s v=""/>
    <s v=""/>
    <s v=""/>
    <s v=""/>
    <s v=""/>
    <s v=""/>
    <s v=""/>
    <s v=""/>
    <s v=""/>
    <s v="Material"/>
    <s v=""/>
    <s v=""/>
    <s v=""/>
    <s v="8000047500"/>
    <s v="UL NORTHEAST BATTERY"/>
    <s v="Upstream"/>
    <s v="1046"/>
    <s v=""/>
    <s v=""/>
    <s v=""/>
    <s v=""/>
    <s v=""/>
    <s v=""/>
    <s v=""/>
    <n v="2"/>
    <s v="EA"/>
    <n v="178.45"/>
    <s v=""/>
    <n v="356.9"/>
    <s v="--multiple--"/>
    <s v="705219"/>
    <d v="2025-10-10T13:34:10"/>
    <s v=""/>
    <s v=""/>
    <s v=""/>
    <s v=""/>
  </r>
  <r>
    <s v="1002707"/>
    <s v="B-P Supply Inc"/>
    <x v="3"/>
    <s v="German Sanchez"/>
    <s v="Cody Clement"/>
    <s v="PARTS ORDERED BY GERMAN SANCHEZ - BREEDLOVE E"/>
    <s v="5051027"/>
    <s v="Upstream"/>
    <s v="167828"/>
    <s v="USD"/>
    <n v="103.96"/>
    <s v="B2B"/>
    <s v="1"/>
    <s v="SPECIALORDER"/>
    <s v="ROUNDUP FOR LAWNS 1.0 GALLON"/>
    <s v=""/>
    <d v="2025-10-07T15:16:37"/>
    <d v="2025-09-29T00:00:00"/>
    <d v="2025-09-29T00:00:00"/>
    <s v=""/>
    <s v=""/>
    <s v=""/>
    <s v=""/>
    <s v=""/>
    <s v=""/>
    <s v=""/>
    <s v=""/>
    <s v=""/>
    <s v=""/>
    <s v=""/>
    <s v=""/>
    <s v=""/>
    <s v=""/>
    <s v=""/>
    <s v=""/>
    <s v=""/>
    <s v=""/>
    <s v=""/>
    <s v=""/>
    <s v=""/>
    <s v=""/>
    <s v=""/>
    <s v=""/>
    <s v="Material"/>
    <s v=""/>
    <s v=""/>
    <s v=""/>
    <s v="8300176100"/>
    <s v="BREEDLOVE E BATTERY"/>
    <s v="Upstream"/>
    <s v="1046"/>
    <s v=""/>
    <s v=""/>
    <s v=""/>
    <s v=""/>
    <s v=""/>
    <s v=""/>
    <s v=""/>
    <n v="1"/>
    <s v="EA"/>
    <n v="39.979999999999997"/>
    <s v=""/>
    <n v="39.979999999999997"/>
    <s v="--multiple--"/>
    <s v="705219"/>
    <d v="2025-10-13T14:22:45"/>
    <s v=""/>
    <s v=""/>
    <s v=""/>
    <s v=""/>
  </r>
  <r>
    <s v="145812"/>
    <s v="Knighten Machine &amp; Service Inc"/>
    <x v="3"/>
    <s v="German Sanchez"/>
    <s v="Cody Clement"/>
    <s v="AMOCO HOLT HZ BATTERY_x000a_GERMAN SANCHEZ_x000a_214-400-8115_x000a_TICKET APPROVER: GERMAN SANCHEZ_x000a_WO# 169617_x000a_COST CENTER: 8000119400"/>
    <s v="5051049"/>
    <s v="Upstream"/>
    <s v="169617"/>
    <s v="USD"/>
    <n v="2991.61"/>
    <s v="Direct Entry"/>
    <s v="1"/>
    <s v="Service Truck Charge"/>
    <s v="Service Truck Charge"/>
    <s v=""/>
    <d v="2025-10-13T13:51:57"/>
    <d v="2025-10-06T13:00:00"/>
    <d v="2025-10-06T19:00:00"/>
    <s v=""/>
    <s v=""/>
    <s v=""/>
    <s v=""/>
    <s v=""/>
    <s v=""/>
    <s v=""/>
    <s v=""/>
    <s v=""/>
    <s v=""/>
    <s v=""/>
    <s v=""/>
    <s v=""/>
    <s v=""/>
    <s v=""/>
    <s v=""/>
    <s v=""/>
    <s v=""/>
    <s v=""/>
    <s v=""/>
    <s v=""/>
    <s v=""/>
    <s v=""/>
    <s v=""/>
    <s v="Material"/>
    <s v=""/>
    <s v=""/>
    <s v=""/>
    <s v="8000119400"/>
    <s v="AMOCO HOLT HZ BATTERY"/>
    <s v="Upstream"/>
    <s v="1046"/>
    <s v=""/>
    <s v=""/>
    <s v=""/>
    <s v=""/>
    <s v=""/>
    <s v=""/>
    <s v=""/>
    <n v="6"/>
    <s v="HR"/>
    <n v="50"/>
    <s v=""/>
    <n v="300"/>
    <s v="E-Maintenance"/>
    <s v="708143"/>
    <d v="2025-10-13T14:11:44"/>
    <s v=""/>
    <s v=""/>
    <s v=""/>
    <s v=""/>
  </r>
  <r>
    <s v="G5857064"/>
    <s v="Premier Energy Services, LLC"/>
    <x v="4"/>
    <s v="Hugo Lua Barragan"/>
    <s v="Cody Clement"/>
    <s v="Production-3 man crew, _x000a_WE WENT TO THE LOCATION WE REPLACED 425 DUMP IN THE WATER  LINE OPEN CHECK FOR LEAKS"/>
    <s v="5051049"/>
    <s v="Upstream"/>
    <s v="169406"/>
    <s v="USD"/>
    <n v="375"/>
    <s v="API"/>
    <s v="1"/>
    <s v="Pusher and 2 Hands"/>
    <s v="Production-3 man crew"/>
    <s v=""/>
    <d v="2025-10-07T12:12:52"/>
    <d v="2025-10-03T06:03:00"/>
    <d v="2025-10-03T09:04:00"/>
    <s v=""/>
    <s v="UL GDK BATTERY"/>
    <s v=""/>
    <s v="UL GDK BATTERY"/>
    <s v=""/>
    <s v=""/>
    <s v=""/>
    <s v=""/>
    <s v=""/>
    <s v=""/>
    <s v=""/>
    <s v=""/>
    <s v=""/>
    <s v=""/>
    <s v=""/>
    <s v=""/>
    <s v=""/>
    <s v=""/>
    <s v=""/>
    <s v=""/>
    <s v=""/>
    <s v=""/>
    <s v=""/>
    <s v=""/>
    <s v="Labor"/>
    <s v="Hernandez , Gonzalo"/>
    <s v="119118"/>
    <s v=""/>
    <s v="8000311600"/>
    <s v="UL GDK BATTERY"/>
    <s v="Upstream"/>
    <s v="1046"/>
    <s v=""/>
    <s v=""/>
    <s v=""/>
    <s v=""/>
    <s v=""/>
    <s v=""/>
    <s v=""/>
    <n v="3"/>
    <s v="HR"/>
    <n v="125"/>
    <s v=""/>
    <n v="375"/>
    <s v="--multiple--"/>
    <s v="702081"/>
    <d v="2025-10-10T07:02:08"/>
    <s v=""/>
    <s v=""/>
    <s v="Attachment Issue"/>
    <s v=""/>
  </r>
  <r>
    <s v="12752704"/>
    <s v="Wholesale Electric Supply Co of Houston, Inc."/>
    <x v="6"/>
    <s v="Jeff Garza"/>
    <s v="Cody Clement"/>
    <s v="FRM RTE CLEMENT CODY"/>
    <s v="5051022"/>
    <s v="Upstream"/>
    <s v=""/>
    <s v="USD"/>
    <n v="14369.65"/>
    <s v="Direct Entry"/>
    <s v="1"/>
    <s v="1"/>
    <s v="BPI O LT10J 10W HEAT TRACE"/>
    <s v=""/>
    <d v="2025-09-24T09:47:59"/>
    <d v="2025-09-23T00:00:00"/>
    <d v="2025-09-23T00:00:00"/>
    <s v=""/>
    <s v=""/>
    <s v=""/>
    <s v=""/>
    <s v=""/>
    <s v=""/>
    <s v=""/>
    <s v=""/>
    <s v=""/>
    <s v=""/>
    <s v=""/>
    <s v=""/>
    <s v=""/>
    <s v=""/>
    <s v=""/>
    <s v=""/>
    <s v=""/>
    <s v=""/>
    <s v=""/>
    <s v=""/>
    <s v=""/>
    <s v=""/>
    <s v=""/>
    <s v=""/>
    <s v="Material"/>
    <s v=""/>
    <s v=""/>
    <s v=""/>
    <s v="9100019000"/>
    <s v="FRM RTE-CLEMENT CODY"/>
    <s v="Upstream"/>
    <s v="1046"/>
    <s v=""/>
    <s v=""/>
    <s v=""/>
    <s v=""/>
    <s v=""/>
    <s v=""/>
    <s v=""/>
    <n v="1000"/>
    <s v="EA"/>
    <n v="10.58"/>
    <s v=""/>
    <n v="10580"/>
    <s v="E-Maintenance"/>
    <s v="710541"/>
    <d v="2025-10-13T12:30:15"/>
    <s v=""/>
    <s v=""/>
    <s v="Coding/Location Issue"/>
    <s v=""/>
  </r>
  <r>
    <s v="CO-046511"/>
    <s v="S&amp;R Compression LLC"/>
    <x v="3"/>
    <s v="Jeff Garza"/>
    <s v="Cody Clement"/>
    <s v="PRE-COMMISSION UNIT 25063."/>
    <s v="5051064"/>
    <s v="Upstream"/>
    <s v=""/>
    <s v="USD"/>
    <n v="1396.25"/>
    <s v="Direct Entry"/>
    <s v="1"/>
    <s v="Drive Time"/>
    <s v="Labor"/>
    <s v=""/>
    <d v="2025-10-13T09:24:04"/>
    <d v="2025-10-09T08:00:00"/>
    <d v="2025-10-09T08:45:00"/>
    <s v=""/>
    <s v=""/>
    <s v=""/>
    <s v=""/>
    <s v=""/>
    <s v=""/>
    <s v=""/>
    <s v=""/>
    <s v=""/>
    <s v=""/>
    <s v=""/>
    <s v=""/>
    <s v=""/>
    <s v=""/>
    <s v=""/>
    <s v=""/>
    <s v=""/>
    <s v=""/>
    <s v=""/>
    <s v=""/>
    <s v=""/>
    <s v=""/>
    <s v=""/>
    <s v=""/>
    <s v="Labor"/>
    <s v="DELGADO, NIKKO"/>
    <s v=""/>
    <s v=""/>
    <s v="8000311600"/>
    <s v="UL GDK BATTERY"/>
    <s v="Upstream"/>
    <s v="1046"/>
    <s v=""/>
    <s v=""/>
    <s v=""/>
    <s v=""/>
    <s v=""/>
    <s v=""/>
    <s v=""/>
    <n v="0.75"/>
    <s v="Hours"/>
    <n v="135"/>
    <s v=""/>
    <n v="101.25"/>
    <s v="--multiple--"/>
    <s v="709323"/>
    <d v="2025-10-13T09:28:23"/>
    <s v=""/>
    <s v=""/>
    <s v=""/>
    <s v=""/>
  </r>
  <r>
    <s v="430897"/>
    <s v="Diamond Pump and Transport, LLC"/>
    <x v="3"/>
    <s v="Bud Wilson"/>
    <s v="Cody Clement"/>
    <s v="430897-LAOD WATER AT BAT TAKE TO HO"/>
    <s v="5051057"/>
    <s v="Upstream"/>
    <s v=""/>
    <s v="USD"/>
    <n v="332.5"/>
    <s v="Direct Entry"/>
    <s v="1"/>
    <s v="VACUUM TRUCK"/>
    <s v="Vac Truck"/>
    <s v=""/>
    <d v="2025-10-12T11:16:41"/>
    <d v="2025-10-09T15:30:00"/>
    <d v="2025-10-09T19:00:00"/>
    <d v="1899-12-30T03:30:00"/>
    <s v="VINEYARD HZ D 9802LS"/>
    <s v=""/>
    <s v=""/>
    <s v="*"/>
    <s v=""/>
    <s v=""/>
    <s v=""/>
    <s v=""/>
    <s v=""/>
    <s v=""/>
    <s v=""/>
    <s v=""/>
    <s v=""/>
    <s v=""/>
    <s v=""/>
    <s v=""/>
    <s v=""/>
    <s v=""/>
    <s v=""/>
    <s v=""/>
    <s v=""/>
    <n v="0"/>
    <s v="bbl"/>
    <s v=""/>
    <s v=""/>
    <s v=""/>
    <s v=""/>
    <s v="1000197200"/>
    <s v="VINEYARD HZ D 9802LS"/>
    <s v="Upstream"/>
    <s v="1046"/>
    <s v=""/>
    <s v=""/>
    <s v=""/>
    <s v=""/>
    <s v=""/>
    <s v=""/>
    <s v="Hours Worked"/>
    <n v="3.5"/>
    <s v="hour"/>
    <n v="95"/>
    <s v=""/>
    <n v="332.5"/>
    <s v="Pricebook"/>
    <s v="705890"/>
    <d v="2025-10-12T11:18:36"/>
    <s v=""/>
    <s v=""/>
    <s v=""/>
    <s v=""/>
  </r>
  <r>
    <s v="430898"/>
    <s v="Diamond Pump and Transport, LLC"/>
    <x v="3"/>
    <s v="Bud Wilson"/>
    <s v="Cody Clement"/>
    <s v="430898-LAOD WATWER AT CAB BAT LAOD GALS BIO AT PAD TO HO"/>
    <s v="5051057"/>
    <s v="Upstream"/>
    <s v=""/>
    <s v="USD"/>
    <n v="380"/>
    <s v="Direct Entry"/>
    <s v="1"/>
    <s v="VACUUM TRUCK"/>
    <s v="Vac Truck"/>
    <s v=""/>
    <d v="2025-10-13T10:39:34"/>
    <d v="2025-10-10T05:00:00"/>
    <d v="2025-10-10T09:00:00"/>
    <d v="1899-12-30T04:00:00"/>
    <s v="VINEYARD 23 8 B 1LS"/>
    <s v=""/>
    <s v=""/>
    <s v="*"/>
    <s v=""/>
    <s v=""/>
    <s v=""/>
    <s v=""/>
    <s v=""/>
    <s v=""/>
    <s v=""/>
    <s v=""/>
    <s v=""/>
    <s v=""/>
    <s v=""/>
    <s v=""/>
    <s v=""/>
    <s v=""/>
    <s v=""/>
    <s v=""/>
    <s v=""/>
    <n v="0"/>
    <s v="bbl"/>
    <s v=""/>
    <s v=""/>
    <s v=""/>
    <s v=""/>
    <s v="1000419900"/>
    <s v="VINEYARD 23-8 B 1LS"/>
    <s v="Upstream"/>
    <s v="1046"/>
    <s v=""/>
    <s v=""/>
    <s v=""/>
    <s v=""/>
    <s v=""/>
    <s v=""/>
    <s v="Hours Worked"/>
    <n v="4"/>
    <s v="hour"/>
    <n v="95"/>
    <s v=""/>
    <n v="380"/>
    <s v="Pricebook"/>
    <s v="705890"/>
    <d v="2025-10-13T10:41:57"/>
    <s v=""/>
    <s v=""/>
    <s v=""/>
    <s v=""/>
  </r>
  <r>
    <s v="MD2699133"/>
    <s v="Jet Specialty Inc"/>
    <x v="4"/>
    <s v="Callen Elliott"/>
    <s v="Justin Rodriguez"/>
    <s v="LEASE: RIO SAN GABRIEL 28 - 29; BUYER: CODY SULLIVAN; PO: WO: 159120"/>
    <s v="5051024"/>
    <s v="Upstream"/>
    <s v="159120"/>
    <s v="USD"/>
    <n v="280.79000000000002"/>
    <s v="API"/>
    <s v="1"/>
    <s v="701004"/>
    <s v="6&quot; 150# C/S RF BLIND FLANGE"/>
    <s v="6&quot; 150 C/S RF BLIND"/>
    <d v="2025-10-09T17:00:26"/>
    <d v="2025-09-16T00:00:00"/>
    <d v="2025-09-16T00:00:00"/>
    <s v=""/>
    <s v=""/>
    <s v=""/>
    <s v=""/>
    <s v=""/>
    <s v=""/>
    <s v=""/>
    <s v=""/>
    <s v=""/>
    <s v=""/>
    <s v=""/>
    <s v=""/>
    <s v=""/>
    <s v=""/>
    <s v=""/>
    <s v=""/>
    <s v=""/>
    <s v=""/>
    <s v=""/>
    <s v=""/>
    <s v=""/>
    <s v=""/>
    <s v=""/>
    <s v=""/>
    <s v="Material"/>
    <s v=""/>
    <s v=""/>
    <s v=""/>
    <s v="9000035700"/>
    <s v="RIO SAN GABRIEL 28-29"/>
    <s v="Upstream"/>
    <s v="1046"/>
    <s v=""/>
    <s v=""/>
    <s v=""/>
    <s v=""/>
    <s v=""/>
    <s v=""/>
    <s v=""/>
    <n v="1"/>
    <s v="EA"/>
    <n v="55.58"/>
    <s v=""/>
    <n v="55.58"/>
    <s v="--multiple--"/>
    <s v="708023"/>
    <d v="2025-10-10T07:09:17"/>
    <s v=""/>
    <s v=""/>
    <s v=""/>
    <s v=""/>
  </r>
  <r>
    <s v="F05940"/>
    <s v="Warrior Technologies, LLC"/>
    <x v="4"/>
    <s v="Daniel Morin"/>
    <s v="Cody Rogers"/>
    <s v="ROUSTABOUT WORK - DROVE TO LOCATION, DISCONNECTED AIR LINES FROM COMPRESSOR, REPLACED NIPPLES AND PIPELINE, CONNECTED AIR LINES TO AIR SCRUBBER, DUG UNDER PIPES AND PUT A CROSSOVER TO WALK ACROSS THE PIPE."/>
    <s v="5051049"/>
    <s v="Upstream"/>
    <s v="157959"/>
    <s v="USD"/>
    <n v="1350"/>
    <s v="B2B"/>
    <s v="1"/>
    <s v="1400000"/>
    <s v="Roustabout Service Crew w/ Truck - 3 Man Crew"/>
    <s v=""/>
    <d v="2025-10-09T16:51:16"/>
    <d v="2025-09-12T07:00:00"/>
    <d v="2025-09-12T17:00:00"/>
    <s v=""/>
    <s v="UNIVERISTY 7-13 H CTB"/>
    <s v=""/>
    <s v=""/>
    <s v=""/>
    <s v=""/>
    <s v=""/>
    <s v=""/>
    <s v=""/>
    <s v=""/>
    <s v=""/>
    <s v=""/>
    <s v=""/>
    <s v=""/>
    <s v=""/>
    <s v=""/>
    <s v=""/>
    <s v=""/>
    <s v=""/>
    <s v=""/>
    <s v=""/>
    <s v=""/>
    <s v=""/>
    <s v=""/>
    <s v="Labor"/>
    <s v=""/>
    <s v=""/>
    <s v=""/>
    <s v="8000124300"/>
    <s v="UNIVERSITY 7-13 H CTB"/>
    <s v="Upstream"/>
    <s v="1046"/>
    <s v=""/>
    <s v=""/>
    <s v=""/>
    <s v=""/>
    <s v=""/>
    <s v=""/>
    <s v=""/>
    <n v="10"/>
    <s v="HR"/>
    <n v="135"/>
    <s v=""/>
    <n v="1350"/>
    <s v="Pricebook"/>
    <s v="712996"/>
    <d v="2025-10-10T12:25:58"/>
    <s v=""/>
    <s v=""/>
    <s v=""/>
    <s v=""/>
  </r>
  <r>
    <s v="R-13862"/>
    <s v="RTI Services, LLC"/>
    <x v="1"/>
    <s v="Daniel Morin"/>
    <s v="Cody Rogers"/>
    <s v="PICKUP TESTER HAUL TO LOACTION &amp; UNLOAD ,RETURN TO RTI_x000a_&amp; PICKUP MANLIFT &amp; HAUL TO LOCATION"/>
    <s v="5051049"/>
    <s v="Upstream"/>
    <s v="158289"/>
    <s v="USD"/>
    <n v="2665"/>
    <s v="Direct Entry"/>
    <s v="1"/>
    <s v="PICKUPDROPOFFEQUIPMENT"/>
    <s v="PICKUP DROP OFF EQUPIMENT"/>
    <s v=""/>
    <d v="2025-09-24T10:25:33"/>
    <d v="2025-09-15T07:30:00"/>
    <d v="2025-09-15T14:30:00"/>
    <s v=""/>
    <s v="UL 7-31H CTB"/>
    <s v=""/>
    <s v=""/>
    <s v=""/>
    <s v=""/>
    <s v=""/>
    <s v=""/>
    <s v=""/>
    <s v=""/>
    <s v=""/>
    <s v=""/>
    <s v=""/>
    <s v=""/>
    <s v=""/>
    <s v=""/>
    <s v=""/>
    <s v=""/>
    <s v=""/>
    <s v=""/>
    <s v=""/>
    <s v=""/>
    <s v=""/>
    <s v=""/>
    <s v="Equipment"/>
    <s v=""/>
    <s v=""/>
    <s v=""/>
    <s v="8000127600"/>
    <s v="UL 7-31H CTB"/>
    <s v="Upstream"/>
    <s v="1046"/>
    <s v=""/>
    <s v=""/>
    <s v=""/>
    <s v=""/>
    <s v=""/>
    <s v=""/>
    <s v=""/>
    <n v="7"/>
    <s v="HR"/>
    <n v="155"/>
    <s v=""/>
    <n v="1085"/>
    <s v="--multiple--"/>
    <s v="707090"/>
    <d v="2025-10-06T14:21:13"/>
    <s v=""/>
    <s v=""/>
    <s v="VC General"/>
    <s v=""/>
  </r>
  <r>
    <s v="79779"/>
    <s v="RTI Services, LLC"/>
    <x v="7"/>
    <s v="Daniel Morin"/>
    <s v="Cody Rogers"/>
    <s v="DIG 6 HOLES EACH COMPRESSOR (18 HOLES TOTAL ) TO PLACED POSTS _x000a_ALSO IT WAS A TRUCJ WITH BUFFALO TRAILER TO PROVIDE_x000a_F/W TO THE CREW THAT WAS MAKING CEMENT TO PUT UP THE POST"/>
    <s v="5051027"/>
    <s v="Upstream"/>
    <s v="159607"/>
    <s v="USD"/>
    <n v="2990"/>
    <s v="Direct Entry"/>
    <s v="1"/>
    <s v="W15"/>
    <s v="Hydro Vac"/>
    <s v=""/>
    <d v="2025-10-07T10:09:27"/>
    <d v="2025-09-19T07:00:00"/>
    <d v="2025-09-19T15:00:00"/>
    <s v=""/>
    <s v="MABEE KELTON 4-1 BATTERY"/>
    <s v=""/>
    <s v=""/>
    <s v=""/>
    <s v=""/>
    <s v=""/>
    <s v=""/>
    <s v=""/>
    <s v=""/>
    <s v=""/>
    <s v=""/>
    <s v=""/>
    <s v=""/>
    <s v=""/>
    <s v=""/>
    <s v=""/>
    <s v=""/>
    <s v=""/>
    <s v=""/>
    <s v=""/>
    <s v=""/>
    <s v=""/>
    <s v=""/>
    <s v="Equipment"/>
    <s v=""/>
    <s v=""/>
    <s v=""/>
    <s v="8000322400"/>
    <s v="MABEE KELTON 4-1 BATTERY"/>
    <s v="Upstream"/>
    <s v="1046"/>
    <s v=""/>
    <s v=""/>
    <s v=""/>
    <s v=""/>
    <s v=""/>
    <s v=""/>
    <s v=""/>
    <n v="8"/>
    <s v="HR"/>
    <n v="235"/>
    <s v=""/>
    <n v="1880"/>
    <s v="--multiple--"/>
    <s v="707090"/>
    <d v="2025-10-07T10:27:05"/>
    <s v=""/>
    <s v=""/>
    <s v=""/>
    <s v=""/>
  </r>
  <r>
    <s v="N14000326557"/>
    <s v="SES Holdings, LLC"/>
    <x v="3"/>
    <s v="Daniel Morin"/>
    <s v="Cody Rogers"/>
    <s v="MABEE -D- 8; HOURLY; Cody Rogers"/>
    <s v="5051062"/>
    <s v="Upstream"/>
    <s v="167976"/>
    <s v="USD"/>
    <n v="1150"/>
    <s v=""/>
    <s v="1"/>
    <s v="10-1112HRS"/>
    <s v="TP-Transfer Production / Lease Water"/>
    <s v="Transport"/>
    <d v="2025-10-11T20:55:11"/>
    <d v="2025-09-30T06:30:00"/>
    <d v="2025-09-30T18:00:00"/>
    <d v="1899-12-30T11:30:00"/>
    <s v="MABEE -D- 8"/>
    <s v=""/>
    <s v=""/>
    <s v="Production / Lease / Salt Water"/>
    <s v=""/>
    <s v=""/>
    <s v=""/>
    <s v=""/>
    <n v="0"/>
    <n v="0"/>
    <n v="0"/>
    <n v="0"/>
    <s v=""/>
    <s v=""/>
    <s v=""/>
    <s v=""/>
    <s v=""/>
    <s v=""/>
    <s v=""/>
    <s v=""/>
    <s v=""/>
    <n v="40"/>
    <s v="bbl"/>
    <s v=""/>
    <s v=""/>
    <s v=""/>
    <s v=""/>
    <s v="1000348700"/>
    <s v="MABEE D 8"/>
    <s v="Upstream"/>
    <s v="1046"/>
    <s v=""/>
    <s v=""/>
    <s v=""/>
    <s v=""/>
    <s v=""/>
    <s v=""/>
    <s v="Other"/>
    <n v="11.5"/>
    <s v="HRS"/>
    <n v="100"/>
    <s v=""/>
    <n v="1150"/>
    <s v="--multiple--"/>
    <s v="700224"/>
    <d v="2025-10-11T20:55:11"/>
    <s v=""/>
    <s v=""/>
    <s v=""/>
    <s v=""/>
  </r>
  <r>
    <s v="211074"/>
    <s v="Basin Trucking LLC"/>
    <x v="7"/>
    <s v="Edgar Quintero"/>
    <s v="Cody Rogers"/>
    <s v="Drove crew to location take measurements cut make install blankets crane up our trash."/>
    <s v="5051049"/>
    <s v="Upstream"/>
    <s v="152904"/>
    <s v="USD"/>
    <n v="1732.5"/>
    <s v="Direct Entry"/>
    <s v="1"/>
    <s v="Craftsman (Hourly Rate per man)"/>
    <s v="Craftsman (Hourly Rate per man)"/>
    <s v=""/>
    <d v="2025-10-13T11:37:36"/>
    <d v="2025-10-06T06:15:00"/>
    <d v="2025-10-06T16:45:00"/>
    <s v=""/>
    <s v="UNIVERISTY 7 13 H"/>
    <s v=""/>
    <s v=""/>
    <s v=""/>
    <s v=""/>
    <s v=""/>
    <s v=""/>
    <s v=""/>
    <s v=""/>
    <s v=""/>
    <s v=""/>
    <s v=""/>
    <s v=""/>
    <s v=""/>
    <s v=""/>
    <s v=""/>
    <s v=""/>
    <s v=""/>
    <s v=""/>
    <s v=""/>
    <s v=""/>
    <s v=""/>
    <s v=""/>
    <s v="Labor"/>
    <s v=""/>
    <s v=""/>
    <s v=""/>
    <s v="8000124300"/>
    <s v="UNIVERSITY 7-13 H CTB"/>
    <s v="Upstream"/>
    <s v="1046"/>
    <s v=""/>
    <s v=""/>
    <s v=""/>
    <s v=""/>
    <s v=""/>
    <s v=""/>
    <s v=""/>
    <n v="10.5"/>
    <s v="HR"/>
    <n v="55"/>
    <s v=""/>
    <n v="577.5"/>
    <s v="--multiple--"/>
    <s v="703517"/>
    <d v="2025-10-13T11:44:47"/>
    <s v=""/>
    <s v=""/>
    <s v=""/>
    <s v=""/>
  </r>
  <r>
    <s v="8-65289"/>
    <s v="RK Supply"/>
    <x v="2"/>
    <s v="Callen Elliott"/>
    <s v="Marco Rodriguez"/>
    <s v="Oilfield Parts and Supplies"/>
    <s v="5051024"/>
    <s v="Upstream"/>
    <s v=""/>
    <s v="USD"/>
    <n v="206.59"/>
    <s v="B2B"/>
    <s v="1"/>
    <s v="20541"/>
    <s v="3/8X1/4 SS MALE 90"/>
    <s v="Fitting"/>
    <d v="2025-10-12T17:14:16"/>
    <d v="2025-09-23T12:00:00"/>
    <d v="2025-09-23T12:00:00"/>
    <s v=""/>
    <s v="DAVY JONES EAST/DAVY JONES WEST BTY **049**"/>
    <s v=""/>
    <s v=""/>
    <s v=""/>
    <s v=""/>
    <s v=""/>
    <s v=""/>
    <s v=""/>
    <s v=""/>
    <s v=""/>
    <s v=""/>
    <s v=""/>
    <s v=""/>
    <s v=""/>
    <s v=""/>
    <s v=""/>
    <s v=""/>
    <s v=""/>
    <s v=""/>
    <s v=""/>
    <s v=""/>
    <s v=""/>
    <s v=""/>
    <s v="Material"/>
    <s v=""/>
    <s v=""/>
    <s v=""/>
    <s v="8000314400"/>
    <s v="DAVY JONES EAST BATTERY"/>
    <s v="Upstream"/>
    <s v="1046"/>
    <s v=""/>
    <s v=""/>
    <s v=""/>
    <s v=""/>
    <s v=""/>
    <s v=""/>
    <s v=""/>
    <n v="1"/>
    <s v="EA"/>
    <n v="7.49"/>
    <s v=""/>
    <n v="7.49"/>
    <s v="--multiple--"/>
    <s v="709232"/>
    <d v="2025-10-12T21:08:22"/>
    <s v=""/>
    <s v=""/>
    <s v=""/>
    <s v=""/>
  </r>
  <r>
    <s v="197567"/>
    <s v="Basin Trucking LLC"/>
    <x v="4"/>
    <s v="Callen Elliott"/>
    <s v="Marco Rodriguez"/>
    <s v="Work in the pipe for compressor"/>
    <s v="5051024"/>
    <s v="Upstream"/>
    <s v="165892"/>
    <s v="USD"/>
    <n v="1860"/>
    <s v="Direct Entry"/>
    <s v="1"/>
    <s v="Welder"/>
    <s v="Welder"/>
    <s v="Welding Services"/>
    <d v="2025-10-09T16:27:29"/>
    <d v="2025-10-02T06:00:00"/>
    <d v="2025-10-02T18:00:00"/>
    <s v=""/>
    <s v="BOSS EAST"/>
    <s v=""/>
    <s v=""/>
    <s v=""/>
    <s v=""/>
    <s v=""/>
    <s v=""/>
    <s v=""/>
    <s v=""/>
    <s v=""/>
    <s v=""/>
    <s v=""/>
    <s v=""/>
    <s v=""/>
    <s v=""/>
    <s v=""/>
    <s v=""/>
    <s v=""/>
    <s v=""/>
    <s v=""/>
    <s v=""/>
    <s v=""/>
    <s v=""/>
    <s v="Labor"/>
    <s v=""/>
    <s v=""/>
    <s v=""/>
    <s v="8000323900"/>
    <s v="BOSS EAST BATTERY"/>
    <s v="Upstream"/>
    <s v="1046"/>
    <s v=""/>
    <s v=""/>
    <s v=""/>
    <s v=""/>
    <s v=""/>
    <s v=""/>
    <s v=""/>
    <n v="12"/>
    <s v="HR"/>
    <n v="100"/>
    <s v=""/>
    <n v="1200"/>
    <s v="--multiple--"/>
    <s v="703517"/>
    <d v="2025-10-09T16:29:56"/>
    <s v=""/>
    <s v=""/>
    <s v=""/>
    <s v=""/>
  </r>
  <r>
    <s v="211654"/>
    <s v="Basin Trucking LLC"/>
    <x v="4"/>
    <s v="Callen Elliott"/>
    <s v="Marco Rodriguez"/>
    <s v="Work on fabricating 7 adjustable support 3 for 6&quot; U-bolt and 4&quot; U-bolt"/>
    <s v="5051024"/>
    <s v="Upstream"/>
    <s v="165892"/>
    <s v="USD"/>
    <n v="630"/>
    <s v="Direct Entry"/>
    <s v="1"/>
    <s v="2&quot; ADJUSTABLE SUPPORT"/>
    <s v="2&quot; ADJUSTABLE SUPPORT"/>
    <s v=""/>
    <d v="2025-10-09T15:58:08"/>
    <d v="2025-10-03T09:00:00"/>
    <d v="2025-10-03T14:00:00"/>
    <s v=""/>
    <s v="BOSS EAST"/>
    <s v=""/>
    <s v=""/>
    <s v=""/>
    <s v=""/>
    <s v=""/>
    <s v=""/>
    <s v=""/>
    <s v=""/>
    <s v=""/>
    <s v=""/>
    <s v=""/>
    <s v=""/>
    <s v=""/>
    <s v=""/>
    <s v=""/>
    <s v=""/>
    <s v=""/>
    <s v=""/>
    <s v=""/>
    <s v=""/>
    <s v=""/>
    <s v=""/>
    <s v="Material"/>
    <s v=""/>
    <s v=""/>
    <s v=""/>
    <s v="8000323900"/>
    <s v="BOSS EAST BATTERY"/>
    <s v="Upstream"/>
    <s v="1046"/>
    <s v=""/>
    <s v=""/>
    <s v=""/>
    <s v=""/>
    <s v=""/>
    <s v=""/>
    <s v=""/>
    <n v="7"/>
    <s v="EA"/>
    <n v="90"/>
    <s v=""/>
    <n v="630"/>
    <s v="--multiple--"/>
    <s v="703517"/>
    <d v="2025-10-09T16:00:39"/>
    <s v=""/>
    <s v=""/>
    <s v=""/>
    <s v=""/>
  </r>
  <r>
    <s v="MD2699529"/>
    <s v="Jet Specialty Inc"/>
    <x v="4"/>
    <s v="Callen Elliott"/>
    <s v="P.A. Gonzales"/>
    <s v="LEASE: CAUBLE 21-30 BATTERY; BUYER: CORY SULLIVAN;"/>
    <s v="5051024"/>
    <s v="Upstream"/>
    <s v=""/>
    <s v="USD"/>
    <n v="373.86"/>
    <s v="API"/>
    <s v="1"/>
    <s v="701052"/>
    <s v="2&quot; 600# C/S RF BLIND FLANGE"/>
    <s v="2&quot; 600 C/S RF BLIND"/>
    <d v="2025-10-09T15:24:02"/>
    <d v="2025-09-18T00:00:00"/>
    <d v="2025-09-18T00:00:00"/>
    <s v=""/>
    <s v=""/>
    <s v=""/>
    <s v=""/>
    <s v=""/>
    <s v=""/>
    <s v=""/>
    <s v=""/>
    <s v=""/>
    <s v=""/>
    <s v=""/>
    <s v=""/>
    <s v=""/>
    <s v=""/>
    <s v=""/>
    <s v=""/>
    <s v=""/>
    <s v=""/>
    <s v=""/>
    <s v=""/>
    <s v=""/>
    <s v=""/>
    <s v=""/>
    <s v=""/>
    <s v="Material"/>
    <s v=""/>
    <s v=""/>
    <s v=""/>
    <s v="8300087000"/>
    <s v="CAUBLE 21-30 BATTERY"/>
    <s v="Upstream"/>
    <s v="1046"/>
    <s v=""/>
    <s v=""/>
    <s v=""/>
    <s v=""/>
    <s v=""/>
    <s v=""/>
    <s v=""/>
    <n v="2"/>
    <s v="EA"/>
    <n v="43.76"/>
    <s v=""/>
    <n v="87.52"/>
    <s v="--multiple--"/>
    <s v="708023"/>
    <d v="2025-10-09T15:24:02"/>
    <s v=""/>
    <s v=""/>
    <s v=""/>
    <s v=""/>
  </r>
  <r>
    <s v="217669"/>
    <s v="S&amp;R Compression LLC"/>
    <x v="3"/>
    <s v="Hector Gonzalez"/>
    <s v="Cody Rogers"/>
    <s v="VAPOR RECOVERY UNIT 23053"/>
    <s v="5051064"/>
    <s v="Upstream"/>
    <s v=""/>
    <s v="USD"/>
    <n v="6714"/>
    <s v="Direct Entry"/>
    <s v="1"/>
    <s v="VAPOR RECOVERY"/>
    <s v="VAPOR RECOVERY"/>
    <s v=""/>
    <d v="2025-09-23T09:04:16"/>
    <d v="2025-09-01T00:00:00"/>
    <d v="2025-09-30T00:00:00"/>
    <s v=""/>
    <s v=""/>
    <s v=""/>
    <s v=""/>
    <s v=""/>
    <s v=""/>
    <s v=""/>
    <s v=""/>
    <s v=""/>
    <s v=""/>
    <s v=""/>
    <s v=""/>
    <s v=""/>
    <s v=""/>
    <s v=""/>
    <s v=""/>
    <s v=""/>
    <s v=""/>
    <s v=""/>
    <s v=""/>
    <s v=""/>
    <s v=""/>
    <s v=""/>
    <s v=""/>
    <s v="Equipment"/>
    <s v=""/>
    <s v=""/>
    <s v=""/>
    <s v="8000326600"/>
    <s v="MABEE 14-9 BATTERY"/>
    <s v="Upstream"/>
    <s v="1046"/>
    <s v=""/>
    <s v=""/>
    <s v=""/>
    <s v=""/>
    <s v=""/>
    <s v=""/>
    <s v=""/>
    <n v="1"/>
    <s v="EA"/>
    <n v="6350"/>
    <s v=""/>
    <n v="6350"/>
    <s v="--multiple--"/>
    <s v="709323"/>
    <d v="2025-09-29T15:48:31"/>
    <s v=""/>
    <s v=""/>
    <s v=""/>
    <s v=""/>
  </r>
  <r>
    <s v="51119907"/>
    <s v="Lufkin US Acquisition Company LLC"/>
    <x v="3"/>
    <s v="Ryan Brantley"/>
    <s v="Cody Rogers"/>
    <s v="MATERIAL"/>
    <s v="5051035"/>
    <s v="Upstream"/>
    <s v=""/>
    <s v="USD"/>
    <n v="5010"/>
    <s v="Direct Entry"/>
    <s v="1"/>
    <s v="300000003182"/>
    <s v="WM2 RP PDK AC AP0 WF EX P0 R0 IS0 L0 G0"/>
    <s v="300000003182"/>
    <d v="2025-10-02T13:18:27"/>
    <d v="2025-10-02T00:00:00"/>
    <d v="2025-10-02T00:00:00"/>
    <s v=""/>
    <s v="MABEE DGH3 15WA"/>
    <s v=""/>
    <s v=""/>
    <s v=""/>
    <s v=""/>
    <s v=""/>
    <s v=""/>
    <s v=""/>
    <s v=""/>
    <s v=""/>
    <s v=""/>
    <s v=""/>
    <s v=""/>
    <s v=""/>
    <s v=""/>
    <s v=""/>
    <s v=""/>
    <s v=""/>
    <s v=""/>
    <s v=""/>
    <s v=""/>
    <s v=""/>
    <s v=""/>
    <s v="Equipment"/>
    <s v=""/>
    <s v=""/>
    <s v=""/>
    <s v="1000416700"/>
    <s v="MABEE DGH3 15WA"/>
    <s v="Upstream"/>
    <s v="1046"/>
    <s v=""/>
    <s v=""/>
    <s v=""/>
    <s v=""/>
    <s v=""/>
    <s v=""/>
    <s v=""/>
    <n v="1"/>
    <s v="EA"/>
    <n v="3080"/>
    <s v=""/>
    <n v="3080"/>
    <s v="--multiple--"/>
    <s v="706723"/>
    <d v="2025-10-02T13:19:40"/>
    <s v=""/>
    <s v=""/>
    <s v=""/>
    <s v=""/>
  </r>
  <r>
    <s v="285203"/>
    <s v="Cowboy Pump &amp; Supply"/>
    <x v="7"/>
    <s v="Cesar Galindo"/>
    <s v="Colby Brunson"/>
    <s v="PARTS DELIVERED"/>
    <s v="5051049"/>
    <s v="Upstream"/>
    <s v=""/>
    <s v="USD"/>
    <n v="3182.59"/>
    <s v="Direct Entry"/>
    <s v="1"/>
    <s v="99-IBOMATERIALS"/>
    <s v="3&quot; 5K PIPER VALVE THRD ENDS"/>
    <s v="PRODUCTION MAINTENANCE"/>
    <d v="2025-10-09T16:41:30"/>
    <d v="2025-06-04T00:00:00"/>
    <d v="2025-06-04T00:00:00"/>
    <s v=""/>
    <s v=""/>
    <s v=""/>
    <s v=""/>
    <s v=""/>
    <s v=""/>
    <s v=""/>
    <s v=""/>
    <s v=""/>
    <s v=""/>
    <s v=""/>
    <s v=""/>
    <s v=""/>
    <s v=""/>
    <s v=""/>
    <s v=""/>
    <s v=""/>
    <s v=""/>
    <s v=""/>
    <s v=""/>
    <s v=""/>
    <s v=""/>
    <s v=""/>
    <s v=""/>
    <s v="Material"/>
    <s v=""/>
    <s v=""/>
    <s v=""/>
    <s v="1001515200"/>
    <s v="RIO SABINE 39-42 UNIT 1 214"/>
    <s v="Upstream"/>
    <s v="1046"/>
    <s v=""/>
    <s v=""/>
    <s v=""/>
    <s v=""/>
    <s v=""/>
    <s v=""/>
    <s v=""/>
    <n v="1"/>
    <s v="EA"/>
    <n v="3182.59"/>
    <s v=""/>
    <n v="3182.59"/>
    <s v="E-Maintenance"/>
    <s v="703921"/>
    <d v="2025-10-09T16:43:08"/>
    <s v=""/>
    <s v=""/>
    <s v=""/>
    <s v=""/>
  </r>
  <r>
    <s v="430877"/>
    <s v="Diamond Pump and Transport, LLC"/>
    <x v="3"/>
    <s v="Bud Wilson"/>
    <s v="Perry Jamison"/>
    <s v="430877-LAOD GALS BIO AND WATER AT BAT TO HO"/>
    <s v="5051057"/>
    <s v="Upstream"/>
    <s v=""/>
    <s v="USD"/>
    <n v="380"/>
    <s v="Direct Entry"/>
    <s v="1"/>
    <s v="VACUUM TRUCK"/>
    <s v="Vac Truck"/>
    <s v=""/>
    <d v="2025-10-11T09:26:13"/>
    <d v="2025-10-03T05:00:00"/>
    <d v="2025-10-03T09:00:00"/>
    <d v="1899-12-30T04:00:00"/>
    <s v="MABEE BREEDLOVE H 2406JM"/>
    <s v=""/>
    <s v=""/>
    <s v="*"/>
    <s v=""/>
    <s v=""/>
    <s v=""/>
    <s v=""/>
    <s v=""/>
    <s v=""/>
    <s v=""/>
    <s v=""/>
    <s v=""/>
    <s v=""/>
    <s v=""/>
    <s v=""/>
    <s v=""/>
    <s v=""/>
    <s v=""/>
    <s v=""/>
    <s v=""/>
    <n v="0"/>
    <s v="bbl"/>
    <s v=""/>
    <s v=""/>
    <s v=""/>
    <s v=""/>
    <s v="1000232500"/>
    <s v="MABEE BREEDLOVE H 2406JM"/>
    <s v="Upstream"/>
    <s v="1046"/>
    <s v=""/>
    <s v=""/>
    <s v=""/>
    <s v=""/>
    <s v=""/>
    <s v=""/>
    <s v="Hours Worked"/>
    <n v="4"/>
    <s v="hour"/>
    <n v="95"/>
    <s v=""/>
    <n v="380"/>
    <s v="Pricebook"/>
    <s v="705890"/>
    <d v="2025-10-11T09:28:05"/>
    <s v=""/>
    <s v=""/>
    <s v=""/>
    <s v=""/>
  </r>
  <r>
    <s v="430878"/>
    <s v="Diamond Pump and Transport, LLC"/>
    <x v="3"/>
    <s v="Bud Wilson"/>
    <s v="Perry Jamison"/>
    <s v="430878-LAOD WATER AND BIO AT BAT TO HO"/>
    <s v="5051057"/>
    <s v="Upstream"/>
    <s v=""/>
    <s v="USD"/>
    <n v="190"/>
    <s v="Direct Entry"/>
    <s v="1"/>
    <s v="VACUUM TRUCK"/>
    <s v="Vac Truck"/>
    <s v=""/>
    <d v="2025-10-11T09:23:53"/>
    <d v="2025-10-03T09:00:00"/>
    <d v="2025-10-03T11:00:00"/>
    <d v="1899-12-30T02:00:00"/>
    <s v="MABEE BREEDLOVE J 2406WA"/>
    <s v=""/>
    <s v=""/>
    <s v="*"/>
    <s v=""/>
    <s v=""/>
    <s v=""/>
    <s v=""/>
    <s v=""/>
    <s v=""/>
    <s v=""/>
    <s v=""/>
    <s v=""/>
    <s v=""/>
    <s v=""/>
    <s v=""/>
    <s v=""/>
    <s v=""/>
    <s v=""/>
    <s v=""/>
    <s v=""/>
    <n v="0"/>
    <s v="bbl"/>
    <s v=""/>
    <s v=""/>
    <s v=""/>
    <s v=""/>
    <s v="1000232600"/>
    <s v="MABEE BREEDLOVE J 2406WA"/>
    <s v="Upstream"/>
    <s v="1046"/>
    <s v=""/>
    <s v=""/>
    <s v=""/>
    <s v=""/>
    <s v=""/>
    <s v=""/>
    <s v="Hours Worked"/>
    <n v="2"/>
    <s v="hour"/>
    <n v="95"/>
    <s v=""/>
    <n v="190"/>
    <s v="Pricebook"/>
    <s v="705890"/>
    <d v="2025-10-11T09:25:12"/>
    <s v=""/>
    <s v=""/>
    <s v=""/>
    <s v=""/>
  </r>
  <r>
    <s v="08-248690"/>
    <s v="Milestone Environmental Services, LLC"/>
    <x v="2"/>
    <s v="Cesar Galindo"/>
    <s v="Colby Brunson"/>
    <s v="Disposal Ticket"/>
    <s v="5051013"/>
    <s v="Upstream"/>
    <s v=""/>
    <s v="USD"/>
    <n v="650"/>
    <s v="B2B"/>
    <s v="1"/>
    <s v="ODW"/>
    <s v="Oily Dirty Water"/>
    <s v="WATER"/>
    <d v="2025-09-11T06:05:48"/>
    <d v="2025-09-07T06:15:00"/>
    <d v="2025-09-07T06:45:00"/>
    <d v="1899-12-30T01:00:00"/>
    <s v="NEFF RECYCLE FACILITY"/>
    <s v=""/>
    <s v=""/>
    <s v="ODW"/>
    <s v=""/>
    <s v=""/>
    <s v=""/>
    <s v=""/>
    <n v="0"/>
    <s v=""/>
    <s v=""/>
    <s v=""/>
    <s v=""/>
    <s v=""/>
    <s v=""/>
    <s v=""/>
    <s v=""/>
    <s v=""/>
    <s v=""/>
    <s v=""/>
    <s v="Imperial"/>
    <n v="130"/>
    <s v="bbl"/>
    <s v=""/>
    <s v=""/>
    <s v=""/>
    <s v=""/>
    <s v="8100152700"/>
    <s v="NEFF RECYCLE FACILITY"/>
    <s v="Upstream"/>
    <s v="1046"/>
    <s v=""/>
    <s v=""/>
    <s v=""/>
    <s v=""/>
    <s v=""/>
    <s v=""/>
    <s v="Other"/>
    <n v="130"/>
    <s v="BBL"/>
    <n v="5"/>
    <s v=""/>
    <n v="650"/>
    <s v="Pricebook"/>
    <s v="708539"/>
    <d v="2025-09-15T10:33:56"/>
    <s v=""/>
    <s v=""/>
    <s v=""/>
    <s v=""/>
  </r>
  <r>
    <s v="430879"/>
    <s v="Diamond Pump and Transport, LLC"/>
    <x v="3"/>
    <s v="Bud Wilson"/>
    <s v="Perry Jamison"/>
    <s v="430879-LOAD WATER AND BIO AT BAT TO HO"/>
    <s v="5051057"/>
    <s v="Upstream"/>
    <s v=""/>
    <s v="USD"/>
    <n v="190"/>
    <s v="Direct Entry"/>
    <s v="1"/>
    <s v="VACUUM TRUCK"/>
    <s v="Vac Truck"/>
    <s v=""/>
    <d v="2025-10-11T09:21:38"/>
    <d v="2025-10-03T11:00:00"/>
    <d v="2025-10-03T13:00:00"/>
    <d v="1899-12-30T02:00:00"/>
    <s v="MABEE BREEDLOVE I 2406LS"/>
    <s v=""/>
    <s v=""/>
    <s v="*"/>
    <s v=""/>
    <s v=""/>
    <s v=""/>
    <s v=""/>
    <s v=""/>
    <s v=""/>
    <s v=""/>
    <s v=""/>
    <s v=""/>
    <s v=""/>
    <s v=""/>
    <s v=""/>
    <s v=""/>
    <s v=""/>
    <s v=""/>
    <s v=""/>
    <s v=""/>
    <n v="0"/>
    <s v="bbl"/>
    <s v=""/>
    <s v=""/>
    <s v=""/>
    <s v=""/>
    <s v="1000243700"/>
    <s v="MABEE BREEDLOVE I 2406LS"/>
    <s v="Upstream"/>
    <s v="1046"/>
    <s v=""/>
    <s v=""/>
    <s v=""/>
    <s v=""/>
    <s v=""/>
    <s v=""/>
    <s v="Hours Worked"/>
    <n v="2"/>
    <s v="hour"/>
    <n v="95"/>
    <s v=""/>
    <n v="190"/>
    <s v="Pricebook"/>
    <s v="705890"/>
    <d v="2025-10-11T09:22:48"/>
    <s v=""/>
    <s v=""/>
    <s v=""/>
    <s v=""/>
  </r>
  <r>
    <s v="430880"/>
    <s v="Diamond Pump and Transport, LLC"/>
    <x v="3"/>
    <s v="Bud Wilson"/>
    <s v="Perry Jamison"/>
    <s v="430880-LOAD WATE RAND BIO AT BAT TO HO"/>
    <s v="5051057"/>
    <s v="Upstream"/>
    <s v=""/>
    <s v="USD"/>
    <n v="570"/>
    <s v="Direct Entry"/>
    <s v="1"/>
    <s v="VACUUM TRUCK"/>
    <s v="Vac Truck"/>
    <s v=""/>
    <d v="2025-10-11T09:18:46"/>
    <d v="2025-10-03T13:00:00"/>
    <d v="2025-10-03T19:00:00"/>
    <d v="1899-12-30T06:00:00"/>
    <s v="MABEE BREEDLOVE K 2406WB"/>
    <s v=""/>
    <s v=""/>
    <s v="*"/>
    <s v=""/>
    <s v=""/>
    <s v=""/>
    <s v=""/>
    <s v=""/>
    <s v=""/>
    <s v=""/>
    <s v=""/>
    <s v=""/>
    <s v=""/>
    <s v=""/>
    <s v=""/>
    <s v=""/>
    <s v=""/>
    <s v=""/>
    <s v=""/>
    <s v=""/>
    <n v="0"/>
    <s v="bbl"/>
    <s v=""/>
    <s v=""/>
    <s v=""/>
    <s v=""/>
    <s v="1000232700"/>
    <s v="MABEE BREEDLOVE K 2406WB"/>
    <s v="Upstream"/>
    <s v="1046"/>
    <s v=""/>
    <s v=""/>
    <s v=""/>
    <s v=""/>
    <s v=""/>
    <s v=""/>
    <s v="Hours Worked"/>
    <n v="6"/>
    <s v="hour"/>
    <n v="95"/>
    <s v=""/>
    <n v="570"/>
    <s v="Pricebook"/>
    <s v="705890"/>
    <d v="2025-10-11T09:20:58"/>
    <s v=""/>
    <s v=""/>
    <s v=""/>
    <s v=""/>
  </r>
  <r>
    <s v="430885"/>
    <s v="Diamond Pump and Transport, LLC"/>
    <x v="3"/>
    <s v="Bud Wilson"/>
    <s v="Perry Jamison"/>
    <s v="430885-LAOD GSL BIO AT YELLOW ROSE-TAKE TO HO PULL VAC"/>
    <s v="5051057"/>
    <s v="Upstream"/>
    <s v=""/>
    <s v="USD"/>
    <n v="522.5"/>
    <s v="Direct Entry"/>
    <s v="1"/>
    <s v="VACUUM TRUCK"/>
    <s v="Vac Truck"/>
    <s v=""/>
    <d v="2025-10-13T14:58:24"/>
    <d v="2025-10-07T05:00:00"/>
    <d v="2025-10-07T10:30:00"/>
    <d v="1899-12-30T05:30:00"/>
    <s v="MABEE BREEDLOVE 2306WB"/>
    <s v=""/>
    <s v=""/>
    <s v="*"/>
    <s v=""/>
    <s v=""/>
    <s v=""/>
    <s v=""/>
    <s v=""/>
    <s v=""/>
    <s v=""/>
    <s v=""/>
    <s v=""/>
    <s v=""/>
    <s v=""/>
    <s v=""/>
    <s v=""/>
    <s v=""/>
    <s v=""/>
    <s v=""/>
    <s v=""/>
    <n v="0"/>
    <s v="bbl"/>
    <s v=""/>
    <s v=""/>
    <s v=""/>
    <s v=""/>
    <s v="1000461400"/>
    <s v="MABEE BREEDLOVE 2306WB"/>
    <s v="Upstream"/>
    <s v="1046"/>
    <s v=""/>
    <s v=""/>
    <s v=""/>
    <s v=""/>
    <s v=""/>
    <s v=""/>
    <s v="Hours Worked"/>
    <n v="5.5"/>
    <s v="hour"/>
    <n v="95"/>
    <s v=""/>
    <n v="522.5"/>
    <s v="Pricebook"/>
    <s v="705890"/>
    <d v="2025-10-13T15:00:23"/>
    <s v=""/>
    <s v=""/>
    <s v=""/>
    <s v=""/>
  </r>
  <r>
    <s v="430886"/>
    <s v="Diamond Pump and Transport, LLC"/>
    <x v="3"/>
    <s v="Bud Wilson"/>
    <s v="Perry Jamison"/>
    <s v="430886-LAOD WATER AT FRAC TANK TAKE TO HO"/>
    <s v="5051057"/>
    <s v="Upstream"/>
    <s v=""/>
    <s v="USD"/>
    <n v="380"/>
    <s v="Direct Entry"/>
    <s v="1"/>
    <s v="VACUUM TRUCK"/>
    <s v="Vac Truck"/>
    <s v=""/>
    <d v="2025-10-13T14:49:14"/>
    <d v="2025-10-07T10:30:00"/>
    <d v="2025-10-07T14:30:00"/>
    <d v="1899-12-30T04:00:00"/>
    <s v="INTEGRITY BAT"/>
    <s v=""/>
    <s v=""/>
    <s v="*"/>
    <s v=""/>
    <s v=""/>
    <s v=""/>
    <s v=""/>
    <s v=""/>
    <s v=""/>
    <s v=""/>
    <s v=""/>
    <s v=""/>
    <s v=""/>
    <s v=""/>
    <s v=""/>
    <s v=""/>
    <s v=""/>
    <s v=""/>
    <s v=""/>
    <s v=""/>
    <n v="0"/>
    <s v="bbl"/>
    <s v=""/>
    <s v=""/>
    <s v=""/>
    <s v=""/>
    <s v="8000112000"/>
    <s v="INTEGRITY BATTERY"/>
    <s v="Upstream"/>
    <s v="1046"/>
    <s v=""/>
    <s v=""/>
    <s v=""/>
    <s v=""/>
    <s v=""/>
    <s v=""/>
    <s v="Hours Worked"/>
    <n v="4"/>
    <s v="hour"/>
    <n v="95"/>
    <s v=""/>
    <n v="380"/>
    <s v="Pricebook"/>
    <s v="705890"/>
    <d v="2025-10-13T14:57:12"/>
    <s v=""/>
    <s v=""/>
    <s v=""/>
    <s v=""/>
  </r>
  <r>
    <s v="338269"/>
    <s v="Lufkin US Acquisition Company LLC"/>
    <x v="3"/>
    <s v="Cesar Galindo"/>
    <s v="Colby Brunson"/>
    <s v="PICKED UP BRIDLE, DROVE TO LOCATION, SAFETY MEETING, L.O.T.O., CHAIN AND BOOMER, UNHUNG RODS, CHANGED OUT BRIDLE, HUNG ON RODS, AND TEST RAN UNIT."/>
    <s v="5051035"/>
    <s v="Upstream"/>
    <s v=""/>
    <s v="USD"/>
    <n v="3285"/>
    <s v="Direct Entry"/>
    <s v="1"/>
    <s v="CABLE001BR"/>
    <s v="BRIDLE, VARIOUS SIZES"/>
    <s v=""/>
    <d v="2025-10-01T14:17:50"/>
    <d v="2025-09-22T06:00:00"/>
    <d v="2025-09-22T11:00:00"/>
    <s v=""/>
    <s v=""/>
    <s v=""/>
    <s v=""/>
    <s v=""/>
    <s v=""/>
    <s v=""/>
    <s v=""/>
    <s v=""/>
    <s v=""/>
    <s v=""/>
    <s v=""/>
    <s v=""/>
    <s v=""/>
    <s v=""/>
    <s v=""/>
    <s v=""/>
    <s v=""/>
    <s v=""/>
    <s v=""/>
    <s v=""/>
    <s v=""/>
    <s v=""/>
    <s v=""/>
    <s v="Material"/>
    <s v=""/>
    <s v=""/>
    <s v=""/>
    <s v="1001280900"/>
    <s v="DAVIDSON F 204"/>
    <s v="Upstream"/>
    <s v="1046"/>
    <s v=""/>
    <s v=""/>
    <s v=""/>
    <s v=""/>
    <s v=""/>
    <s v=""/>
    <s v=""/>
    <n v="1"/>
    <s v="EA"/>
    <n v="1000"/>
    <s v=""/>
    <n v="1000"/>
    <s v="--multiple--"/>
    <s v="706723"/>
    <d v="2025-10-01T14:19:06"/>
    <s v=""/>
    <s v=""/>
    <s v=""/>
    <s v=""/>
  </r>
  <r>
    <s v="MD2699586"/>
    <s v="Jet Specialty Inc"/>
    <x v="4"/>
    <s v="Callen Elliott"/>
    <s v="P.A. Gonzales"/>
    <s v="LEASE: CAUBLE 21-30 CC: 8300087000; BUYER: CORY SULLIVAN/ JONATHAN SULLIVAN/ CRISTOBAL;"/>
    <s v="5051024"/>
    <s v="Upstream"/>
    <s v=""/>
    <s v="USD"/>
    <n v="173.55"/>
    <s v="API"/>
    <s v="1"/>
    <s v="7009773"/>
    <s v="2-1/16&quot; 5K BLIND FLANGE"/>
    <s v=""/>
    <d v="2025-10-09T15:31:13"/>
    <d v="2025-09-22T00:00:00"/>
    <d v="2025-09-22T00:00:00"/>
    <s v=""/>
    <s v=""/>
    <s v=""/>
    <s v=""/>
    <s v=""/>
    <s v=""/>
    <s v=""/>
    <s v=""/>
    <s v=""/>
    <s v=""/>
    <s v=""/>
    <s v=""/>
    <s v=""/>
    <s v=""/>
    <s v=""/>
    <s v=""/>
    <s v=""/>
    <s v=""/>
    <s v=""/>
    <s v=""/>
    <s v=""/>
    <s v=""/>
    <s v=""/>
    <s v=""/>
    <s v="Material"/>
    <s v=""/>
    <s v=""/>
    <s v=""/>
    <s v="8300087000"/>
    <s v="CAUBLE 21-30 BATTERY"/>
    <s v="Upstream"/>
    <s v="1046"/>
    <s v=""/>
    <s v=""/>
    <s v=""/>
    <s v=""/>
    <s v=""/>
    <s v=""/>
    <s v=""/>
    <n v="1"/>
    <s v="EA"/>
    <n v="132.93"/>
    <s v=""/>
    <n v="132.93"/>
    <s v="--multiple--"/>
    <s v="708023"/>
    <d v="2025-10-09T15:31:13"/>
    <s v=""/>
    <s v=""/>
    <s v=""/>
    <s v=""/>
  </r>
  <r>
    <s v="11-184703"/>
    <s v="Milestone Environmental Services, LLC"/>
    <x v="2"/>
    <s v="Cesar Galindo"/>
    <s v="Colby Brunson"/>
    <s v="Disposal Ticket"/>
    <s v="5051013"/>
    <s v="Upstream"/>
    <s v=""/>
    <s v="USD"/>
    <n v="200"/>
    <s v="B2B"/>
    <s v="2"/>
    <s v="WO"/>
    <s v="Washout"/>
    <s v="Truck Washout (first 1.5 hours)"/>
    <d v="2025-10-02T07:31:06"/>
    <d v="2025-09-24T21:56:00"/>
    <d v="2025-09-24T22:56:00"/>
    <d v="1899-12-30T01:00:00"/>
    <s v="PARKS 28 3"/>
    <s v=""/>
    <s v=""/>
    <s v="WO"/>
    <s v=""/>
    <s v=""/>
    <s v=""/>
    <s v=""/>
    <n v="0"/>
    <s v=""/>
    <s v=""/>
    <s v=""/>
    <s v=""/>
    <s v=""/>
    <s v=""/>
    <s v=""/>
    <s v=""/>
    <s v=""/>
    <s v=""/>
    <s v=""/>
    <s v="Imperial"/>
    <n v="1"/>
    <s v="bbl"/>
    <s v=""/>
    <s v=""/>
    <s v=""/>
    <s v=""/>
    <s v="1001246200"/>
    <s v="PARKS 28 3"/>
    <s v="Upstream"/>
    <s v="1046"/>
    <s v=""/>
    <s v=""/>
    <s v=""/>
    <s v=""/>
    <s v=""/>
    <s v=""/>
    <s v="Other"/>
    <n v="1"/>
    <s v="EA"/>
    <n v="200"/>
    <s v=""/>
    <n v="200"/>
    <s v="Pricebook"/>
    <s v="708539"/>
    <d v="2025-10-07T13:57:48"/>
    <s v=""/>
    <s v=""/>
    <s v=""/>
    <s v=""/>
  </r>
  <r>
    <s v="430887"/>
    <s v="Diamond Pump and Transport, LLC"/>
    <x v="3"/>
    <s v="Bud Wilson"/>
    <s v="Perry Jamison"/>
    <s v="430887-HAULED WATER TO HO"/>
    <s v="5051057"/>
    <s v="Upstream"/>
    <s v=""/>
    <s v="USD"/>
    <n v="427.5"/>
    <s v="Direct Entry"/>
    <s v="1"/>
    <s v="VACUUM TRUCK"/>
    <s v="Vac Truck"/>
    <s v=""/>
    <d v="2025-10-13T14:23:41"/>
    <d v="2025-10-07T14:30:00"/>
    <d v="2025-10-07T19:00:00"/>
    <d v="1899-12-30T04:30:00"/>
    <s v="YATES WM 4"/>
    <s v=""/>
    <s v=""/>
    <s v="*"/>
    <s v=""/>
    <s v=""/>
    <s v=""/>
    <s v=""/>
    <s v=""/>
    <s v=""/>
    <s v=""/>
    <s v=""/>
    <s v=""/>
    <s v=""/>
    <s v=""/>
    <s v=""/>
    <s v=""/>
    <s v=""/>
    <s v=""/>
    <s v=""/>
    <s v=""/>
    <n v="0"/>
    <s v="bbl"/>
    <s v=""/>
    <s v=""/>
    <s v=""/>
    <s v=""/>
    <s v="1001333300"/>
    <s v="YATES WM 4"/>
    <s v="Upstream"/>
    <s v="1046"/>
    <s v=""/>
    <s v=""/>
    <s v=""/>
    <s v=""/>
    <s v=""/>
    <s v=""/>
    <s v="Hours Worked"/>
    <n v="4.5"/>
    <s v="hour"/>
    <n v="95"/>
    <s v=""/>
    <n v="427.5"/>
    <s v="Pricebook"/>
    <s v="705890"/>
    <d v="2025-10-13T14:25:41"/>
    <s v=""/>
    <s v=""/>
    <s v=""/>
    <s v=""/>
  </r>
  <r>
    <s v="430889"/>
    <s v="Diamond Pump and Transport, LLC"/>
    <x v="3"/>
    <s v="Bud Wilson"/>
    <s v="Perry Jamison"/>
    <s v="430889-LAOD WATER AT CAB BAT AND BIO TO HO"/>
    <s v="5051057"/>
    <s v="Upstream"/>
    <s v=""/>
    <s v="USD"/>
    <n v="190"/>
    <s v="Direct Entry"/>
    <s v="1"/>
    <s v="VACUUM TRUCK"/>
    <s v="Vac Truck"/>
    <s v=""/>
    <d v="2025-10-13T13:56:18"/>
    <d v="2025-10-08T11:00:00"/>
    <d v="2025-10-08T13:00:00"/>
    <d v="1899-12-30T02:00:00"/>
    <s v="MABEE BREEDLOVE 2403LS"/>
    <s v=""/>
    <s v=""/>
    <s v="*"/>
    <s v=""/>
    <s v=""/>
    <s v=""/>
    <s v=""/>
    <s v=""/>
    <s v=""/>
    <s v=""/>
    <s v=""/>
    <s v=""/>
    <s v=""/>
    <s v=""/>
    <s v=""/>
    <s v=""/>
    <s v=""/>
    <s v=""/>
    <s v=""/>
    <s v=""/>
    <n v="0"/>
    <s v="bbl"/>
    <s v=""/>
    <s v=""/>
    <s v=""/>
    <s v=""/>
    <s v="1000278300"/>
    <s v="MABEE BREEDLOVE X 2403LS"/>
    <s v="Upstream"/>
    <s v="1046"/>
    <s v=""/>
    <s v=""/>
    <s v=""/>
    <s v=""/>
    <s v=""/>
    <s v=""/>
    <s v="Hours Worked"/>
    <n v="2"/>
    <s v="hour"/>
    <n v="95"/>
    <s v=""/>
    <n v="190"/>
    <s v="Pricebook"/>
    <s v="705890"/>
    <d v="2025-10-13T13:57:35"/>
    <s v=""/>
    <s v=""/>
    <s v=""/>
    <s v=""/>
  </r>
  <r>
    <s v="430890"/>
    <s v="Diamond Pump and Transport, LLC"/>
    <x v="3"/>
    <s v="Bud Wilson"/>
    <s v="Perry Jamison"/>
    <s v="430890-LOAD WATER AT CAB BAT TAKE TO HO"/>
    <s v="5051057"/>
    <s v="Upstream"/>
    <s v=""/>
    <s v="USD"/>
    <n v="142.5"/>
    <s v="Direct Entry"/>
    <s v="1"/>
    <s v="VACUUM TRUCK"/>
    <s v="Vac Truck"/>
    <s v=""/>
    <d v="2025-10-13T14:03:35"/>
    <d v="2025-10-08T13:00:00"/>
    <d v="2025-10-08T14:30:00"/>
    <d v="1899-12-30T01:30:00"/>
    <s v="MABEE BREEDLOVE L 2401LS"/>
    <s v=""/>
    <s v=""/>
    <s v="*"/>
    <s v=""/>
    <s v=""/>
    <s v=""/>
    <s v=""/>
    <s v=""/>
    <s v=""/>
    <s v=""/>
    <s v=""/>
    <s v=""/>
    <s v=""/>
    <s v=""/>
    <s v=""/>
    <s v=""/>
    <s v=""/>
    <s v=""/>
    <s v=""/>
    <s v=""/>
    <n v="0"/>
    <s v="bbl"/>
    <s v=""/>
    <s v=""/>
    <s v=""/>
    <s v=""/>
    <s v="1000278100"/>
    <s v="MABEE BREEDLOVE L 2401LS"/>
    <s v="Upstream"/>
    <s v="1046"/>
    <s v=""/>
    <s v=""/>
    <s v=""/>
    <s v=""/>
    <s v=""/>
    <s v=""/>
    <s v="Hours Worked"/>
    <n v="1.5"/>
    <s v="hour"/>
    <n v="95"/>
    <s v=""/>
    <n v="142.5"/>
    <s v="Pricebook"/>
    <s v="705890"/>
    <d v="2025-10-13T14:04:52"/>
    <s v=""/>
    <s v=""/>
    <s v=""/>
    <s v=""/>
  </r>
  <r>
    <s v="430891"/>
    <s v="Diamond Pump and Transport, LLC"/>
    <x v="3"/>
    <s v="Bud Wilson"/>
    <s v="Perry Jamison"/>
    <s v="430891-TO HO ONE TRUCK FRONT"/>
    <s v="5051057"/>
    <s v="Upstream"/>
    <s v=""/>
    <s v="USD"/>
    <n v="403.75"/>
    <s v="Direct Entry"/>
    <s v="1"/>
    <s v="VACUUM TRUCK"/>
    <s v="Vac Truck"/>
    <s v=""/>
    <d v="2025-10-13T14:06:38"/>
    <d v="2025-10-08T14:30:00"/>
    <d v="2025-10-08T18:45:00"/>
    <d v="1899-12-30T04:15:00"/>
    <s v="MABEE BREEDLOVE AD 2405MS"/>
    <s v=""/>
    <s v=""/>
    <s v="*"/>
    <s v=""/>
    <s v=""/>
    <s v=""/>
    <s v=""/>
    <s v=""/>
    <s v=""/>
    <s v=""/>
    <s v=""/>
    <s v=""/>
    <s v=""/>
    <s v=""/>
    <s v=""/>
    <s v=""/>
    <s v=""/>
    <s v=""/>
    <s v=""/>
    <s v=""/>
    <n v="0"/>
    <s v="bbl"/>
    <s v=""/>
    <s v=""/>
    <s v=""/>
    <s v=""/>
    <s v="1000277400"/>
    <s v="MABEE BREEDLOVE AD 2405MS"/>
    <s v="Upstream"/>
    <s v="1046"/>
    <s v=""/>
    <s v=""/>
    <s v=""/>
    <s v=""/>
    <s v=""/>
    <s v=""/>
    <s v="Hours Worked"/>
    <n v="4.25"/>
    <s v="hour"/>
    <n v="95"/>
    <s v=""/>
    <n v="403.75"/>
    <s v="Pricebook"/>
    <s v="705890"/>
    <d v="2025-10-13T14:08:15"/>
    <s v=""/>
    <s v=""/>
    <s v=""/>
    <s v=""/>
  </r>
  <r>
    <s v="430899"/>
    <s v="Diamond Pump and Transport, LLC"/>
    <x v="3"/>
    <s v="Bud Wilson"/>
    <s v="Perry Jamison"/>
    <s v="430899-LAOD WATER FROM FRAC TNK TO HO"/>
    <s v="5051057"/>
    <s v="Upstream"/>
    <s v=""/>
    <s v="USD"/>
    <n v="285"/>
    <s v="Direct Entry"/>
    <s v="1"/>
    <s v="VACUUM TRUCK"/>
    <s v="Vac Truck"/>
    <s v=""/>
    <d v="2025-10-13T10:43:11"/>
    <d v="2025-10-10T09:00:00"/>
    <d v="2025-10-10T12:00:00"/>
    <d v="1899-12-30T03:00:00"/>
    <s v="LOMOCO 2 2"/>
    <s v=""/>
    <s v=""/>
    <s v="*"/>
    <s v=""/>
    <s v=""/>
    <s v=""/>
    <s v=""/>
    <s v=""/>
    <s v=""/>
    <s v=""/>
    <s v=""/>
    <s v=""/>
    <s v=""/>
    <s v=""/>
    <s v=""/>
    <s v=""/>
    <s v=""/>
    <s v=""/>
    <s v=""/>
    <s v=""/>
    <n v="0"/>
    <s v="bbl"/>
    <s v=""/>
    <s v=""/>
    <s v=""/>
    <s v=""/>
    <s v="1000469300"/>
    <s v="LOMOCO 2 2"/>
    <s v="Upstream"/>
    <s v="1046"/>
    <s v=""/>
    <s v=""/>
    <s v=""/>
    <s v=""/>
    <s v=""/>
    <s v=""/>
    <s v="Hours Worked"/>
    <n v="3"/>
    <s v="hour"/>
    <n v="95"/>
    <s v=""/>
    <n v="285"/>
    <s v="Pricebook"/>
    <s v="705890"/>
    <d v="2025-10-13T10:46:50"/>
    <s v=""/>
    <s v=""/>
    <s v=""/>
    <s v=""/>
  </r>
  <r>
    <s v="81660"/>
    <s v="Clearwell LLC"/>
    <x v="3"/>
    <s v="Caleb Dimas"/>
    <s v="Bill Thompson"/>
    <s v="full treatment, university 7-1627 S 14SS"/>
    <s v="5051026"/>
    <s v="Upstream"/>
    <s v=""/>
    <s v="USD"/>
    <n v="751.8"/>
    <s v="Direct Entry"/>
    <s v="1"/>
    <s v="10000020"/>
    <s v="Scheduled Program Hot Oil per BBL"/>
    <s v="Hot OIl"/>
    <d v="2025-10-12T01:12:13"/>
    <d v="2025-10-06T10:00:00"/>
    <d v="2025-10-06T13:00:00"/>
    <s v=""/>
    <s v=""/>
    <s v=""/>
    <s v=""/>
    <s v=""/>
    <s v=""/>
    <s v=""/>
    <s v=""/>
    <s v=""/>
    <s v=""/>
    <s v=""/>
    <s v=""/>
    <s v=""/>
    <s v=""/>
    <s v=""/>
    <s v=""/>
    <s v=""/>
    <s v=""/>
    <s v=""/>
    <s v=""/>
    <s v=""/>
    <s v=""/>
    <s v=""/>
    <s v=""/>
    <s v="Labor"/>
    <s v=""/>
    <s v=""/>
    <s v=""/>
    <s v="1000381900"/>
    <s v="UNIVERSITY 7-1627 S 14SS"/>
    <s v="Upstream"/>
    <s v="1046"/>
    <s v=""/>
    <s v=""/>
    <s v=""/>
    <s v=""/>
    <s v=""/>
    <s v=""/>
    <s v=""/>
    <n v="140"/>
    <s v="BBL"/>
    <n v="5.37"/>
    <s v=""/>
    <n v="751.8"/>
    <s v="--multiple--"/>
    <s v="700083"/>
    <d v="2025-10-12T01:12:57"/>
    <s v=""/>
    <s v=""/>
    <s v=""/>
    <s v=""/>
  </r>
  <r>
    <s v="81661"/>
    <s v="Clearwell LLC"/>
    <x v="3"/>
    <s v="Caleb Dimas"/>
    <s v="Bill Thompson"/>
    <s v="full treatment, ul mocking bird 13-2 E 3LS"/>
    <s v="5051026"/>
    <s v="Upstream"/>
    <s v=""/>
    <s v="USD"/>
    <n v="751.8"/>
    <s v="Direct Entry"/>
    <s v="1"/>
    <s v="10000020"/>
    <s v="Scheduled Program Hot Oil per BBL"/>
    <s v="Hot OIl"/>
    <d v="2025-10-12T01:13:53"/>
    <d v="2025-10-06T13:00:00"/>
    <d v="2025-10-06T16:00:00"/>
    <s v=""/>
    <s v=""/>
    <s v=""/>
    <s v=""/>
    <s v=""/>
    <s v=""/>
    <s v=""/>
    <s v=""/>
    <s v=""/>
    <s v=""/>
    <s v=""/>
    <s v=""/>
    <s v=""/>
    <s v=""/>
    <s v=""/>
    <s v=""/>
    <s v=""/>
    <s v=""/>
    <s v=""/>
    <s v=""/>
    <s v=""/>
    <s v=""/>
    <s v=""/>
    <s v=""/>
    <s v="Labor"/>
    <s v=""/>
    <s v=""/>
    <s v=""/>
    <s v="1000428500"/>
    <s v="UL MOCKINGBIRD 13-2 E 3LS"/>
    <s v="Upstream"/>
    <s v="1046"/>
    <s v=""/>
    <s v=""/>
    <s v=""/>
    <s v=""/>
    <s v=""/>
    <s v=""/>
    <s v=""/>
    <n v="140"/>
    <s v="BBL"/>
    <n v="5.37"/>
    <s v=""/>
    <n v="751.8"/>
    <s v="--multiple--"/>
    <s v="700083"/>
    <d v="2025-10-12T01:14:34"/>
    <s v=""/>
    <s v=""/>
    <s v=""/>
    <s v=""/>
  </r>
  <r>
    <s v="81662"/>
    <s v="Clearwell LLC"/>
    <x v="3"/>
    <s v="Caleb Dimas"/>
    <s v="Bill Thompson"/>
    <s v="full treatment, ul mockingbird 13-2 2WA"/>
    <s v="5051026"/>
    <s v="Upstream"/>
    <s v=""/>
    <s v="USD"/>
    <n v="751.8"/>
    <s v="Direct Entry"/>
    <s v="1"/>
    <s v="10000020"/>
    <s v="Scheduled Program Hot Oil per BBL"/>
    <s v="Hot OIl"/>
    <d v="2025-10-12T01:15:29"/>
    <d v="2025-10-06T16:00:00"/>
    <d v="2025-10-06T19:00:00"/>
    <s v=""/>
    <s v=""/>
    <s v=""/>
    <s v=""/>
    <s v=""/>
    <s v=""/>
    <s v=""/>
    <s v=""/>
    <s v=""/>
    <s v=""/>
    <s v=""/>
    <s v=""/>
    <s v=""/>
    <s v=""/>
    <s v=""/>
    <s v=""/>
    <s v=""/>
    <s v=""/>
    <s v=""/>
    <s v=""/>
    <s v=""/>
    <s v=""/>
    <s v=""/>
    <s v=""/>
    <s v="Labor"/>
    <s v=""/>
    <s v=""/>
    <s v=""/>
    <s v="1000646600"/>
    <s v="UL MOCKINGBIRD 13-2 D 2WA"/>
    <s v="Upstream"/>
    <s v="1046"/>
    <s v=""/>
    <s v=""/>
    <s v=""/>
    <s v=""/>
    <s v=""/>
    <s v=""/>
    <s v=""/>
    <n v="140"/>
    <s v="BBL"/>
    <n v="5.37"/>
    <s v=""/>
    <n v="751.8"/>
    <s v="--multiple--"/>
    <s v="700083"/>
    <d v="2025-10-12T01:16:23"/>
    <s v=""/>
    <s v=""/>
    <s v=""/>
    <s v=""/>
  </r>
  <r>
    <s v="81663"/>
    <s v="Clearwell LLC"/>
    <x v="3"/>
    <s v="Caleb Dimas"/>
    <s v="Bill Thompson"/>
    <s v="full treatment, ul mockingbird 13-2 C 2LS"/>
    <s v="5051026"/>
    <s v="Upstream"/>
    <s v=""/>
    <s v="USD"/>
    <n v="751.8"/>
    <s v="Direct Entry"/>
    <s v="1"/>
    <s v="10000020"/>
    <s v="Scheduled Program Hot Oil per BBL"/>
    <s v="Hot OIl"/>
    <d v="2025-10-12T01:17:21"/>
    <d v="2025-10-06T19:00:00"/>
    <d v="2025-10-06T22:00:00"/>
    <s v=""/>
    <s v=""/>
    <s v=""/>
    <s v=""/>
    <s v=""/>
    <s v=""/>
    <s v=""/>
    <s v=""/>
    <s v=""/>
    <s v=""/>
    <s v=""/>
    <s v=""/>
    <s v=""/>
    <s v=""/>
    <s v=""/>
    <s v=""/>
    <s v=""/>
    <s v=""/>
    <s v=""/>
    <s v=""/>
    <s v=""/>
    <s v=""/>
    <s v=""/>
    <s v=""/>
    <s v="Labor"/>
    <s v=""/>
    <s v=""/>
    <s v=""/>
    <s v="1000428400"/>
    <s v="UL MOCKINGBIRD 13-2 C 2LS"/>
    <s v="Upstream"/>
    <s v="1046"/>
    <s v=""/>
    <s v=""/>
    <s v=""/>
    <s v=""/>
    <s v=""/>
    <s v=""/>
    <s v=""/>
    <n v="140"/>
    <s v="BBL"/>
    <n v="5.37"/>
    <s v=""/>
    <n v="751.8"/>
    <s v="--multiple--"/>
    <s v="700083"/>
    <d v="2025-10-12T01:18:03"/>
    <s v=""/>
    <s v=""/>
    <s v=""/>
    <s v=""/>
  </r>
  <r>
    <s v="81810"/>
    <s v="Clearwell LLC"/>
    <x v="3"/>
    <s v="Caleb Dimas"/>
    <s v="Bill Thompson"/>
    <s v="call out, ul stika 12-37 D 2LS"/>
    <s v="5051057"/>
    <s v="Upstream"/>
    <s v=""/>
    <s v="USD"/>
    <n v="771"/>
    <s v="Direct Entry"/>
    <s v="1"/>
    <s v="10000012"/>
    <s v="Hourly Hot Oil"/>
    <s v="Hot Oil"/>
    <d v="2025-10-12T01:20:49"/>
    <d v="2025-10-07T06:00:00"/>
    <d v="2025-10-07T12:00:00"/>
    <s v=""/>
    <s v=""/>
    <s v=""/>
    <s v=""/>
    <s v=""/>
    <s v=""/>
    <s v=""/>
    <s v=""/>
    <s v=""/>
    <s v=""/>
    <s v=""/>
    <s v=""/>
    <s v=""/>
    <s v=""/>
    <s v=""/>
    <s v=""/>
    <s v=""/>
    <s v=""/>
    <s v=""/>
    <s v=""/>
    <s v=""/>
    <s v=""/>
    <s v=""/>
    <s v=""/>
    <s v="Labor"/>
    <s v=""/>
    <s v=""/>
    <s v=""/>
    <s v="1000724100"/>
    <s v="UL SITKA 12-37 D 2LS"/>
    <s v="Upstream"/>
    <s v="1046"/>
    <s v=""/>
    <s v=""/>
    <s v=""/>
    <s v=""/>
    <s v=""/>
    <s v=""/>
    <s v=""/>
    <n v="6"/>
    <s v="HR"/>
    <n v="128.5"/>
    <s v=""/>
    <n v="771"/>
    <s v="--multiple--"/>
    <s v="700083"/>
    <d v="2025-10-12T01:21:40"/>
    <s v=""/>
    <s v=""/>
    <s v=""/>
    <s v=""/>
  </r>
  <r>
    <s v="81811"/>
    <s v="Clearwell LLC"/>
    <x v="3"/>
    <s v="Caleb Dimas"/>
    <s v="Bill Thompson"/>
    <s v="call out, univ 2 HR 1 8"/>
    <s v="5051057"/>
    <s v="Upstream"/>
    <s v=""/>
    <s v="USD"/>
    <n v="385.5"/>
    <s v="Direct Entry"/>
    <s v="1"/>
    <s v="10000012"/>
    <s v="Hourly Hot Oil"/>
    <s v="Hot Oil"/>
    <d v="2025-10-12T01:22:37"/>
    <d v="2025-10-07T12:00:00"/>
    <d v="2025-10-07T15:00:00"/>
    <s v=""/>
    <s v=""/>
    <s v=""/>
    <s v=""/>
    <s v=""/>
    <s v=""/>
    <s v=""/>
    <s v=""/>
    <s v=""/>
    <s v=""/>
    <s v=""/>
    <s v=""/>
    <s v=""/>
    <s v=""/>
    <s v=""/>
    <s v=""/>
    <s v=""/>
    <s v=""/>
    <s v=""/>
    <s v=""/>
    <s v=""/>
    <s v=""/>
    <s v=""/>
    <s v=""/>
    <s v="Labor"/>
    <s v=""/>
    <s v=""/>
    <s v=""/>
    <s v="1000465300"/>
    <s v="UNIV2 HR1 8"/>
    <s v="Upstream"/>
    <s v="1046"/>
    <s v=""/>
    <s v=""/>
    <s v=""/>
    <s v=""/>
    <s v=""/>
    <s v=""/>
    <s v=""/>
    <n v="3"/>
    <s v="HR"/>
    <n v="128.5"/>
    <s v=""/>
    <n v="385.5"/>
    <s v="--multiple--"/>
    <s v="700083"/>
    <d v="2025-10-12T01:23:21"/>
    <s v=""/>
    <s v=""/>
    <s v=""/>
    <s v=""/>
  </r>
  <r>
    <s v="81812"/>
    <s v="Clearwell LLC"/>
    <x v="3"/>
    <s v="Caleb Dimas"/>
    <s v="Bill Thompson"/>
    <s v="full treatment, univ2 HR 5 5"/>
    <s v="5051026"/>
    <s v="Upstream"/>
    <s v=""/>
    <s v="USD"/>
    <n v="751.8"/>
    <s v="Direct Entry"/>
    <s v="1"/>
    <s v="10000020"/>
    <s v="Scheduled Program Hot Oil per BBL"/>
    <s v="Hot OIl"/>
    <d v="2025-10-12T01:24:11"/>
    <d v="2025-10-07T15:00:00"/>
    <d v="2025-10-07T18:00:00"/>
    <s v=""/>
    <s v=""/>
    <s v=""/>
    <s v=""/>
    <s v=""/>
    <s v=""/>
    <s v=""/>
    <s v=""/>
    <s v=""/>
    <s v=""/>
    <s v=""/>
    <s v=""/>
    <s v=""/>
    <s v=""/>
    <s v=""/>
    <s v=""/>
    <s v=""/>
    <s v=""/>
    <s v=""/>
    <s v=""/>
    <s v=""/>
    <s v=""/>
    <s v=""/>
    <s v=""/>
    <s v="Labor"/>
    <s v=""/>
    <s v=""/>
    <s v=""/>
    <s v="1000465600"/>
    <s v="UNIV2 HR5 5"/>
    <s v="Upstream"/>
    <s v="1046"/>
    <s v=""/>
    <s v=""/>
    <s v=""/>
    <s v=""/>
    <s v=""/>
    <s v=""/>
    <s v=""/>
    <n v="140"/>
    <s v="BBL"/>
    <n v="5.37"/>
    <s v=""/>
    <n v="751.8"/>
    <s v="--multiple--"/>
    <s v="700083"/>
    <d v="2025-10-12T01:24:59"/>
    <s v=""/>
    <s v=""/>
    <s v=""/>
    <s v=""/>
  </r>
  <r>
    <s v="6-179448"/>
    <s v="RK Supply"/>
    <x v="2"/>
    <s v="Callen Elliott"/>
    <s v="P.A. Gonzales"/>
    <s v="Oilfield Parts and Supplies"/>
    <s v="5051024"/>
    <s v="Upstream"/>
    <s v=""/>
    <s v="USD"/>
    <n v="2514.38"/>
    <s v="B2B"/>
    <s v="1"/>
    <s v="63804"/>
    <s v="CV10-2F60R36-CV-6U (2 600 GLOBE BODY BMD VALVE)"/>
    <s v=""/>
    <d v="2025-10-12T17:14:49"/>
    <d v="2025-09-29T12:00:00"/>
    <d v="2025-09-29T12:00:00"/>
    <s v=""/>
    <s v="JALONICK 40-45 ESL BATTERY**028**"/>
    <s v=""/>
    <s v=""/>
    <s v=""/>
    <s v=""/>
    <s v=""/>
    <s v=""/>
    <s v=""/>
    <s v=""/>
    <s v=""/>
    <s v=""/>
    <s v=""/>
    <s v=""/>
    <s v=""/>
    <s v=""/>
    <s v=""/>
    <s v=""/>
    <s v=""/>
    <s v=""/>
    <s v=""/>
    <s v=""/>
    <s v=""/>
    <s v=""/>
    <s v="Material"/>
    <s v=""/>
    <s v=""/>
    <s v=""/>
    <s v="8300113700"/>
    <s v="JALONICK 40-45 ESL BATTERY"/>
    <s v="Upstream"/>
    <s v="1046"/>
    <s v=""/>
    <s v=""/>
    <s v=""/>
    <s v=""/>
    <s v=""/>
    <s v=""/>
    <s v=""/>
    <n v="1"/>
    <s v="EA"/>
    <n v="2514.38"/>
    <s v=""/>
    <n v="2514.38"/>
    <s v="--multiple--"/>
    <s v="709232"/>
    <d v="2025-10-12T20:37:59"/>
    <s v=""/>
    <s v=""/>
    <s v=""/>
    <s v=""/>
  </r>
  <r>
    <s v="6-179446"/>
    <s v="RK Supply"/>
    <x v="2"/>
    <s v="Callen Elliott"/>
    <s v="P.A. Gonzales"/>
    <s v="Oilfield Parts and Supplies"/>
    <s v="5051024"/>
    <s v="Upstream"/>
    <s v=""/>
    <s v="USD"/>
    <n v="2514.38"/>
    <s v="B2B"/>
    <s v="1"/>
    <s v="63804"/>
    <s v="CV10-2F60R36-CV-6U (2 600 GLOBE BODY BMD VALVE)"/>
    <s v=""/>
    <d v="2025-10-12T17:14:51"/>
    <d v="2025-09-29T12:00:00"/>
    <d v="2025-09-29T12:00:00"/>
    <s v=""/>
    <s v="ONA WELLS B-1 BATTERY**049**"/>
    <s v=""/>
    <s v=""/>
    <s v=""/>
    <s v=""/>
    <s v=""/>
    <s v=""/>
    <s v=""/>
    <s v=""/>
    <s v=""/>
    <s v=""/>
    <s v=""/>
    <s v=""/>
    <s v=""/>
    <s v=""/>
    <s v=""/>
    <s v=""/>
    <s v=""/>
    <s v=""/>
    <s v=""/>
    <s v=""/>
    <s v=""/>
    <s v=""/>
    <s v="Material"/>
    <s v=""/>
    <s v=""/>
    <s v=""/>
    <s v="8300131700"/>
    <s v="ONA WELLS B-1 BATTERY"/>
    <s v="Upstream"/>
    <s v="1046"/>
    <s v=""/>
    <s v=""/>
    <s v=""/>
    <s v=""/>
    <s v=""/>
    <s v=""/>
    <s v=""/>
    <n v="1"/>
    <s v="EA"/>
    <n v="2514.38"/>
    <s v=""/>
    <n v="2514.38"/>
    <s v="--multiple--"/>
    <s v="709232"/>
    <d v="2025-10-12T20:32:27"/>
    <s v=""/>
    <s v=""/>
    <s v=""/>
    <s v=""/>
  </r>
  <r>
    <s v="6-179511"/>
    <s v="RK Supply"/>
    <x v="2"/>
    <s v="Callen Elliott"/>
    <s v="Richard Onzures"/>
    <s v="Oilfield Parts and Supplies"/>
    <s v="5051024"/>
    <s v="Upstream"/>
    <s v=""/>
    <s v="USD"/>
    <n v="2514.38"/>
    <s v="B2B"/>
    <s v="1"/>
    <s v="63804"/>
    <s v="CV10-2F60R36-CV-6U (2 600 GLOBE BODY BMD VALVE)"/>
    <s v=""/>
    <d v="2025-10-12T17:14:03"/>
    <d v="2025-09-29T12:00:00"/>
    <d v="2025-09-29T12:00:00"/>
    <s v=""/>
    <s v="KOONCE A BATTERY**049**"/>
    <s v=""/>
    <s v=""/>
    <s v=""/>
    <s v=""/>
    <s v=""/>
    <s v=""/>
    <s v=""/>
    <s v=""/>
    <s v=""/>
    <s v=""/>
    <s v=""/>
    <s v=""/>
    <s v=""/>
    <s v=""/>
    <s v=""/>
    <s v=""/>
    <s v=""/>
    <s v=""/>
    <s v=""/>
    <s v=""/>
    <s v=""/>
    <s v=""/>
    <s v="Material"/>
    <s v=""/>
    <s v=""/>
    <s v=""/>
    <s v="8300118300"/>
    <s v="KOONCE A BATTERY"/>
    <s v="Upstream"/>
    <s v="1046"/>
    <s v=""/>
    <s v=""/>
    <s v=""/>
    <s v=""/>
    <s v=""/>
    <s v=""/>
    <s v=""/>
    <n v="1"/>
    <s v="EA"/>
    <n v="2514.38"/>
    <s v=""/>
    <n v="2514.38"/>
    <s v="--multiple--"/>
    <s v="709232"/>
    <d v="2025-10-12T20:44:13"/>
    <s v=""/>
    <s v=""/>
    <s v=""/>
    <s v=""/>
  </r>
  <r>
    <s v="6-179449"/>
    <s v="RK Supply"/>
    <x v="2"/>
    <s v="Callen Elliott"/>
    <s v="Richard Onzures"/>
    <s v="Oilfield Parts and Supplies"/>
    <s v="5051024"/>
    <s v="Upstream"/>
    <s v=""/>
    <s v="USD"/>
    <n v="2514.38"/>
    <s v="B2B"/>
    <s v="1"/>
    <s v="63804"/>
    <s v="CV10-2F60R36-CV-6U (2 600 GLOBE BODY BMD VALVE)"/>
    <s v=""/>
    <d v="2025-10-12T17:14:48"/>
    <d v="2025-09-29T12:00:00"/>
    <d v="2025-09-29T12:00:00"/>
    <s v=""/>
    <s v="KOONCE 2 BATTERY**049**"/>
    <s v=""/>
    <s v=""/>
    <s v=""/>
    <s v=""/>
    <s v=""/>
    <s v=""/>
    <s v=""/>
    <s v=""/>
    <s v=""/>
    <s v=""/>
    <s v=""/>
    <s v=""/>
    <s v=""/>
    <s v=""/>
    <s v=""/>
    <s v=""/>
    <s v=""/>
    <s v=""/>
    <s v=""/>
    <s v=""/>
    <s v=""/>
    <s v=""/>
    <s v="Material"/>
    <s v=""/>
    <s v=""/>
    <s v=""/>
    <s v="8300118200"/>
    <s v="KOONCE 2 BATTERY"/>
    <s v="Upstream"/>
    <s v="1046"/>
    <s v=""/>
    <s v=""/>
    <s v=""/>
    <s v=""/>
    <s v=""/>
    <s v=""/>
    <s v=""/>
    <n v="1"/>
    <s v="EA"/>
    <n v="2514.38"/>
    <s v=""/>
    <n v="2514.38"/>
    <s v="--multiple--"/>
    <s v="709232"/>
    <d v="2025-10-12T20:39:57"/>
    <s v=""/>
    <s v=""/>
    <s v=""/>
    <s v=""/>
  </r>
  <r>
    <s v="PR1896805"/>
    <s v="Mattr US Inc"/>
    <x v="0"/>
    <s v="Cesar Galindo"/>
    <s v="Colby Brunson"/>
    <s v="Clark Cattail Battery Rental Invoice"/>
    <s v="5051023"/>
    <s v="Upstream"/>
    <s v=""/>
    <s v="USD"/>
    <n v="790"/>
    <s v="Direct Entry"/>
    <s v="1"/>
    <s v="89002"/>
    <s v="Big Reel Trailer -2-4&quot;"/>
    <s v="E&amp;M"/>
    <d v="2025-09-25T14:53:16"/>
    <d v="2025-09-24T07:00:00"/>
    <d v="2025-09-25T16:00:00"/>
    <s v=""/>
    <s v="Clark Cattail Battery"/>
    <s v=""/>
    <s v=""/>
    <s v=""/>
    <s v=""/>
    <s v=""/>
    <s v=""/>
    <s v=""/>
    <s v=""/>
    <s v=""/>
    <s v=""/>
    <s v=""/>
    <s v=""/>
    <s v=""/>
    <s v=""/>
    <s v=""/>
    <s v=""/>
    <s v=""/>
    <s v=""/>
    <s v=""/>
    <s v=""/>
    <s v=""/>
    <s v=""/>
    <s v="Equipment"/>
    <s v=""/>
    <s v=""/>
    <s v=""/>
    <s v="8000309000"/>
    <s v="CLARK CATTAIL BATTERY"/>
    <s v="Upstream"/>
    <s v="1046"/>
    <s v=""/>
    <s v=""/>
    <s v=""/>
    <s v=""/>
    <s v=""/>
    <s v=""/>
    <s v=""/>
    <n v="2"/>
    <s v="Day"/>
    <n v="395"/>
    <s v=""/>
    <n v="790"/>
    <s v="--multiple--"/>
    <s v="707672"/>
    <d v="2025-10-01T10:29:04"/>
    <s v=""/>
    <s v=""/>
    <s v="Requisitioner Error"/>
    <s v=""/>
  </r>
  <r>
    <s v="4590"/>
    <s v="Orion Water Solutions LLC"/>
    <x v="2"/>
    <s v="Cesar Galindo"/>
    <s v="Colby Brunson"/>
    <s v="NEFF RECYCLE"/>
    <s v="5051004"/>
    <s v="Upstream"/>
    <s v=""/>
    <s v="USD"/>
    <n v="136398.74"/>
    <s v="Direct Entry"/>
    <s v="1"/>
    <s v="20,000"/>
    <s v="Average BPD - 20,000"/>
    <s v=""/>
    <d v="2025-10-02T12:23:12"/>
    <d v="2025-09-01T06:00:00"/>
    <d v="2025-09-30T06:00:00"/>
    <s v=""/>
    <s v="Neff Recycle"/>
    <s v=""/>
    <s v=""/>
    <s v=""/>
    <s v=""/>
    <s v=""/>
    <s v=""/>
    <s v=""/>
    <s v=""/>
    <s v=""/>
    <s v=""/>
    <s v=""/>
    <s v=""/>
    <s v=""/>
    <s v=""/>
    <s v=""/>
    <s v=""/>
    <s v=""/>
    <s v=""/>
    <s v=""/>
    <s v=""/>
    <s v=""/>
    <s v=""/>
    <s v="Equipment"/>
    <s v=""/>
    <s v=""/>
    <s v=""/>
    <s v="8100152700"/>
    <s v="NEFF RECYCLE FACILITY"/>
    <s v="Upstream"/>
    <s v="1046"/>
    <s v=""/>
    <s v=""/>
    <s v=""/>
    <s v=""/>
    <s v=""/>
    <s v=""/>
    <s v=""/>
    <n v="593038"/>
    <s v="BBL"/>
    <n v="0.23"/>
    <s v=""/>
    <n v="136398.74"/>
    <s v="Pricebook"/>
    <s v="708794"/>
    <d v="2025-10-02T12:25:48"/>
    <s v=""/>
    <s v=""/>
    <s v=""/>
    <s v=""/>
  </r>
  <r>
    <s v="15033"/>
    <s v="RHINO POWER, LLC"/>
    <x v="5"/>
    <s v="Christian Stephens"/>
    <s v="John Blakeney"/>
    <s v="Drove to location. Created and reviewed JHA.  Walk through jobsite._x000a__x000a_Drive line from Athena  Reclosure to substation Build KMZ and look for issues. found areas where 795 appears to have been hot, reccomended infared camera to investigate"/>
    <s v="5051044"/>
    <s v="Upstream"/>
    <s v=""/>
    <s v="USD"/>
    <n v="859.5"/>
    <s v="Direct Entry"/>
    <s v="1"/>
    <s v="RHINO-08"/>
    <s v="Line Foreman"/>
    <s v=""/>
    <d v="2025-10-09T15:46:07"/>
    <d v="2025-09-18T06:00:00"/>
    <d v="2025-09-18T10:30:00"/>
    <s v=""/>
    <s v=""/>
    <s v=""/>
    <s v=""/>
    <s v=""/>
    <s v=""/>
    <s v=""/>
    <s v=""/>
    <s v=""/>
    <s v=""/>
    <s v=""/>
    <s v=""/>
    <s v=""/>
    <s v=""/>
    <s v=""/>
    <s v=""/>
    <s v=""/>
    <s v=""/>
    <s v=""/>
    <s v=""/>
    <s v=""/>
    <s v=""/>
    <s v=""/>
    <s v=""/>
    <s v="Labor"/>
    <s v="NEYMAN, NORMAN"/>
    <s v=""/>
    <s v=""/>
    <s v="8300078200"/>
    <s v="ATHENA 44-36 EAST BATTERY"/>
    <s v="Upstream"/>
    <s v="1046"/>
    <s v=""/>
    <s v=""/>
    <s v=""/>
    <s v=""/>
    <s v=""/>
    <s v=""/>
    <s v=""/>
    <n v="4.5"/>
    <s v="HR"/>
    <n v="59"/>
    <s v=""/>
    <n v="265.5"/>
    <s v="Pricebook"/>
    <s v="713511"/>
    <d v="2025-10-13T07:34:13"/>
    <s v=""/>
    <s v=""/>
    <s v=""/>
    <s v=""/>
  </r>
  <r>
    <s v="6501496740"/>
    <s v="Applied US Energy Inc."/>
    <x v="5"/>
    <s v="Christian Stephens"/>
    <s v="John Blakeney"/>
    <s v="Supplies"/>
    <s v="5051017"/>
    <s v="Upstream"/>
    <s v=""/>
    <s v="USD"/>
    <n v="323.52"/>
    <s v="B2B"/>
    <s v="10"/>
    <s v="112504841"/>
    <s v="MISC_AM07 TOWER FAN"/>
    <s v=""/>
    <d v="2025-10-02T08:29:35"/>
    <d v="2025-09-23T00:00:00"/>
    <d v="2025-09-23T00:00:00"/>
    <s v=""/>
    <s v="COBRA FIELD ALLOCATION"/>
    <s v=""/>
    <s v=""/>
    <s v=""/>
    <s v=""/>
    <s v=""/>
    <s v=""/>
    <s v=""/>
    <s v=""/>
    <s v=""/>
    <s v=""/>
    <s v=""/>
    <s v=""/>
    <s v=""/>
    <s v=""/>
    <s v=""/>
    <s v=""/>
    <s v=""/>
    <s v=""/>
    <s v=""/>
    <s v=""/>
    <s v=""/>
    <s v=""/>
    <s v="Material"/>
    <s v=""/>
    <s v=""/>
    <s v=""/>
    <s v="9000002700"/>
    <s v="COBRA FIELD ALLOCATION"/>
    <s v="Upstream"/>
    <s v="1046"/>
    <s v=""/>
    <s v=""/>
    <s v=""/>
    <s v=""/>
    <s v=""/>
    <s v=""/>
    <s v=""/>
    <n v="1"/>
    <s v="EA"/>
    <n v="86.94"/>
    <s v=""/>
    <n v="86.94"/>
    <s v="E-Maintenance"/>
    <s v="708146"/>
    <d v="2025-10-08T14:32:09"/>
    <s v=""/>
    <s v=""/>
    <s v=""/>
    <s v=""/>
  </r>
  <r>
    <s v="15133"/>
    <s v="RHINO POWER, LLC"/>
    <x v="5"/>
    <s v="Christian Stephens"/>
    <s v="John Blakeney"/>
    <s v="Drove to location. Created and reviewed JHA.  Walk through jobsite._x000a__x000a_Check volts at 60 amp disconnect, good volts._x000a_Pull doors, tighten Hot Taps and Baskets, Drop Riser and Wire. Drop 600 amp disconnect. load in truck._x000a__x000a_Cost Code 8000036800_x000a_Start Time   13:30_x000a_End Time     15:15"/>
    <s v="5051044"/>
    <s v="Upstream"/>
    <s v=""/>
    <s v="USD"/>
    <n v="334.25"/>
    <s v="Direct Entry"/>
    <s v="1"/>
    <s v="RHINO-08"/>
    <s v="Line Foreman"/>
    <s v=""/>
    <d v="2025-10-13T18:28:22"/>
    <d v="2025-09-23T13:30:00"/>
    <d v="2025-09-23T15:15:00"/>
    <s v=""/>
    <s v=""/>
    <s v=""/>
    <s v=""/>
    <s v=""/>
    <s v=""/>
    <s v=""/>
    <s v=""/>
    <s v=""/>
    <s v=""/>
    <s v=""/>
    <s v=""/>
    <s v=""/>
    <s v=""/>
    <s v=""/>
    <s v=""/>
    <s v=""/>
    <s v=""/>
    <s v=""/>
    <s v=""/>
    <s v=""/>
    <s v=""/>
    <s v=""/>
    <s v=""/>
    <s v="Labor"/>
    <s v="NEYMAN, NORMAN"/>
    <s v=""/>
    <s v=""/>
    <s v="8000036800"/>
    <s v="ADAMS NS 43-6 01 BATTERY"/>
    <s v="Upstream"/>
    <s v="1046"/>
    <s v=""/>
    <s v=""/>
    <s v=""/>
    <s v=""/>
    <s v=""/>
    <s v=""/>
    <s v=""/>
    <n v="1.75"/>
    <s v="HR"/>
    <n v="59"/>
    <s v=""/>
    <n v="103.25"/>
    <s v="Pricebook"/>
    <s v="713511"/>
    <d v="2025-10-13T18:31:31"/>
    <s v=""/>
    <s v=""/>
    <s v=""/>
    <s v=""/>
  </r>
  <r>
    <s v="15183"/>
    <s v="RHINO POWER, LLC"/>
    <x v="5"/>
    <s v="Christian Stephens"/>
    <s v="John Blakeney"/>
    <s v="Drove to location. Created and reviewed JHA.  Walk through jobsite._x000a_Tighten loose hardware on poles,replace missing hardware on  3 poles._x000a_Repair broken ground to neutral on 2 poles with copper C._x000a_Drive out line Build KMZ along"/>
    <s v="5051044"/>
    <s v="Upstream"/>
    <s v=""/>
    <s v="USD"/>
    <n v="1002.75"/>
    <s v="Direct Entry"/>
    <s v="1"/>
    <s v="RHINO-08"/>
    <s v="Line Foreman"/>
    <s v=""/>
    <d v="2025-10-13T16:28:00"/>
    <d v="2025-09-24T06:00:00"/>
    <d v="2025-09-24T13:30:00"/>
    <s v=""/>
    <s v=""/>
    <s v=""/>
    <s v=""/>
    <s v=""/>
    <s v=""/>
    <s v=""/>
    <s v=""/>
    <s v=""/>
    <s v=""/>
    <s v=""/>
    <s v=""/>
    <s v=""/>
    <s v=""/>
    <s v=""/>
    <s v=""/>
    <s v=""/>
    <s v=""/>
    <s v=""/>
    <s v=""/>
    <s v=""/>
    <s v=""/>
    <s v=""/>
    <s v=""/>
    <s v="Labor"/>
    <s v=""/>
    <s v=""/>
    <s v=""/>
    <s v="1001333800"/>
    <s v="DANNY 23 1"/>
    <s v="Upstream"/>
    <s v="1046"/>
    <s v=""/>
    <s v=""/>
    <s v=""/>
    <s v=""/>
    <s v=""/>
    <s v=""/>
    <s v=""/>
    <n v="5.25"/>
    <s v="HR"/>
    <n v="59"/>
    <s v=""/>
    <n v="309.75"/>
    <s v="Pricebook"/>
    <s v="713511"/>
    <d v="2025-10-13T16:29:41"/>
    <s v=""/>
    <s v=""/>
    <s v=""/>
    <s v=""/>
  </r>
  <r>
    <s v="15168"/>
    <s v="RHINO POWER, LLC"/>
    <x v="6"/>
    <s v="Christian Stephens"/>
    <s v="John Blakeney"/>
    <s v="Drove to location. Created and reviewed JHA.  Walk through jobsite._x000a__x000a_Throw in doors at H-Bank. verify volts. Check good volts. Verify power at ROC panel."/>
    <s v="5051044"/>
    <s v="Upstream"/>
    <s v=""/>
    <s v="USD"/>
    <n v="238.75"/>
    <s v="Direct Entry"/>
    <s v="1"/>
    <s v="RHINO-08"/>
    <s v="Line Foreman"/>
    <s v=""/>
    <d v="2025-10-09T16:50:42"/>
    <d v="2025-09-24T09:00:00"/>
    <d v="2025-09-24T10:15:00"/>
    <s v=""/>
    <s v=""/>
    <s v=""/>
    <s v=""/>
    <s v=""/>
    <s v=""/>
    <s v=""/>
    <s v=""/>
    <s v=""/>
    <s v=""/>
    <s v=""/>
    <s v=""/>
    <s v=""/>
    <s v=""/>
    <s v=""/>
    <s v=""/>
    <s v=""/>
    <s v=""/>
    <s v=""/>
    <s v=""/>
    <s v=""/>
    <s v=""/>
    <s v=""/>
    <s v=""/>
    <s v="Labor"/>
    <s v="NEYMAN, NORMAN"/>
    <s v=""/>
    <s v=""/>
    <s v="8000036800"/>
    <s v="ADAMS NS 43-6 01 BATTERY"/>
    <s v="Upstream"/>
    <s v="1046"/>
    <s v=""/>
    <s v=""/>
    <s v=""/>
    <s v=""/>
    <s v=""/>
    <s v=""/>
    <s v=""/>
    <n v="1.25"/>
    <s v="HR"/>
    <n v="59"/>
    <s v=""/>
    <n v="73.75"/>
    <s v="Pricebook"/>
    <s v="713511"/>
    <d v="2025-10-13T15:33:04"/>
    <s v=""/>
    <s v=""/>
    <s v="Service Date/Time Issue"/>
    <s v=""/>
  </r>
  <r>
    <s v="15167"/>
    <s v="RHINO POWER, LLC"/>
    <x v="6"/>
    <s v="Christian Stephens"/>
    <s v="John Blakeney"/>
    <s v="Drove to location. Created and reviewed JHA.  Walk through jobsite._x000a_Pull blades at Recloser, reinstall amphenol line connector from the controll cubicle to the recloser. re install Blades. Power up with Christian."/>
    <s v="5051044"/>
    <s v="Upstream"/>
    <s v=""/>
    <s v="USD"/>
    <n v="429.75"/>
    <s v="Direct Entry"/>
    <s v="1"/>
    <s v="RHINO-08"/>
    <s v="Line Foreman"/>
    <s v=""/>
    <d v="2025-10-09T16:53:27"/>
    <d v="2025-09-24T09:00:00"/>
    <d v="2025-09-24T11:15:00"/>
    <s v=""/>
    <s v=""/>
    <s v=""/>
    <s v=""/>
    <s v=""/>
    <s v=""/>
    <s v=""/>
    <s v=""/>
    <s v=""/>
    <s v=""/>
    <s v=""/>
    <s v=""/>
    <s v=""/>
    <s v=""/>
    <s v=""/>
    <s v=""/>
    <s v=""/>
    <s v=""/>
    <s v=""/>
    <s v=""/>
    <s v=""/>
    <s v=""/>
    <s v=""/>
    <s v=""/>
    <s v="Labor"/>
    <s v="NEYMAN, NORMAN"/>
    <s v=""/>
    <s v=""/>
    <s v="8300112900"/>
    <s v="HUNTER 33-26 UNIT 2 BATTERY"/>
    <s v="Upstream"/>
    <s v="1046"/>
    <s v=""/>
    <s v=""/>
    <s v=""/>
    <s v=""/>
    <s v=""/>
    <s v=""/>
    <s v=""/>
    <n v="2.25"/>
    <s v="HR"/>
    <n v="59"/>
    <s v=""/>
    <n v="132.75"/>
    <s v="Pricebook"/>
    <s v="713511"/>
    <d v="2025-10-13T15:35:39"/>
    <s v=""/>
    <s v=""/>
    <s v="Service Date/Time Issue"/>
    <s v=""/>
  </r>
  <r>
    <s v="15186"/>
    <s v="RHINO POWER, LLC"/>
    <x v="5"/>
    <s v="Christian Stephens"/>
    <s v="John Blakeney"/>
    <s v="Drove to location. Created and reviewed JHA.  Walk through jobsite._x000a__x000a_Re-attach jumper at bank going to cutout, throw in doors,check volts at disconnect. test well in hand, return to auto per instructions."/>
    <s v="5051044"/>
    <s v="Upstream"/>
    <s v=""/>
    <s v="USD"/>
    <n v="382"/>
    <s v="Direct Entry"/>
    <s v="1"/>
    <s v="RHINO-08"/>
    <s v="Line Foreman"/>
    <s v=""/>
    <d v="2025-10-13T16:38:00"/>
    <d v="2025-09-25T09:15:00"/>
    <d v="2025-09-25T11:15:00"/>
    <s v=""/>
    <s v=""/>
    <s v=""/>
    <s v=""/>
    <s v=""/>
    <s v=""/>
    <s v=""/>
    <s v=""/>
    <s v=""/>
    <s v=""/>
    <s v=""/>
    <s v=""/>
    <s v=""/>
    <s v=""/>
    <s v=""/>
    <s v=""/>
    <s v=""/>
    <s v=""/>
    <s v=""/>
    <s v=""/>
    <s v=""/>
    <s v=""/>
    <s v=""/>
    <s v=""/>
    <s v="Labor"/>
    <s v="NEYMAN, NORMAN"/>
    <s v=""/>
    <s v=""/>
    <s v="1001351200"/>
    <s v="FRAZIER 33 1"/>
    <s v="Upstream"/>
    <s v="1046"/>
    <s v=""/>
    <s v=""/>
    <s v=""/>
    <s v=""/>
    <s v=""/>
    <s v=""/>
    <s v=""/>
    <n v="2"/>
    <s v="HR"/>
    <n v="59"/>
    <s v=""/>
    <n v="118"/>
    <s v="Pricebook"/>
    <s v="713511"/>
    <d v="2025-10-13T16:39:52"/>
    <s v=""/>
    <s v=""/>
    <s v=""/>
    <s v=""/>
  </r>
  <r>
    <s v="15188"/>
    <s v="RHINO POWER, LLC"/>
    <x v="5"/>
    <s v="Christian Stephens"/>
    <s v="John Blakeney"/>
    <s v="Drove to location. Created and reviewed JHA.  Walk through jobsite._x000a__x000a_Drive out line looking for problem spots, build KMZ along route._x000a_Replace hardware on several poles. Replace 1 brace.Tighten loose hardware on several poles. have pin drops to several locations that need repairs,but was still too muddy from rain to get bucket in."/>
    <s v="5051044"/>
    <s v="Upstream"/>
    <s v=""/>
    <s v="USD"/>
    <n v="1289.25"/>
    <s v="Direct Entry"/>
    <s v="1"/>
    <s v="RHINO-08"/>
    <s v="Line Foreman"/>
    <s v=""/>
    <d v="2025-10-13T16:35:51"/>
    <d v="2025-09-25T11:15:00"/>
    <d v="2025-09-25T18:00:00"/>
    <s v=""/>
    <s v=""/>
    <s v=""/>
    <s v=""/>
    <s v=""/>
    <s v=""/>
    <s v=""/>
    <s v=""/>
    <s v=""/>
    <s v=""/>
    <s v=""/>
    <s v=""/>
    <s v=""/>
    <s v=""/>
    <s v=""/>
    <s v=""/>
    <s v=""/>
    <s v=""/>
    <s v=""/>
    <s v=""/>
    <s v=""/>
    <s v=""/>
    <s v=""/>
    <s v=""/>
    <s v="Labor"/>
    <s v="NEYMAN, NORMAN"/>
    <s v=""/>
    <s v=""/>
    <s v="1001333800"/>
    <s v="DANNY 23 1"/>
    <s v="Upstream"/>
    <s v="1046"/>
    <s v=""/>
    <s v=""/>
    <s v=""/>
    <s v=""/>
    <s v=""/>
    <s v=""/>
    <s v=""/>
    <n v="6.75"/>
    <s v="HR"/>
    <n v="59"/>
    <s v=""/>
    <n v="398.25"/>
    <s v="Pricebook"/>
    <s v="713511"/>
    <d v="2025-10-13T16:37:16"/>
    <s v=""/>
    <s v=""/>
    <s v=""/>
    <s v=""/>
  </r>
  <r>
    <s v="15216"/>
    <s v="RHINO POWER, LLC"/>
    <x v="5"/>
    <s v="Christian Stephens"/>
    <s v="John Blakeney"/>
    <s v="Drove to location. Created and reviewed JHA.  Walk through jobsite._x000a_Check Volts at disconnect, readings were 460 across the board, pull doors tap transformers from A settings to C settings. throw doors in recheck volts, good at 480,481,480"/>
    <s v="5051044"/>
    <s v="Upstream"/>
    <s v=""/>
    <s v="USD"/>
    <n v="286.5"/>
    <s v="Direct Entry"/>
    <s v="1"/>
    <s v="RHINO-08"/>
    <s v="Line Foreman"/>
    <s v=""/>
    <d v="2025-10-13T16:33:01"/>
    <d v="2025-09-26T12:45:00"/>
    <d v="2025-09-26T14:15:00"/>
    <s v=""/>
    <s v=""/>
    <s v=""/>
    <s v=""/>
    <s v=""/>
    <s v=""/>
    <s v=""/>
    <s v=""/>
    <s v=""/>
    <s v=""/>
    <s v=""/>
    <s v=""/>
    <s v=""/>
    <s v=""/>
    <s v=""/>
    <s v=""/>
    <s v=""/>
    <s v=""/>
    <s v=""/>
    <s v=""/>
    <s v=""/>
    <s v=""/>
    <s v=""/>
    <s v=""/>
    <s v="Labor"/>
    <s v="NEYMAN, NORMAN"/>
    <s v=""/>
    <s v=""/>
    <s v="1001317800"/>
    <s v="CAVE 9N 1"/>
    <s v="Upstream"/>
    <s v="1046"/>
    <s v=""/>
    <s v=""/>
    <s v=""/>
    <s v=""/>
    <s v=""/>
    <s v=""/>
    <s v=""/>
    <n v="1.5"/>
    <s v="HR"/>
    <n v="59"/>
    <s v=""/>
    <n v="88.5"/>
    <s v="Pricebook"/>
    <s v="713511"/>
    <d v="2025-10-13T16:34:52"/>
    <s v=""/>
    <s v=""/>
    <s v=""/>
    <s v=""/>
  </r>
  <r>
    <s v="DB-852"/>
    <s v="ELDAN Empire LLC"/>
    <x v="6"/>
    <s v="Christian Stephens"/>
    <s v="John Blakeney"/>
    <s v="Cobra Field Allocation - Drove to location filled out JSA and reviewed with the crew. We arrived at the yard and started uploading the trash from the container for metal. We used a new trailer, moved the damaged engines to the metal container."/>
    <s v="5051044"/>
    <s v="Upstream"/>
    <s v=""/>
    <s v="USD"/>
    <n v="656.25"/>
    <s v="Direct Entry"/>
    <s v="1"/>
    <s v="Journeyman Electrician (Unlicensed)&quot;"/>
    <s v="Journeyman Electrician (Unlicensed)&quot; Regular hours"/>
    <s v=""/>
    <d v="2025-10-09T14:26:25"/>
    <d v="2025-09-29T06:00:00"/>
    <d v="2025-09-29T09:45:00"/>
    <s v=""/>
    <s v=""/>
    <s v=""/>
    <s v=""/>
    <s v=""/>
    <s v=""/>
    <s v=""/>
    <s v=""/>
    <s v=""/>
    <s v=""/>
    <s v=""/>
    <s v=""/>
    <s v=""/>
    <s v=""/>
    <s v=""/>
    <s v=""/>
    <s v=""/>
    <s v=""/>
    <s v=""/>
    <s v=""/>
    <s v=""/>
    <s v=""/>
    <s v=""/>
    <s v=""/>
    <s v="Labor"/>
    <s v="Martinez, Eduardo"/>
    <s v=""/>
    <s v=""/>
    <s v="9000002700"/>
    <s v="COBRA FIELD ALLOCATION"/>
    <s v="Upstream"/>
    <s v="1046"/>
    <s v=""/>
    <s v=""/>
    <s v=""/>
    <s v=""/>
    <s v=""/>
    <s v=""/>
    <s v=""/>
    <n v="3.75"/>
    <s v="HR"/>
    <n v="75"/>
    <s v=""/>
    <n v="281.25"/>
    <s v="--multiple--"/>
    <s v="706866"/>
    <d v="2025-10-14T12:52:56"/>
    <s v=""/>
    <s v=""/>
    <s v="Coding/Location Issue"/>
    <s v=""/>
  </r>
  <r>
    <s v="243196"/>
    <s v="Royal Oilfield Services LLC"/>
    <x v="0"/>
    <s v="Carlos Lopez"/>
    <s v="Josh Clemmer"/>
    <s v="JC - Standby order of company man waiting for the support"/>
    <s v="5051057"/>
    <s v="Upstream"/>
    <s v=""/>
    <s v="USD"/>
    <n v="135"/>
    <s v="Direct Entry"/>
    <s v="1"/>
    <s v="100001"/>
    <s v="Vacuum Truck"/>
    <s v="Vacuum Truck"/>
    <d v="2025-09-24T07:42:27"/>
    <d v="2025-09-14T12:45:00"/>
    <d v="2025-09-14T14:15:00"/>
    <d v="1899-12-30T01:30:00"/>
    <s v="UL JOHNSON BATTERY"/>
    <s v=""/>
    <s v=""/>
    <s v="Produced Water"/>
    <s v=""/>
    <s v=""/>
    <s v=""/>
    <s v=""/>
    <s v=""/>
    <s v=""/>
    <s v=""/>
    <s v=""/>
    <s v=""/>
    <s v=""/>
    <s v=""/>
    <s v=""/>
    <s v=""/>
    <s v=""/>
    <s v=""/>
    <s v=""/>
    <s v=""/>
    <n v="0"/>
    <s v="bbl"/>
    <s v=""/>
    <s v=""/>
    <s v=""/>
    <s v=""/>
    <s v="8000300400"/>
    <s v="UL JOHNSON BATTERY"/>
    <s v="Upstream"/>
    <s v="1046"/>
    <s v=""/>
    <s v=""/>
    <s v=""/>
    <s v=""/>
    <s v=""/>
    <s v=""/>
    <s v="Hours Worked"/>
    <n v="1.5"/>
    <s v="hour"/>
    <n v="90"/>
    <s v=""/>
    <n v="135"/>
    <s v="Pricebook"/>
    <s v="703639"/>
    <d v="2025-09-29T12:10:52"/>
    <s v=""/>
    <s v=""/>
    <s v=""/>
    <s v=""/>
  </r>
  <r>
    <s v="243532"/>
    <s v="Royal Oilfield Services LLC"/>
    <x v="0"/>
    <s v="Carlos Lopez"/>
    <s v="Josh Clemmer"/>
    <s v="JC- I was asked to transfer fresh water to the pump trucks from the company acid tech services."/>
    <s v="5051054"/>
    <s v="Upstream"/>
    <s v=""/>
    <s v="USD"/>
    <n v="1486.5"/>
    <s v="Direct Entry"/>
    <s v="1"/>
    <s v="100001"/>
    <s v="Vacuum Truck"/>
    <s v="Vacuum Truck"/>
    <d v="2025-09-26T08:24:19"/>
    <d v="2025-09-19T05:45:00"/>
    <d v="2025-09-19T21:00:00"/>
    <d v="1899-12-30T15:15:00"/>
    <s v="UL LAKE VALLEY 10-19 D 3JM"/>
    <s v=""/>
    <s v=""/>
    <s v="Fresh Water"/>
    <s v=""/>
    <s v=""/>
    <s v=""/>
    <s v=""/>
    <s v=""/>
    <s v=""/>
    <s v=""/>
    <s v=""/>
    <s v=""/>
    <s v=""/>
    <s v=""/>
    <s v=""/>
    <s v=""/>
    <s v=""/>
    <s v=""/>
    <s v=""/>
    <s v=""/>
    <n v="0"/>
    <s v="bbl"/>
    <s v=""/>
    <s v=""/>
    <s v=""/>
    <s v=""/>
    <s v="1000683000"/>
    <s v="UL LAKE VALLEY 10-19 D 3JM"/>
    <s v="Upstream"/>
    <s v="1046"/>
    <s v=""/>
    <s v=""/>
    <s v=""/>
    <s v=""/>
    <s v=""/>
    <s v=""/>
    <s v="Hours Worked"/>
    <n v="15.25"/>
    <s v="hour"/>
    <n v="90"/>
    <s v=""/>
    <n v="1372.5"/>
    <s v="Pricebook"/>
    <s v="703639"/>
    <d v="2025-09-29T17:37:49"/>
    <s v=""/>
    <s v=""/>
    <s v=""/>
    <s v=""/>
  </r>
  <r>
    <s v="210737"/>
    <s v="Basin Trucking LLC"/>
    <x v="9"/>
    <s v="Delfino Martinez"/>
    <s v="Colby Brunson"/>
    <s v="Drove to location we prefab shock and release pressure well and broke the shock and install new"/>
    <s v="5051062"/>
    <s v="Upstream"/>
    <s v="166773"/>
    <s v="USD"/>
    <n v="422.5"/>
    <s v="Direct Entry"/>
    <s v="1"/>
    <s v="3 Man Crew"/>
    <s v="3 Man Crew"/>
    <s v="Roustabout Crew"/>
    <d v="2025-10-04T10:09:47"/>
    <d v="2025-09-25T06:30:00"/>
    <d v="2025-09-25T09:45:00"/>
    <s v=""/>
    <s v="NEFF EAST"/>
    <s v=""/>
    <s v=""/>
    <s v=""/>
    <s v=""/>
    <s v=""/>
    <s v=""/>
    <s v=""/>
    <s v=""/>
    <s v=""/>
    <s v=""/>
    <s v=""/>
    <s v=""/>
    <s v=""/>
    <s v=""/>
    <s v=""/>
    <s v=""/>
    <s v=""/>
    <s v=""/>
    <s v=""/>
    <s v=""/>
    <s v=""/>
    <s v=""/>
    <s v="Labor"/>
    <s v=""/>
    <s v=""/>
    <s v=""/>
    <s v="8000324900"/>
    <s v="NEFF BATTERY"/>
    <s v="Upstream"/>
    <s v="1046"/>
    <s v=""/>
    <s v=""/>
    <s v=""/>
    <s v=""/>
    <s v=""/>
    <s v=""/>
    <s v=""/>
    <n v="3.25"/>
    <s v="HR"/>
    <n v="130"/>
    <s v=""/>
    <n v="422.5"/>
    <s v="--multiple--"/>
    <s v="703517"/>
    <d v="2025-10-09T15:25:28"/>
    <s v=""/>
    <s v=""/>
    <s v="VC Crew Member Field"/>
    <s v=""/>
  </r>
  <r>
    <s v="210738"/>
    <s v="Basin Trucking LLC"/>
    <x v="9"/>
    <s v="Delfino Martinez"/>
    <s v="Colby Brunson"/>
    <s v="Moved well and replace shock 3&quot; and load trash for unload the location Wichita."/>
    <s v="5051062"/>
    <s v="Upstream"/>
    <s v="166773"/>
    <s v="USD"/>
    <n v="390"/>
    <s v="Direct Entry"/>
    <s v="1"/>
    <s v="3 Man Crew"/>
    <s v="3 Man Crew"/>
    <s v="Roustabout Crew"/>
    <d v="2025-10-04T09:44:45"/>
    <d v="2025-09-25T09:45:00"/>
    <d v="2025-09-25T12:45:00"/>
    <s v=""/>
    <s v="NEFF EAST BATTERY"/>
    <s v=""/>
    <s v=""/>
    <s v=""/>
    <s v=""/>
    <s v=""/>
    <s v=""/>
    <s v=""/>
    <s v=""/>
    <s v=""/>
    <s v=""/>
    <s v=""/>
    <s v=""/>
    <s v=""/>
    <s v=""/>
    <s v=""/>
    <s v=""/>
    <s v=""/>
    <s v=""/>
    <s v=""/>
    <s v=""/>
    <s v=""/>
    <s v=""/>
    <s v="Labor"/>
    <s v=""/>
    <s v=""/>
    <s v=""/>
    <s v="8000324900"/>
    <s v="NEFF BATTERY"/>
    <s v="Upstream"/>
    <s v="1046"/>
    <s v=""/>
    <s v=""/>
    <s v=""/>
    <s v=""/>
    <s v=""/>
    <s v=""/>
    <s v=""/>
    <n v="3"/>
    <s v="HR"/>
    <n v="130"/>
    <s v=""/>
    <n v="390"/>
    <s v="--multiple--"/>
    <s v="703517"/>
    <d v="2025-10-04T09:52:08"/>
    <s v=""/>
    <s v=""/>
    <s v=""/>
    <s v=""/>
  </r>
  <r>
    <s v="205103"/>
    <s v="Basin Trucking LLC"/>
    <x v="12"/>
    <s v="Delfino Martinez"/>
    <s v="Colby Brunson"/>
    <s v="Drove to location and changed out water dump on tester 2812H"/>
    <s v="5051049"/>
    <s v="Upstream"/>
    <s v="167078"/>
    <s v="USD"/>
    <n v="292.5"/>
    <s v="Direct Entry"/>
    <s v="1"/>
    <s v="3 Man Crew"/>
    <s v="3 Man Crew"/>
    <s v="Roustabout Crew"/>
    <d v="2025-10-07T13:57:15"/>
    <d v="2025-09-26T08:30:00"/>
    <d v="2025-09-26T10:45:00"/>
    <s v=""/>
    <s v="Neff Battery"/>
    <s v=""/>
    <s v=""/>
    <s v=""/>
    <s v=""/>
    <s v=""/>
    <s v=""/>
    <s v=""/>
    <s v=""/>
    <s v=""/>
    <s v=""/>
    <s v=""/>
    <s v=""/>
    <s v=""/>
    <s v=""/>
    <s v=""/>
    <s v=""/>
    <s v=""/>
    <s v=""/>
    <s v=""/>
    <s v=""/>
    <s v=""/>
    <s v=""/>
    <s v="Labor"/>
    <s v=""/>
    <s v=""/>
    <s v=""/>
    <s v="8000324900"/>
    <s v="NEFF BATTERY"/>
    <s v="Upstream"/>
    <s v="1046"/>
    <s v=""/>
    <s v=""/>
    <s v=""/>
    <s v=""/>
    <s v=""/>
    <s v=""/>
    <s v=""/>
    <n v="2.25"/>
    <s v="HR"/>
    <n v="130"/>
    <s v=""/>
    <n v="292.5"/>
    <s v="--multiple--"/>
    <s v="703517"/>
    <d v="2025-10-07T13:58:40"/>
    <s v=""/>
    <s v=""/>
    <s v=""/>
    <s v=""/>
  </r>
  <r>
    <s v="212007"/>
    <s v="Basin Trucking LLC"/>
    <x v="2"/>
    <s v="Delfino Martinez"/>
    <s v="Colby Brunson"/>
    <s v="Drove to location we square and mark where each corner H post and door will be installed."/>
    <s v="5051027"/>
    <s v="Upstream"/>
    <s v="158645"/>
    <s v="USD"/>
    <n v="1430"/>
    <s v="Direct Entry"/>
    <s v="1"/>
    <s v="3 Man Crew"/>
    <s v="3 Man Crew"/>
    <s v="Roustabout Crew"/>
    <d v="2025-10-06T11:08:57"/>
    <d v="2025-09-27T06:30:00"/>
    <d v="2025-09-27T17:30:00"/>
    <s v=""/>
    <s v="CLARK CATTAIL BATTERY"/>
    <s v=""/>
    <s v=""/>
    <s v=""/>
    <s v=""/>
    <s v=""/>
    <s v=""/>
    <s v=""/>
    <s v=""/>
    <s v=""/>
    <s v=""/>
    <s v=""/>
    <s v=""/>
    <s v=""/>
    <s v=""/>
    <s v=""/>
    <s v=""/>
    <s v=""/>
    <s v=""/>
    <s v=""/>
    <s v=""/>
    <s v=""/>
    <s v=""/>
    <s v="Labor"/>
    <s v=""/>
    <s v=""/>
    <s v=""/>
    <s v="8000309000"/>
    <s v="CLARK CATTAIL BATTERY"/>
    <s v="Upstream"/>
    <s v="1046"/>
    <s v=""/>
    <s v=""/>
    <s v=""/>
    <s v=""/>
    <s v=""/>
    <s v=""/>
    <s v=""/>
    <n v="11"/>
    <s v="HR"/>
    <n v="130"/>
    <s v=""/>
    <n v="1430"/>
    <s v="--multiple--"/>
    <s v="703517"/>
    <d v="2025-10-06T11:10:19"/>
    <s v=""/>
    <s v=""/>
    <s v=""/>
    <s v=""/>
  </r>
  <r>
    <s v="212010"/>
    <s v="Basin Trucking LLC"/>
    <x v="2"/>
    <s v="Delfino Martinez"/>
    <s v="Colby Brunson"/>
    <s v="Drove to location and assisted the other crews to installed corner post H doors leveled aligned and put concrete."/>
    <s v="5051027"/>
    <s v="Upstream"/>
    <s v="158645"/>
    <s v="USD"/>
    <n v="1287"/>
    <s v="Direct Entry"/>
    <s v="1"/>
    <s v="2 man crew"/>
    <s v="2 Man Crew"/>
    <s v="Roustabout Crew"/>
    <d v="2025-10-06T11:11:49"/>
    <d v="2025-09-27T06:30:00"/>
    <d v="2025-09-27T17:30:00"/>
    <s v=""/>
    <s v="CLARK CATTAIL"/>
    <s v=""/>
    <s v=""/>
    <s v=""/>
    <s v=""/>
    <s v=""/>
    <s v=""/>
    <s v=""/>
    <s v=""/>
    <s v=""/>
    <s v=""/>
    <s v=""/>
    <s v=""/>
    <s v=""/>
    <s v=""/>
    <s v=""/>
    <s v=""/>
    <s v=""/>
    <s v=""/>
    <s v=""/>
    <s v=""/>
    <s v=""/>
    <s v=""/>
    <s v="Labor"/>
    <s v=""/>
    <s v=""/>
    <s v=""/>
    <s v="8000309000"/>
    <s v="CLARK CATTAIL BATTERY"/>
    <s v="Upstream"/>
    <s v="1046"/>
    <s v=""/>
    <s v=""/>
    <s v=""/>
    <s v=""/>
    <s v=""/>
    <s v=""/>
    <s v=""/>
    <n v="11"/>
    <s v="HR"/>
    <n v="117"/>
    <s v=""/>
    <n v="1287"/>
    <s v="--multiple--"/>
    <s v="703517"/>
    <d v="2025-10-06T11:12:41"/>
    <s v=""/>
    <s v=""/>
    <s v=""/>
    <s v=""/>
  </r>
  <r>
    <s v="212008"/>
    <s v="Basin Trucking LLC"/>
    <x v="2"/>
    <s v="Delfino Martinez"/>
    <s v="Colby Brunson"/>
    <s v="Drove to location and assisted the other crew to mark dig holes on each corner pos door and H post will be installed."/>
    <s v="5051027"/>
    <s v="Upstream"/>
    <s v="158645"/>
    <s v="USD"/>
    <n v="1397.5"/>
    <s v="Direct Entry"/>
    <s v="1"/>
    <s v="3 Man Crew"/>
    <s v="3 Man Crew"/>
    <s v="Roustabout Crew"/>
    <d v="2025-10-06T11:14:12"/>
    <d v="2025-09-27T06:45:00"/>
    <d v="2025-09-27T17:30:00"/>
    <s v=""/>
    <s v="CLARK CATTAIL"/>
    <s v=""/>
    <s v=""/>
    <s v=""/>
    <s v=""/>
    <s v=""/>
    <s v=""/>
    <s v=""/>
    <s v=""/>
    <s v=""/>
    <s v=""/>
    <s v=""/>
    <s v=""/>
    <s v=""/>
    <s v=""/>
    <s v=""/>
    <s v=""/>
    <s v=""/>
    <s v=""/>
    <s v=""/>
    <s v=""/>
    <s v=""/>
    <s v=""/>
    <s v="Labor"/>
    <s v=""/>
    <s v=""/>
    <s v=""/>
    <s v="8000309000"/>
    <s v="CLARK CATTAIL BATTERY"/>
    <s v="Upstream"/>
    <s v="1046"/>
    <s v=""/>
    <s v=""/>
    <s v=""/>
    <s v=""/>
    <s v=""/>
    <s v=""/>
    <s v=""/>
    <n v="10.75"/>
    <s v="HR"/>
    <n v="130"/>
    <s v=""/>
    <n v="1397.5"/>
    <s v="--multiple--"/>
    <s v="703517"/>
    <d v="2025-10-06T11:16:43"/>
    <s v=""/>
    <s v=""/>
    <s v=""/>
    <s v=""/>
  </r>
  <r>
    <s v="212017"/>
    <s v="Basin Trucking LLC"/>
    <x v="2"/>
    <s v="Delfino Martinez"/>
    <s v="Colby Brunson"/>
    <s v="Drove to location and finished installing corner post started installing the fence around of the facility."/>
    <s v="5051027"/>
    <s v="Upstream"/>
    <s v="158645"/>
    <s v="USD"/>
    <n v="1137.5"/>
    <s v="Direct Entry"/>
    <s v="1"/>
    <s v="3 Man Crew"/>
    <s v="3 Man Crew"/>
    <s v="Roustabout Crew"/>
    <d v="2025-10-06T10:03:22"/>
    <d v="2025-09-28T06:30:00"/>
    <d v="2025-09-28T15:15:00"/>
    <s v=""/>
    <s v="Clark Cattail Battery"/>
    <s v=""/>
    <s v=""/>
    <s v=""/>
    <s v=""/>
    <s v=""/>
    <s v=""/>
    <s v=""/>
    <s v=""/>
    <s v=""/>
    <s v=""/>
    <s v=""/>
    <s v=""/>
    <s v=""/>
    <s v=""/>
    <s v=""/>
    <s v=""/>
    <s v=""/>
    <s v=""/>
    <s v=""/>
    <s v=""/>
    <s v=""/>
    <s v=""/>
    <s v="Labor"/>
    <s v=""/>
    <s v=""/>
    <s v=""/>
    <s v="8000309000"/>
    <s v="CLARK CATTAIL BATTERY"/>
    <s v="Upstream"/>
    <s v="1046"/>
    <s v=""/>
    <s v=""/>
    <s v=""/>
    <s v=""/>
    <s v=""/>
    <s v=""/>
    <s v=""/>
    <n v="8.75"/>
    <s v="HR"/>
    <n v="130"/>
    <s v=""/>
    <n v="1137.5"/>
    <s v="--multiple--"/>
    <s v="703517"/>
    <d v="2025-10-06T10:24:10"/>
    <s v=""/>
    <s v=""/>
    <s v=""/>
    <s v=""/>
  </r>
  <r>
    <s v="211289"/>
    <s v="Basin Trucking LLC"/>
    <x v="2"/>
    <s v="Delfino Martinez"/>
    <s v="Colby Brunson"/>
    <s v="Drove to the parts store to pick up material drove to location finished making bosses to place corner pieces and some H where the mes will be installed from the fence that will be placed around the battery."/>
    <s v="5051027"/>
    <s v="Upstream"/>
    <s v="158645"/>
    <s v="USD"/>
    <n v="1040"/>
    <s v="Direct Entry"/>
    <s v="1"/>
    <s v="3 Man Crew"/>
    <s v="3 Man Crew"/>
    <s v="Roustabout Crew"/>
    <d v="2025-10-06T10:17:42"/>
    <d v="2025-09-28T07:15:00"/>
    <d v="2025-09-28T15:15:00"/>
    <s v=""/>
    <s v="Clark Cattail Battery"/>
    <s v=""/>
    <s v=""/>
    <s v=""/>
    <s v=""/>
    <s v=""/>
    <s v=""/>
    <s v=""/>
    <s v=""/>
    <s v=""/>
    <s v=""/>
    <s v=""/>
    <s v=""/>
    <s v=""/>
    <s v=""/>
    <s v=""/>
    <s v=""/>
    <s v=""/>
    <s v=""/>
    <s v=""/>
    <s v=""/>
    <s v=""/>
    <s v=""/>
    <s v="Labor"/>
    <s v=""/>
    <s v=""/>
    <s v=""/>
    <s v="8000309000"/>
    <s v="CLARK CATTAIL BATTERY"/>
    <s v="Upstream"/>
    <s v="1046"/>
    <s v=""/>
    <s v=""/>
    <s v=""/>
    <s v=""/>
    <s v=""/>
    <s v=""/>
    <s v=""/>
    <n v="8"/>
    <s v="HR"/>
    <n v="130"/>
    <s v=""/>
    <n v="1040"/>
    <s v="--multiple--"/>
    <s v="703517"/>
    <d v="2025-10-06T10:25:18"/>
    <s v=""/>
    <s v=""/>
    <s v=""/>
    <s v=""/>
  </r>
  <r>
    <s v="211290"/>
    <s v="Basin Trucking LLC"/>
    <x v="2"/>
    <s v="Delfino Martinez"/>
    <s v="Colby Brunson"/>
    <s v="Drove to the location install a mash fence around the entire battery secure it to post and tie it with wire."/>
    <s v="5051027"/>
    <s v="Upstream"/>
    <s v="158645"/>
    <s v="USD"/>
    <n v="2025"/>
    <s v="Direct Entry"/>
    <s v="1"/>
    <s v="3 Man Crew"/>
    <s v="3 Man Crew"/>
    <s v="Roustabout Crew"/>
    <d v="2025-10-07T08:14:54"/>
    <d v="2025-09-29T07:00:00"/>
    <d v="2025-09-29T18:15:00"/>
    <s v=""/>
    <s v="CLARK CATTAIL BATTERY"/>
    <s v=""/>
    <s v=""/>
    <s v=""/>
    <s v=""/>
    <s v=""/>
    <s v=""/>
    <s v=""/>
    <s v=""/>
    <s v=""/>
    <s v=""/>
    <s v=""/>
    <s v=""/>
    <s v=""/>
    <s v=""/>
    <s v=""/>
    <s v=""/>
    <s v=""/>
    <s v=""/>
    <s v=""/>
    <s v=""/>
    <s v=""/>
    <s v=""/>
    <s v="Labor"/>
    <s v=""/>
    <s v=""/>
    <s v=""/>
    <s v="8000309000"/>
    <s v="CLARK CATTAIL BATTERY"/>
    <s v="Upstream"/>
    <s v="1046"/>
    <s v=""/>
    <s v=""/>
    <s v=""/>
    <s v=""/>
    <s v=""/>
    <s v=""/>
    <s v=""/>
    <n v="11.25"/>
    <s v="HR"/>
    <n v="130"/>
    <s v=""/>
    <n v="1462.5"/>
    <s v="--multiple--"/>
    <s v="703517"/>
    <d v="2025-10-07T08:17:06"/>
    <s v=""/>
    <s v=""/>
    <s v=""/>
    <s v=""/>
  </r>
  <r>
    <s v="211955"/>
    <s v="Basin Trucking LLC"/>
    <x v="12"/>
    <s v="Delfino Martinez"/>
    <s v="Colby Brunson"/>
    <s v="Drove to main yard picked up the 4&quot; poly machine drove to location inspected the location and drove to supply store picked up connections back to location and changed 3&quot; water inlet on the vessel."/>
    <s v="5051049"/>
    <s v="Upstream"/>
    <s v="167933"/>
    <s v="USD"/>
    <n v="895"/>
    <s v="Direct Entry"/>
    <s v="1"/>
    <s v="3 Man Crew"/>
    <s v="3 Man Crew"/>
    <s v="Roustabout Crew"/>
    <d v="2025-10-06T16:38:24"/>
    <d v="2025-09-29T13:30:00"/>
    <d v="2025-09-29T19:00:00"/>
    <s v=""/>
    <s v="PARKS 2 BATTERY"/>
    <s v=""/>
    <s v=""/>
    <s v=""/>
    <s v=""/>
    <s v=""/>
    <s v=""/>
    <s v=""/>
    <s v=""/>
    <s v=""/>
    <s v=""/>
    <s v=""/>
    <s v=""/>
    <s v=""/>
    <s v=""/>
    <s v=""/>
    <s v=""/>
    <s v=""/>
    <s v=""/>
    <s v=""/>
    <s v=""/>
    <s v=""/>
    <s v=""/>
    <s v="Labor"/>
    <s v=""/>
    <s v=""/>
    <s v=""/>
    <s v="8300133100"/>
    <s v="PARKS 2 BATTERY"/>
    <s v="Upstream"/>
    <s v="1046"/>
    <s v=""/>
    <s v=""/>
    <s v=""/>
    <s v=""/>
    <s v=""/>
    <s v=""/>
    <s v=""/>
    <n v="5.5"/>
    <s v="HR"/>
    <n v="130"/>
    <s v=""/>
    <n v="715"/>
    <s v="--multiple--"/>
    <s v="703517"/>
    <d v="2025-10-08T09:50:13"/>
    <s v=""/>
    <s v=""/>
    <s v="Validation Overlapping Hours"/>
    <s v=""/>
  </r>
  <r>
    <s v="25047776"/>
    <s v="Lone Star Instrumentation &amp; Electric Corp"/>
    <x v="5"/>
    <s v="Christian Stephens"/>
    <s v="John Blakeney"/>
    <s v="WORK DESCRIPTION: Drove to location checked all connections in vfd and in motor then made material_x000d__x000a_list went and picked up from cains in big springs picked up new vfd and material drove back removed old vfd and went to put new one in and noticed when we opened it it wasn’t the same one let Christian and Justin know took it back to cains in big springs"/>
    <s v="5051044"/>
    <s v="Upstream"/>
    <s v=""/>
    <s v="USD"/>
    <n v="891.25"/>
    <s v="B2B"/>
    <s v="1"/>
    <s v=""/>
    <s v="Qualified Electrician"/>
    <s v=""/>
    <d v="2025-10-13T11:25:07"/>
    <d v="2025-09-29T06:45:00"/>
    <d v="2025-09-29T12:30:00"/>
    <s v=""/>
    <s v="CYPERT 57-51 BATTERY"/>
    <s v=""/>
    <s v=""/>
    <s v=""/>
    <s v=""/>
    <s v=""/>
    <s v=""/>
    <s v=""/>
    <s v=""/>
    <s v=""/>
    <s v=""/>
    <s v=""/>
    <s v=""/>
    <s v=""/>
    <s v=""/>
    <s v=""/>
    <s v=""/>
    <s v=""/>
    <s v=""/>
    <s v=""/>
    <s v=""/>
    <s v=""/>
    <s v=""/>
    <s v="Labor"/>
    <s v=""/>
    <s v=""/>
    <s v=""/>
    <s v="8300093100"/>
    <s v="CYPERT 57-51 BATTERY"/>
    <s v="Upstream"/>
    <s v="1046"/>
    <s v=""/>
    <s v=""/>
    <s v=""/>
    <s v=""/>
    <s v=""/>
    <s v=""/>
    <s v=""/>
    <n v="5.75"/>
    <s v="HR"/>
    <n v="65"/>
    <s v=""/>
    <n v="373.75"/>
    <s v="--multiple--"/>
    <s v="708305"/>
    <d v="2025-10-13T14:55:03"/>
    <s v=""/>
    <s v=""/>
    <s v=""/>
    <s v=""/>
  </r>
  <r>
    <s v="211299"/>
    <s v="Basin Trucking LLC"/>
    <x v="12"/>
    <s v="Delfino Martinez"/>
    <s v="Colby Brunson"/>
    <s v="Drove to Tommy White store and ACS came to carry doors that were left in the previous job then drove to small yard attached porta potty drove to location make a four-way line connect it to the valve coming from the tanks with a reducer and a 90 one Tee to take line out of the container."/>
    <s v="5051049"/>
    <s v="Upstream"/>
    <s v="167926"/>
    <s v="USD"/>
    <n v="877.5"/>
    <s v="Direct Entry"/>
    <s v="1"/>
    <s v="2 man crew"/>
    <s v="2 Man Crew"/>
    <s v="Roustabout Crew"/>
    <d v="2025-10-09T10:21:00"/>
    <d v="2025-10-03T06:30:00"/>
    <d v="2025-10-03T14:00:00"/>
    <s v=""/>
    <s v="NEFF BATTERY"/>
    <s v=""/>
    <s v=""/>
    <s v=""/>
    <s v=""/>
    <s v=""/>
    <s v=""/>
    <s v=""/>
    <s v=""/>
    <s v=""/>
    <s v=""/>
    <s v=""/>
    <s v=""/>
    <s v=""/>
    <s v=""/>
    <s v=""/>
    <s v=""/>
    <s v=""/>
    <s v=""/>
    <s v=""/>
    <s v=""/>
    <s v=""/>
    <s v=""/>
    <s v="Labor"/>
    <s v=""/>
    <s v=""/>
    <s v=""/>
    <s v="8000324900"/>
    <s v="NEFF BATTERY"/>
    <s v="Upstream"/>
    <s v="1046"/>
    <s v=""/>
    <s v=""/>
    <s v=""/>
    <s v=""/>
    <s v=""/>
    <s v=""/>
    <s v=""/>
    <n v="7.5"/>
    <s v="HR"/>
    <n v="117"/>
    <s v=""/>
    <n v="877.5"/>
    <s v="--multiple--"/>
    <s v="703517"/>
    <d v="2025-10-09T10:22:24"/>
    <s v=""/>
    <s v=""/>
    <s v=""/>
    <s v=""/>
  </r>
  <r>
    <s v="211544"/>
    <s v="Basin Trucking LLC"/>
    <x v="12"/>
    <s v="Delfino Martinez"/>
    <s v="Colby Brunson"/>
    <s v="Load roadside base delivered at the location."/>
    <s v="5051027"/>
    <s v="Upstream"/>
    <s v="168861"/>
    <s v="USD"/>
    <n v="719.63"/>
    <s v="Direct Entry"/>
    <s v="1"/>
    <s v="lowboy"/>
    <s v="Lowboy"/>
    <s v="freight"/>
    <d v="2025-10-13T12:43:40"/>
    <d v="2025-10-03T07:15:00"/>
    <d v="2025-10-03T10:30:00"/>
    <s v=""/>
    <s v="NEFF BATTERY"/>
    <s v=""/>
    <s v=""/>
    <s v=""/>
    <s v=""/>
    <s v=""/>
    <s v=""/>
    <s v=""/>
    <s v=""/>
    <s v=""/>
    <s v=""/>
    <s v=""/>
    <s v=""/>
    <s v=""/>
    <s v=""/>
    <s v=""/>
    <s v=""/>
    <s v=""/>
    <s v=""/>
    <s v=""/>
    <s v=""/>
    <s v=""/>
    <s v=""/>
    <s v="Equipment"/>
    <s v=""/>
    <s v=""/>
    <s v=""/>
    <s v="8000324900"/>
    <s v="NEFF BATTERY"/>
    <s v="Upstream"/>
    <s v="1046"/>
    <s v=""/>
    <s v=""/>
    <s v=""/>
    <s v=""/>
    <s v=""/>
    <s v=""/>
    <s v=""/>
    <n v="3.25"/>
    <s v="HR"/>
    <n v="150"/>
    <s v=""/>
    <n v="487.5"/>
    <s v="--multiple--"/>
    <s v="703517"/>
    <d v="2025-10-13T12:46:57"/>
    <s v=""/>
    <s v=""/>
    <s v=""/>
    <s v=""/>
  </r>
  <r>
    <s v="211300"/>
    <s v="Basin Trucking LLC"/>
    <x v="12"/>
    <s v="Delfino Martinez"/>
    <s v="Colby Brunson"/>
    <s v="Drove to small yard connect a pipe trailer wait for the welder to cut a figure eight pipe in half drove to the location connected a poly that comes out of on oil line from the tanks and arrange it to fit the figure it out eight pipe for protection so is not stepped on or damage by trucks and machinery."/>
    <s v="5051049"/>
    <s v="Upstream"/>
    <s v="167926"/>
    <s v="USD"/>
    <n v="795"/>
    <s v="Direct Entry"/>
    <s v="1"/>
    <s v="3 Man Crew"/>
    <s v="3 Man Crew"/>
    <s v="Roustabout Crew"/>
    <d v="2025-10-13T11:09:15"/>
    <d v="2025-10-06T06:30:00"/>
    <d v="2025-10-06T12:00:00"/>
    <s v=""/>
    <s v="NEFF BATTERY"/>
    <s v=""/>
    <s v=""/>
    <s v=""/>
    <s v=""/>
    <s v=""/>
    <s v=""/>
    <s v=""/>
    <s v=""/>
    <s v=""/>
    <s v=""/>
    <s v=""/>
    <s v=""/>
    <s v=""/>
    <s v=""/>
    <s v=""/>
    <s v=""/>
    <s v=""/>
    <s v=""/>
    <s v=""/>
    <s v=""/>
    <s v=""/>
    <s v=""/>
    <s v="Labor"/>
    <s v=""/>
    <s v=""/>
    <s v=""/>
    <s v="8000324900"/>
    <s v="NEFF BATTERY"/>
    <s v="Upstream"/>
    <s v="1046"/>
    <s v=""/>
    <s v=""/>
    <s v=""/>
    <s v=""/>
    <s v=""/>
    <s v=""/>
    <s v=""/>
    <n v="5.5"/>
    <s v="HR"/>
    <n v="130"/>
    <s v=""/>
    <n v="715"/>
    <s v="--multiple--"/>
    <s v="703517"/>
    <d v="2025-10-13T11:11:29"/>
    <s v=""/>
    <s v=""/>
    <s v=""/>
    <s v=""/>
  </r>
  <r>
    <s v="212384"/>
    <s v="Basin Trucking LLC"/>
    <x v="12"/>
    <s v="Delfino Martinez"/>
    <s v="Colby Brunson"/>
    <s v="Drove to 2dn yard and cut 8&quot; pipe in half"/>
    <s v="5051049"/>
    <s v="Upstream"/>
    <s v="167926"/>
    <s v="USD"/>
    <n v="200"/>
    <s v="Direct Entry"/>
    <s v="1"/>
    <s v="Welder"/>
    <s v="Welder"/>
    <s v="Welding Services"/>
    <d v="2025-10-13T12:19:23"/>
    <d v="2025-10-06T07:00:00"/>
    <d v="2025-10-06T09:00:00"/>
    <s v=""/>
    <s v="NEFF BATTERY"/>
    <s v=""/>
    <s v=""/>
    <s v=""/>
    <s v=""/>
    <s v=""/>
    <s v=""/>
    <s v=""/>
    <s v=""/>
    <s v=""/>
    <s v=""/>
    <s v=""/>
    <s v=""/>
    <s v=""/>
    <s v=""/>
    <s v=""/>
    <s v=""/>
    <s v=""/>
    <s v=""/>
    <s v=""/>
    <s v=""/>
    <s v=""/>
    <s v=""/>
    <s v="Labor"/>
    <s v=""/>
    <s v=""/>
    <s v=""/>
    <s v="8000324900"/>
    <s v="NEFF BATTERY"/>
    <s v="Upstream"/>
    <s v="1046"/>
    <s v=""/>
    <s v=""/>
    <s v=""/>
    <s v=""/>
    <s v=""/>
    <s v=""/>
    <s v=""/>
    <n v="2"/>
    <s v="HR"/>
    <n v="100"/>
    <s v=""/>
    <n v="200"/>
    <s v="--multiple--"/>
    <s v="703517"/>
    <d v="2025-10-13T12:23:41"/>
    <s v=""/>
    <s v=""/>
    <s v=""/>
    <s v=""/>
  </r>
  <r>
    <s v="213660"/>
    <s v="Basin Trucking LLC"/>
    <x v="10"/>
    <s v="Delfino Martinez"/>
    <s v="Colby Brunson"/>
    <s v="Drove to location replace raiser water line on prefab water drain then install on standby for pumper the pump oil and release the pressure to disconnect line oil install new."/>
    <s v="5051049"/>
    <s v="Upstream"/>
    <s v="169526"/>
    <s v="USD"/>
    <n v="1850"/>
    <s v="Direct Entry"/>
    <s v="1"/>
    <s v="3 Man Crew"/>
    <s v="3 Man Crew"/>
    <s v="Roustabout Crew"/>
    <d v="2025-10-13T09:35:49"/>
    <d v="2025-10-06T10:00:00"/>
    <d v="2025-10-06T20:00:00"/>
    <s v=""/>
    <s v="WINDHAM D BATTERY"/>
    <s v=""/>
    <s v=""/>
    <s v=""/>
    <s v=""/>
    <s v=""/>
    <s v=""/>
    <s v=""/>
    <s v=""/>
    <s v=""/>
    <s v=""/>
    <s v=""/>
    <s v=""/>
    <s v=""/>
    <s v=""/>
    <s v=""/>
    <s v=""/>
    <s v=""/>
    <s v=""/>
    <s v=""/>
    <s v=""/>
    <s v=""/>
    <s v=""/>
    <s v="Labor"/>
    <s v=""/>
    <s v=""/>
    <s v=""/>
    <s v="8300167800"/>
    <s v="WINDHAM D BATTERY"/>
    <s v="Upstream"/>
    <s v="1046"/>
    <s v=""/>
    <s v=""/>
    <s v=""/>
    <s v=""/>
    <s v=""/>
    <s v=""/>
    <s v=""/>
    <n v="10"/>
    <s v="HR"/>
    <n v="130"/>
    <s v=""/>
    <n v="1300"/>
    <s v="--multiple--"/>
    <s v="703517"/>
    <d v="2025-10-13T09:38:53"/>
    <s v=""/>
    <s v=""/>
    <s v=""/>
    <s v=""/>
  </r>
  <r>
    <s v="213551"/>
    <s v="Basin Trucking LLC"/>
    <x v="2"/>
    <s v="Delfino Martinez"/>
    <s v="Colby Brunson"/>
    <s v="Drove to the parts store to picked up material drove to the location install cattle panel on the fence put wire line the fence and install post with cement"/>
    <s v="5051027"/>
    <s v="Upstream"/>
    <s v="158645"/>
    <s v="USD"/>
    <n v="942.5"/>
    <s v="Direct Entry"/>
    <s v="1"/>
    <s v="3 Man Crew"/>
    <s v="3 Man Crew"/>
    <s v="Roustabout Crew"/>
    <d v="2025-10-13T11:02:16"/>
    <d v="2025-10-06T12:00:00"/>
    <d v="2025-10-06T19:15:00"/>
    <s v=""/>
    <s v="CLARK CATTAIL BATTERY"/>
    <s v=""/>
    <s v=""/>
    <s v=""/>
    <s v=""/>
    <s v=""/>
    <s v=""/>
    <s v=""/>
    <s v=""/>
    <s v=""/>
    <s v=""/>
    <s v=""/>
    <s v=""/>
    <s v=""/>
    <s v=""/>
    <s v=""/>
    <s v=""/>
    <s v=""/>
    <s v=""/>
    <s v=""/>
    <s v=""/>
    <s v=""/>
    <s v=""/>
    <s v="Labor"/>
    <s v=""/>
    <s v=""/>
    <s v=""/>
    <s v="8000309000"/>
    <s v="CLARK CATTAIL BATTERY"/>
    <s v="Upstream"/>
    <s v="1046"/>
    <s v=""/>
    <s v=""/>
    <s v=""/>
    <s v=""/>
    <s v=""/>
    <s v=""/>
    <s v=""/>
    <n v="7.25"/>
    <s v="HR"/>
    <n v="130"/>
    <s v=""/>
    <n v="942.5"/>
    <s v="--multiple--"/>
    <s v="703517"/>
    <d v="2025-10-13T11:03:11"/>
    <s v=""/>
    <s v=""/>
    <s v=""/>
    <s v=""/>
  </r>
  <r>
    <s v="890042280"/>
    <s v="ChampionX LLC"/>
    <x v="0"/>
    <s v="Jeff Schartz"/>
    <s v="Colby Brunson"/>
    <s v="Automation, services, and equipment"/>
    <s v="5051035"/>
    <s v="Upstream"/>
    <s v=""/>
    <s v="USD"/>
    <n v="2375"/>
    <s v="B2B"/>
    <s v="1"/>
    <s v="1179068"/>
    <s v="SPT END DEVICE_WIRELESS LOAD CELL_50K_ECO WELL U SHAPE"/>
    <s v=""/>
    <d v="2025-10-01T10:36:18"/>
    <d v="2025-09-25T00:00:00"/>
    <d v="2025-09-25T00:00:00"/>
    <s v=""/>
    <s v="Cowden B #2204"/>
    <s v=""/>
    <s v=""/>
    <s v=""/>
    <s v=""/>
    <s v=""/>
    <s v=""/>
    <s v=""/>
    <s v=""/>
    <s v=""/>
    <s v=""/>
    <s v=""/>
    <s v=""/>
    <s v=""/>
    <s v=""/>
    <s v=""/>
    <s v=""/>
    <s v=""/>
    <s v=""/>
    <s v=""/>
    <s v=""/>
    <s v=""/>
    <s v=""/>
    <s v=""/>
    <s v=""/>
    <s v=""/>
    <s v=""/>
    <s v="1001286400"/>
    <s v="COWDEN B 2204"/>
    <s v="Upstream"/>
    <s v="1046"/>
    <s v=""/>
    <s v=""/>
    <s v=""/>
    <s v=""/>
    <s v=""/>
    <s v=""/>
    <s v="Other"/>
    <n v="1"/>
    <s v="each"/>
    <n v="2375"/>
    <s v=""/>
    <n v="2375"/>
    <s v="--multiple--"/>
    <s v="711892"/>
    <d v="2025-10-01T10:36:18"/>
    <s v=""/>
    <s v=""/>
    <s v=""/>
    <s v=""/>
  </r>
  <r>
    <s v="211915"/>
    <s v="Basin Trucking LLC"/>
    <x v="9"/>
    <s v="Joshua Pallanes"/>
    <s v="Colby Brunson"/>
    <s v="Replaced a bad 3&quot; water dump valve with a rebuilt one installed ball valves on water line from testers."/>
    <s v="5051049"/>
    <s v="Upstream"/>
    <s v="167935"/>
    <s v="USD"/>
    <n v="1527.5"/>
    <s v="Direct Entry"/>
    <s v="1"/>
    <s v="3 Man Crew"/>
    <s v="3 Man Crew"/>
    <s v="Roustabout Crew"/>
    <d v="2025-10-07T12:04:55"/>
    <d v="2025-09-30T06:15:00"/>
    <d v="2025-09-30T18:00:00"/>
    <s v=""/>
    <s v="RIO WICHITA 15 10 111"/>
    <s v=""/>
    <s v=""/>
    <s v=""/>
    <s v=""/>
    <s v=""/>
    <s v=""/>
    <s v=""/>
    <s v=""/>
    <s v=""/>
    <s v=""/>
    <s v=""/>
    <s v=""/>
    <s v=""/>
    <s v=""/>
    <s v=""/>
    <s v=""/>
    <s v=""/>
    <s v=""/>
    <s v=""/>
    <s v=""/>
    <s v=""/>
    <s v=""/>
    <s v="Labor"/>
    <s v=""/>
    <s v=""/>
    <s v=""/>
    <s v="8300147700"/>
    <s v="RIO WICHITA 15-10 BATTERY"/>
    <s v="Upstream"/>
    <s v="1046"/>
    <s v=""/>
    <s v=""/>
    <s v=""/>
    <s v=""/>
    <s v=""/>
    <s v=""/>
    <s v=""/>
    <n v="11.75"/>
    <s v="HR"/>
    <n v="130"/>
    <s v=""/>
    <n v="1527.5"/>
    <s v="--multiple--"/>
    <s v="703517"/>
    <d v="2025-10-07T12:07:45"/>
    <s v=""/>
    <s v=""/>
    <s v=""/>
    <s v=""/>
  </r>
  <r>
    <s v="211921"/>
    <s v="Basin Trucking LLC"/>
    <x v="12"/>
    <s v="Joshua Pallanes"/>
    <s v="Colby Brunson"/>
    <s v="Drove to 2dn yard and bolted up and hydrotest spools and took to OIC to get coated."/>
    <s v="5051049"/>
    <s v="Upstream"/>
    <s v="168535"/>
    <s v="USD"/>
    <n v="585"/>
    <s v="Direct Entry"/>
    <s v="1"/>
    <s v="3 Man Crew"/>
    <s v="3 Man Crew"/>
    <s v="Roustabout Crew"/>
    <d v="2025-10-10T09:11:31"/>
    <d v="2025-10-04T06:00:00"/>
    <d v="2025-10-04T10:30:00"/>
    <s v=""/>
    <s v="RIO SABINE 39 42"/>
    <s v=""/>
    <s v=""/>
    <s v=""/>
    <s v=""/>
    <s v=""/>
    <s v=""/>
    <s v=""/>
    <s v=""/>
    <s v=""/>
    <s v=""/>
    <s v=""/>
    <s v=""/>
    <s v=""/>
    <s v=""/>
    <s v=""/>
    <s v=""/>
    <s v=""/>
    <s v=""/>
    <s v=""/>
    <s v=""/>
    <s v=""/>
    <s v=""/>
    <s v="Labor"/>
    <s v=""/>
    <s v=""/>
    <s v=""/>
    <s v="8300147300"/>
    <s v="RIO SABINE 39-42 BATTERY"/>
    <s v="Upstream"/>
    <s v="1046"/>
    <s v=""/>
    <s v=""/>
    <s v=""/>
    <s v=""/>
    <s v=""/>
    <s v=""/>
    <s v=""/>
    <n v="4.5"/>
    <s v="HR"/>
    <n v="130"/>
    <s v=""/>
    <n v="585"/>
    <s v="--multiple--"/>
    <s v="703517"/>
    <d v="2025-10-10T09:15:03"/>
    <s v=""/>
    <s v=""/>
    <s v=""/>
    <s v=""/>
  </r>
  <r>
    <s v="211922"/>
    <s v="Basin Trucking LLC"/>
    <x v="12"/>
    <s v="Joshua Pallanes"/>
    <s v="Colby Brunson"/>
    <s v="Drove to 2nd yard and bolted up spools and hydrotest after Xray finished"/>
    <s v="5051049"/>
    <s v="Upstream"/>
    <s v="168525"/>
    <s v="USD"/>
    <n v="2265"/>
    <s v="Direct Entry"/>
    <s v="1"/>
    <s v="3 Man Crew"/>
    <s v="3 Man Crew"/>
    <s v="Roustabout Crew"/>
    <d v="2025-10-10T09:23:51"/>
    <d v="2025-10-04T10:30:00"/>
    <d v="2025-10-04T15:00:00"/>
    <s v=""/>
    <s v="RIO SABINE 39-42 BATTERY"/>
    <s v=""/>
    <s v=""/>
    <s v=""/>
    <s v=""/>
    <s v=""/>
    <s v=""/>
    <s v=""/>
    <s v=""/>
    <s v=""/>
    <s v=""/>
    <s v=""/>
    <s v=""/>
    <s v=""/>
    <s v=""/>
    <s v=""/>
    <s v=""/>
    <s v=""/>
    <s v=""/>
    <s v=""/>
    <s v=""/>
    <s v=""/>
    <s v=""/>
    <s v="Labor"/>
    <s v=""/>
    <s v=""/>
    <s v=""/>
    <s v="8300147300"/>
    <s v="RIO SABINE 39-42 BATTERY"/>
    <s v="Upstream"/>
    <s v="1046"/>
    <s v=""/>
    <s v=""/>
    <s v=""/>
    <s v=""/>
    <s v=""/>
    <s v=""/>
    <s v=""/>
    <n v="4.5"/>
    <s v="HR"/>
    <n v="130"/>
    <s v=""/>
    <n v="585"/>
    <s v="--multiple--"/>
    <s v="703517"/>
    <d v="2025-10-10T09:25:51"/>
    <s v=""/>
    <s v=""/>
    <s v=""/>
    <s v=""/>
  </r>
  <r>
    <s v="78556"/>
    <s v="Pumping Unit Technologies, LLC"/>
    <x v="9"/>
    <s v="Raymond Sanchez"/>
    <s v="Colby Brunson"/>
    <s v="Bridle Bracket Installation"/>
    <s v="5051035"/>
    <s v="Upstream"/>
    <s v="146569"/>
    <s v="USD"/>
    <n v="840"/>
    <s v="Direct Entry"/>
    <s v="1"/>
    <s v="SL11998"/>
    <s v="Field Welder"/>
    <s v=""/>
    <d v="2025-10-07T12:16:18"/>
    <d v="2025-09-26T08:30:00"/>
    <d v="2025-09-26T10:30:00"/>
    <s v=""/>
    <s v="Rio Wichita 15-10H 183"/>
    <s v=""/>
    <s v=""/>
    <s v=""/>
    <s v=""/>
    <s v=""/>
    <s v=""/>
    <s v=""/>
    <s v=""/>
    <s v=""/>
    <s v=""/>
    <s v=""/>
    <s v=""/>
    <s v=""/>
    <s v=""/>
    <s v=""/>
    <s v=""/>
    <s v=""/>
    <s v=""/>
    <s v=""/>
    <s v=""/>
    <s v=""/>
    <s v=""/>
    <s v="Labor"/>
    <s v=""/>
    <s v=""/>
    <s v=""/>
    <s v="1001465600"/>
    <s v="RIO WICHITA 15-10 H 183"/>
    <s v="Upstream"/>
    <s v="1046"/>
    <s v=""/>
    <s v=""/>
    <s v=""/>
    <s v=""/>
    <s v=""/>
    <s v=""/>
    <s v=""/>
    <n v="2"/>
    <s v="HR"/>
    <n v="175"/>
    <s v=""/>
    <n v="350"/>
    <s v="--multiple--"/>
    <s v="712963"/>
    <d v="2025-10-07T12:18:31"/>
    <s v=""/>
    <s v=""/>
    <s v=""/>
    <s v=""/>
  </r>
  <r>
    <s v="15177"/>
    <s v="RHINO POWER, LLC"/>
    <x v="5"/>
    <s v="Christian Stephens"/>
    <s v="Colin Harris"/>
    <s v="Drove to location. Created and reviewed JHA.  Walk through jobsite._x000a_Then we checked the voltage was off, then we disconnected all the cables and took them out and  pick up everything and left"/>
    <s v="8501142"/>
    <s v="AC-AC"/>
    <s v=""/>
    <s v="USD"/>
    <n v="450"/>
    <s v="Direct Entry"/>
    <s v="1"/>
    <s v="RHINO-03"/>
    <s v="Journeyman Electrician"/>
    <s v=""/>
    <d v="2025-10-13T16:58:56"/>
    <d v="2025-09-25T15:00:00"/>
    <d v="2025-09-25T18:00:00"/>
    <s v=""/>
    <s v=""/>
    <s v=""/>
    <s v=""/>
    <s v=""/>
    <s v=""/>
    <s v=""/>
    <s v=""/>
    <s v=""/>
    <s v=""/>
    <s v=""/>
    <s v=""/>
    <s v=""/>
    <s v=""/>
    <s v=""/>
    <s v=""/>
    <s v=""/>
    <s v=""/>
    <s v=""/>
    <s v=""/>
    <s v=""/>
    <s v=""/>
    <s v=""/>
    <s v=""/>
    <s v="Labor"/>
    <s v="PEREZ, GERARDO"/>
    <s v=""/>
    <s v=""/>
    <s v="AC-001962AC"/>
    <s v="HUGHES 43-47 UNIT 1 212 - ESP2GL"/>
    <s v="AC-AC"/>
    <s v="1046"/>
    <s v=""/>
    <s v=""/>
    <s v=""/>
    <s v=""/>
    <s v=""/>
    <s v=""/>
    <s v=""/>
    <n v="3"/>
    <s v="HR"/>
    <n v="63"/>
    <s v=""/>
    <n v="189"/>
    <s v="Pricebook"/>
    <s v="713511"/>
    <d v="2025-10-13T17:01:01"/>
    <s v=""/>
    <s v=""/>
    <s v=""/>
    <s v=""/>
  </r>
  <r>
    <s v="15203"/>
    <s v="RHINO POWER, LLC"/>
    <x v="5"/>
    <s v="Christian Stephens"/>
    <s v="Colin Harris"/>
    <s v="Drove to location. Created and reviewed JHA.  Walk through jobsite._x000a_Then we checked the voltage and the ESP was off then we disconnected all the cables and removed them from the equipment and lifted them and took them to the yard"/>
    <s v="5101017"/>
    <s v="EW-EW"/>
    <s v=""/>
    <s v="USD"/>
    <n v="600"/>
    <s v="Direct Entry"/>
    <s v="1"/>
    <s v="RHINO-03"/>
    <s v="Journeyman Electrician"/>
    <s v=""/>
    <d v="2025-10-13T17:21:49"/>
    <d v="2025-09-26T07:00:00"/>
    <d v="2025-09-26T11:00:00"/>
    <s v=""/>
    <s v=""/>
    <s v=""/>
    <s v=""/>
    <s v=""/>
    <s v=""/>
    <s v=""/>
    <s v=""/>
    <s v=""/>
    <s v=""/>
    <s v=""/>
    <s v=""/>
    <s v=""/>
    <s v=""/>
    <s v=""/>
    <s v=""/>
    <s v=""/>
    <s v=""/>
    <s v=""/>
    <s v=""/>
    <s v=""/>
    <s v=""/>
    <s v=""/>
    <s v=""/>
    <s v="Labor"/>
    <s v=""/>
    <s v=""/>
    <s v=""/>
    <s v="EW-003928EW"/>
    <s v="HUGHES 43-47 UNIT 2 162 - ESP RPR"/>
    <s v="EW-EW"/>
    <s v="1046"/>
    <s v=""/>
    <s v=""/>
    <s v=""/>
    <s v=""/>
    <s v=""/>
    <s v=""/>
    <s v=""/>
    <n v="4"/>
    <s v="HR"/>
    <n v="63"/>
    <s v=""/>
    <n v="252"/>
    <s v="Pricebook"/>
    <s v="713511"/>
    <d v="2025-10-13T17:30:12"/>
    <s v=""/>
    <s v=""/>
    <s v=""/>
    <s v=""/>
  </r>
  <r>
    <s v="210735"/>
    <s v="Basin Trucking LLC"/>
    <x v="12"/>
    <s v="Delfino Martinez"/>
    <s v="Connor Mckown"/>
    <s v="Drove to location installed wellhead and add the parts on prefab injection line."/>
    <s v="8501195"/>
    <s v="AC-AC"/>
    <s v="159282"/>
    <s v="USD"/>
    <n v="1072.5"/>
    <s v="Direct Entry"/>
    <s v="1"/>
    <s v="3 Man Crew"/>
    <s v="3 Man Crew"/>
    <s v="Roustabout Crew"/>
    <d v="2025-10-06T07:58:33"/>
    <d v="2025-09-24T06:45:00"/>
    <d v="2025-09-24T15:00:00"/>
    <s v=""/>
    <s v="Rio Guadalupe 22-23G 271"/>
    <s v=""/>
    <s v=""/>
    <s v=""/>
    <s v=""/>
    <s v=""/>
    <s v=""/>
    <s v=""/>
    <s v=""/>
    <s v=""/>
    <s v=""/>
    <s v=""/>
    <s v=""/>
    <s v=""/>
    <s v=""/>
    <s v=""/>
    <s v=""/>
    <s v=""/>
    <s v=""/>
    <s v=""/>
    <s v=""/>
    <s v=""/>
    <s v=""/>
    <s v="Labor"/>
    <s v=""/>
    <s v=""/>
    <s v=""/>
    <s v="AC-002016AC"/>
    <s v="RIO GUADALUPE 22-23 G 271 - GL2GAPL"/>
    <s v="AC-AC"/>
    <s v="1046"/>
    <s v=""/>
    <s v=""/>
    <s v=""/>
    <s v=""/>
    <s v=""/>
    <s v=""/>
    <s v=""/>
    <n v="8.25"/>
    <s v="HR"/>
    <n v="130"/>
    <s v=""/>
    <n v="1072.5"/>
    <s v="--multiple--"/>
    <s v="703517"/>
    <d v="2025-10-07T09:35:36"/>
    <s v=""/>
    <s v=""/>
    <s v="Validation Overlapping Hours"/>
    <s v=""/>
  </r>
  <r>
    <s v="211912"/>
    <s v="Basin Trucking LLC"/>
    <x v="12"/>
    <s v="Joshua Pallanes"/>
    <s v="Connor Mckown"/>
    <s v="Drove to location and built 2&quot; XXH wellhead retightened everything correctly to avoid any future leaks."/>
    <s v="8501195"/>
    <s v="AC-AC"/>
    <s v="156550"/>
    <s v="USD"/>
    <n v="877.5"/>
    <s v="Direct Entry"/>
    <s v="1"/>
    <s v="3 Man Crew"/>
    <s v="3 Man Crew"/>
    <s v="Roustabout Crew"/>
    <d v="2025-10-07T09:08:21"/>
    <d v="2025-09-26T06:15:00"/>
    <d v="2025-09-26T13:00:00"/>
    <s v=""/>
    <s v="Rio Concho 34-46A 212"/>
    <s v=""/>
    <s v=""/>
    <s v=""/>
    <s v=""/>
    <s v=""/>
    <s v=""/>
    <s v=""/>
    <s v=""/>
    <s v=""/>
    <s v=""/>
    <s v=""/>
    <s v=""/>
    <s v=""/>
    <s v=""/>
    <s v=""/>
    <s v=""/>
    <s v=""/>
    <s v=""/>
    <s v=""/>
    <s v=""/>
    <s v=""/>
    <s v=""/>
    <s v="Labor"/>
    <s v=""/>
    <s v=""/>
    <s v=""/>
    <s v="AC-001940AC"/>
    <s v="RIO CONCHO 34-46 A 212 GL2GAPL"/>
    <s v="AC-AC"/>
    <s v="1046"/>
    <s v=""/>
    <s v=""/>
    <s v=""/>
    <s v=""/>
    <s v=""/>
    <s v=""/>
    <s v=""/>
    <n v="6.75"/>
    <s v="HR"/>
    <n v="130"/>
    <s v=""/>
    <n v="877.5"/>
    <s v="--multiple--"/>
    <s v="703517"/>
    <d v="2025-10-07T09:15:12"/>
    <s v=""/>
    <s v=""/>
    <s v=""/>
    <s v=""/>
  </r>
  <r>
    <s v="97584"/>
    <s v="BLS Electrical, Inc."/>
    <x v="0"/>
    <s v="Mauro Barraza"/>
    <s v="Connor Mckown"/>
    <s v="Picked up and loaded transformers, material, wire and hardware hauled to location filled out JSA  unloaded transformers, mounted on cluster wired up primary and secondary buss took down 3 - 167 Kva 14,400/240/480 transformers, 400 amp safety switch and risers installed 3 - 50 Kva 14,400/240/480 transformers, 200 amp safety switch and 3/0 secondary riser wire in rigid conduit run all jumpers made all terminations and grounded customers equipment checked voltage cleaned up location hauled transformers and equipment to the Bryant lay down yard and unloaded"/>
    <s v="8501142"/>
    <s v="AC-AC"/>
    <s v=""/>
    <s v="USD"/>
    <n v="4188"/>
    <s v="API"/>
    <s v="1"/>
    <s v="Line Foreman"/>
    <s v="Powerline Foreman - Regular"/>
    <s v="Labor"/>
    <d v="2025-09-23T07:28:57"/>
    <d v="2025-09-12T07:00:00"/>
    <d v="2025-09-12T15:00:00"/>
    <s v=""/>
    <s v="Rio Concho 34-46 B123"/>
    <s v=""/>
    <s v=""/>
    <s v=""/>
    <s v=""/>
    <s v=""/>
    <s v=""/>
    <s v=""/>
    <s v=""/>
    <s v=""/>
    <s v=""/>
    <s v=""/>
    <s v=""/>
    <s v=""/>
    <s v=""/>
    <s v=""/>
    <s v=""/>
    <s v=""/>
    <s v=""/>
    <s v=""/>
    <s v=""/>
    <s v=""/>
    <s v=""/>
    <s v="Labor"/>
    <s v=""/>
    <s v=""/>
    <s v=""/>
    <s v="AC-001945AC"/>
    <s v="RIO CONCHO 34-46 B 123 GL2RP"/>
    <s v="AC-AC"/>
    <s v="1046"/>
    <s v=""/>
    <s v=""/>
    <s v=""/>
    <s v=""/>
    <s v=""/>
    <s v=""/>
    <s v=""/>
    <n v="8"/>
    <s v="per hour"/>
    <n v="72"/>
    <s v=""/>
    <n v="576"/>
    <s v="--multiple--"/>
    <s v="710565"/>
    <d v="2025-09-30T08:20:36"/>
    <s v=""/>
    <s v=""/>
    <s v=""/>
    <s v=""/>
  </r>
  <r>
    <s v="4628-1152773"/>
    <s v="Cain Electric Supply CORP"/>
    <x v="0"/>
    <s v="Mauro Barraza"/>
    <s v="Connor Mckown"/>
    <s v="Electrical Materials"/>
    <s v="8501141"/>
    <s v="AC-AC"/>
    <s v=""/>
    <s v="USD"/>
    <n v="211.28"/>
    <s v=""/>
    <s v="1"/>
    <s v="SS A120210PG"/>
    <s v="BK/BKCHNL"/>
    <s v=""/>
    <d v="2025-10-07T19:05:43"/>
    <d v="2025-10-07T08:00:00"/>
    <d v="2025-10-07T08:00:00"/>
    <s v=""/>
    <s v="Rio Pecos 27-18 SL U2 6LS"/>
    <s v=""/>
    <s v=""/>
    <s v=""/>
    <s v=""/>
    <s v=""/>
    <s v=""/>
    <s v=""/>
    <s v=""/>
    <s v=""/>
    <s v=""/>
    <s v=""/>
    <s v=""/>
    <s v=""/>
    <s v=""/>
    <s v=""/>
    <s v=""/>
    <s v=""/>
    <s v=""/>
    <s v=""/>
    <s v=""/>
    <s v=""/>
    <s v=""/>
    <s v="Material"/>
    <s v=""/>
    <s v=""/>
    <s v=""/>
    <s v="AC-001883AC"/>
    <s v="RIO PECOS 27-18SL UNIT 2 6LS - GL2RP"/>
    <s v="AC-AC"/>
    <s v="1046"/>
    <s v=""/>
    <s v=""/>
    <s v=""/>
    <s v=""/>
    <s v=""/>
    <s v=""/>
    <s v=""/>
    <n v="10"/>
    <s v="EA"/>
    <n v="7.85"/>
    <s v=""/>
    <n v="78.5"/>
    <s v="--multiple--"/>
    <s v="703819"/>
    <d v="2025-10-10T08:48:07"/>
    <s v=""/>
    <s v=""/>
    <s v=""/>
    <s v=""/>
  </r>
  <r>
    <s v="4628-1152923"/>
    <s v="Cain Electric Supply CORP"/>
    <x v="0"/>
    <s v="Mauro Barraza"/>
    <s v="Connor Mckown"/>
    <s v="Electrical Materials"/>
    <s v="8501141"/>
    <s v="AC-AC"/>
    <s v=""/>
    <s v="USD"/>
    <n v="976.55"/>
    <s v=""/>
    <s v="1"/>
    <s v="WIRE SDT6/3W/GRD"/>
    <s v="6-7R 3/C W/G TC CTRL CBL"/>
    <s v=""/>
    <d v="2025-10-08T19:04:11"/>
    <d v="2025-10-08T08:00:00"/>
    <d v="2025-10-08T08:00:00"/>
    <s v=""/>
    <s v="RIO PECOS 18SL U2"/>
    <s v=""/>
    <s v=""/>
    <s v=""/>
    <s v=""/>
    <s v=""/>
    <s v=""/>
    <s v=""/>
    <s v=""/>
    <s v=""/>
    <s v=""/>
    <s v=""/>
    <s v=""/>
    <s v=""/>
    <s v=""/>
    <s v=""/>
    <s v=""/>
    <s v=""/>
    <s v=""/>
    <s v=""/>
    <s v=""/>
    <s v=""/>
    <s v=""/>
    <s v="Material"/>
    <s v=""/>
    <s v=""/>
    <s v=""/>
    <s v="AC-001883AC"/>
    <s v="RIO PECOS 27-18SL UNIT 2 6LS - GL2RP"/>
    <s v="AC-AC"/>
    <s v="1046"/>
    <s v=""/>
    <s v=""/>
    <s v=""/>
    <s v=""/>
    <s v=""/>
    <s v=""/>
    <s v=""/>
    <n v="15"/>
    <s v="EA"/>
    <n v="3.92"/>
    <s v=""/>
    <n v="58.73"/>
    <s v="--multiple--"/>
    <s v="703819"/>
    <d v="2025-10-10T09:10:51"/>
    <s v=""/>
    <s v=""/>
    <s v=""/>
    <s v=""/>
  </r>
  <r>
    <s v="4628-1152939"/>
    <s v="Cain Electric Supply CORP"/>
    <x v="0"/>
    <s v="Mauro Barraza"/>
    <s v="Connor Mckown"/>
    <s v="Electrical Materials"/>
    <s v="8501141"/>
    <s v="AC-AC"/>
    <s v=""/>
    <s v="USD"/>
    <n v="324.17"/>
    <s v=""/>
    <s v="1"/>
    <s v="TB 10RC8F"/>
    <s v="12-10 INS SPADE TERM"/>
    <s v=""/>
    <d v="2025-10-08T19:04:20"/>
    <d v="2025-10-08T08:00:00"/>
    <d v="2025-10-08T08:00:00"/>
    <s v=""/>
    <s v="RIO PECOS 18SL U2"/>
    <s v=""/>
    <s v=""/>
    <s v=""/>
    <s v=""/>
    <s v=""/>
    <s v=""/>
    <s v=""/>
    <s v=""/>
    <s v=""/>
    <s v=""/>
    <s v=""/>
    <s v=""/>
    <s v=""/>
    <s v=""/>
    <s v=""/>
    <s v=""/>
    <s v=""/>
    <s v=""/>
    <s v=""/>
    <s v=""/>
    <s v=""/>
    <s v=""/>
    <s v="Material"/>
    <s v=""/>
    <s v=""/>
    <s v=""/>
    <s v="AC-001883AC"/>
    <s v="RIO PECOS 27-18SL UNIT 2 6LS - GL2RP"/>
    <s v="AC-AC"/>
    <s v="1046"/>
    <s v=""/>
    <s v=""/>
    <s v=""/>
    <s v=""/>
    <s v=""/>
    <s v=""/>
    <s v=""/>
    <n v="16.670000000000002"/>
    <s v="EA"/>
    <n v="1.2"/>
    <s v=""/>
    <n v="20"/>
    <s v="--multiple--"/>
    <s v="703819"/>
    <d v="2025-10-10T09:14:38"/>
    <s v=""/>
    <s v=""/>
    <s v=""/>
    <s v=""/>
  </r>
  <r>
    <s v="4628-1153017"/>
    <s v="Cain Electric Supply CORP"/>
    <x v="0"/>
    <s v="Mauro Barraza"/>
    <s v="Connor Mckown"/>
    <s v="Electrical Materials"/>
    <s v="8501141"/>
    <s v="AC-AC"/>
    <s v=""/>
    <s v="USD"/>
    <n v="2271.4899999999998"/>
    <s v=""/>
    <s v="1"/>
    <s v="HOFF AS300"/>
    <s v="3-IN OT KO SEAL"/>
    <s v=""/>
    <d v="2025-10-08T19:04:39"/>
    <d v="2025-10-08T08:00:00"/>
    <d v="2025-10-08T08:00:00"/>
    <s v=""/>
    <s v="RIO PECOS 18SL U2"/>
    <s v=""/>
    <s v=""/>
    <s v=""/>
    <s v=""/>
    <s v=""/>
    <s v=""/>
    <s v=""/>
    <s v=""/>
    <s v=""/>
    <s v=""/>
    <s v=""/>
    <s v=""/>
    <s v=""/>
    <s v=""/>
    <s v=""/>
    <s v=""/>
    <s v=""/>
    <s v=""/>
    <s v=""/>
    <s v=""/>
    <s v=""/>
    <s v=""/>
    <s v="Material"/>
    <s v=""/>
    <s v=""/>
    <s v=""/>
    <s v="AC-001885AC"/>
    <s v="RIO PECOS 27-18SL UNIT 2 8LS - GL2RP"/>
    <s v="AC-AC"/>
    <s v="1046"/>
    <s v=""/>
    <s v=""/>
    <s v=""/>
    <s v=""/>
    <s v=""/>
    <s v=""/>
    <s v=""/>
    <n v="0.33"/>
    <s v="EA"/>
    <n v="48.84"/>
    <s v=""/>
    <n v="16.28"/>
    <s v="--multiple--"/>
    <s v="703819"/>
    <d v="2025-10-10T09:30:53"/>
    <s v=""/>
    <s v=""/>
    <s v=""/>
    <s v=""/>
  </r>
  <r>
    <s v="211281"/>
    <s v="Basin Trucking LLC"/>
    <x v="0"/>
    <s v="Robert Heater"/>
    <s v="Connor Mckown"/>
    <s v="Drove to location prefab parts for wellhead cleaned trash and left parts in order at the peek of the wellhead."/>
    <s v="8501210"/>
    <s v="AC-AC"/>
    <s v="157113"/>
    <s v="USD"/>
    <n v="682.5"/>
    <s v="Direct Entry"/>
    <s v="1"/>
    <s v="3 Man Crew"/>
    <s v="3 Man Crew"/>
    <s v="Roustabout Crew"/>
    <d v="2025-10-04T12:52:50"/>
    <d v="2025-09-24T08:15:00"/>
    <d v="2025-09-24T13:30:00"/>
    <s v=""/>
    <s v="Rio Brazos 26-15 242"/>
    <s v=""/>
    <s v=""/>
    <s v=""/>
    <s v=""/>
    <s v=""/>
    <s v=""/>
    <s v=""/>
    <s v=""/>
    <s v=""/>
    <s v=""/>
    <s v=""/>
    <s v=""/>
    <s v=""/>
    <s v=""/>
    <s v=""/>
    <s v=""/>
    <s v=""/>
    <s v=""/>
    <s v=""/>
    <s v=""/>
    <s v=""/>
    <s v=""/>
    <s v="Labor"/>
    <s v=""/>
    <s v=""/>
    <s v=""/>
    <s v="AC-001964AC"/>
    <s v="RIO BRAZOS 26-15 UNIT 1 242 GL2GAPL"/>
    <s v="AC-AC"/>
    <s v="1046"/>
    <s v=""/>
    <s v=""/>
    <s v=""/>
    <s v=""/>
    <s v=""/>
    <s v=""/>
    <s v=""/>
    <n v="5.25"/>
    <s v="HR"/>
    <n v="130"/>
    <s v=""/>
    <n v="682.5"/>
    <s v="--multiple--"/>
    <s v="703517"/>
    <d v="2025-10-04T12:54:57"/>
    <s v=""/>
    <s v=""/>
    <s v=""/>
    <s v=""/>
  </r>
  <r>
    <s v="212119"/>
    <s v="Basin Trucking LLC"/>
    <x v="0"/>
    <s v="Robert Heater"/>
    <s v="Connor Mckown"/>
    <s v="Drove to location started to assemble the wellhead conversion."/>
    <s v="8501210"/>
    <s v="AC-AC"/>
    <s v="159288"/>
    <s v="USD"/>
    <n v="747.5"/>
    <s v="Direct Entry"/>
    <s v="1"/>
    <s v="3 Man Crew"/>
    <s v="3 Man Crew"/>
    <s v="Roustabout Crew"/>
    <d v="2025-10-04T13:12:37"/>
    <d v="2025-09-24T13:00:00"/>
    <d v="2025-09-24T18:45:00"/>
    <s v=""/>
    <s v="Rio Guadalupe 22-23 A 212"/>
    <s v=""/>
    <s v=""/>
    <s v=""/>
    <s v=""/>
    <s v=""/>
    <s v=""/>
    <s v=""/>
    <s v=""/>
    <s v=""/>
    <s v=""/>
    <s v=""/>
    <s v=""/>
    <s v=""/>
    <s v=""/>
    <s v=""/>
    <s v=""/>
    <s v=""/>
    <s v=""/>
    <s v=""/>
    <s v=""/>
    <s v=""/>
    <s v=""/>
    <s v="Labor"/>
    <s v=""/>
    <s v=""/>
    <s v=""/>
    <s v="AC-002010AC"/>
    <s v="RIO GUADALUPE 22-23 A 212 - GL2GAPL"/>
    <s v="AC-AC"/>
    <s v="1046"/>
    <s v=""/>
    <s v=""/>
    <s v=""/>
    <s v=""/>
    <s v=""/>
    <s v=""/>
    <s v=""/>
    <n v="5.75"/>
    <s v="HR"/>
    <n v="130"/>
    <s v=""/>
    <n v="747.5"/>
    <s v="--multiple--"/>
    <s v="703517"/>
    <d v="2025-10-04T13:14:34"/>
    <s v=""/>
    <s v=""/>
    <s v=""/>
    <s v=""/>
  </r>
  <r>
    <s v="210736"/>
    <s v="Basin Trucking LLC"/>
    <x v="12"/>
    <s v="Robert Heater"/>
    <s v="Connor Mckown"/>
    <s v="Drove to location prefab wellheads"/>
    <s v="8501195"/>
    <s v="AC-AC"/>
    <s v="159282"/>
    <s v="USD"/>
    <n v="487.5"/>
    <s v="Direct Entry"/>
    <s v="1"/>
    <s v="3 Man Crew"/>
    <s v="3 Man Crew"/>
    <s v="Roustabout Crew"/>
    <d v="2025-10-06T07:26:55"/>
    <d v="2025-09-24T17:00:00"/>
    <d v="2025-09-24T18:45:00"/>
    <s v=""/>
    <s v="Rio Brazos 26-15 Unit 1 231"/>
    <s v=""/>
    <s v=""/>
    <s v=""/>
    <s v=""/>
    <s v=""/>
    <s v=""/>
    <s v=""/>
    <s v=""/>
    <s v=""/>
    <s v=""/>
    <s v=""/>
    <s v=""/>
    <s v=""/>
    <s v=""/>
    <s v=""/>
    <s v=""/>
    <s v=""/>
    <s v=""/>
    <s v=""/>
    <s v=""/>
    <s v=""/>
    <s v=""/>
    <s v="Labor"/>
    <s v=""/>
    <s v=""/>
    <s v=""/>
    <s v="AC-002016AC"/>
    <s v="RIO GUADALUPE 22-23 G 271 - GL2GAPL"/>
    <s v="AC-AC"/>
    <s v="1046"/>
    <s v=""/>
    <s v=""/>
    <s v=""/>
    <s v=""/>
    <s v=""/>
    <s v=""/>
    <s v=""/>
    <n v="3.75"/>
    <s v="HR"/>
    <n v="130"/>
    <s v=""/>
    <n v="487.5"/>
    <s v="--multiple--"/>
    <s v="703517"/>
    <d v="2025-10-07T09:32:45"/>
    <s v=""/>
    <s v=""/>
    <s v="Validation Overlapping Hours"/>
    <s v=""/>
  </r>
  <r>
    <s v="212076"/>
    <s v="Basin Trucking LLC"/>
    <x v="12"/>
    <s v="Robert Heater"/>
    <s v="Connor Mckown"/>
    <s v="Drove to location and prefabricated 2&quot; XXH connections retightened everything correctly then ready for connect."/>
    <s v="8501195"/>
    <s v="AC-AC"/>
    <s v="157113"/>
    <s v="USD"/>
    <n v="1527.5"/>
    <s v="Direct Entry"/>
    <s v="1"/>
    <s v="3 Man Crew"/>
    <s v="3 Man Crew"/>
    <s v="Roustabout Crew"/>
    <d v="2025-10-07T13:25:12"/>
    <d v="2025-09-30T06:15:00"/>
    <d v="2025-09-30T18:00:00"/>
    <s v=""/>
    <s v="RIO BRAZOS 26-15 UNIT 1 242"/>
    <s v=""/>
    <s v=""/>
    <s v=""/>
    <s v=""/>
    <s v=""/>
    <s v=""/>
    <s v=""/>
    <s v=""/>
    <s v=""/>
    <s v=""/>
    <s v=""/>
    <s v=""/>
    <s v=""/>
    <s v=""/>
    <s v=""/>
    <s v=""/>
    <s v=""/>
    <s v=""/>
    <s v=""/>
    <s v=""/>
    <s v=""/>
    <s v=""/>
    <s v="Labor"/>
    <s v=""/>
    <s v=""/>
    <s v=""/>
    <s v="AC-001964AC"/>
    <s v="RIO BRAZOS 26-15 UNIT 1 242 GL2GAPL"/>
    <s v="AC-AC"/>
    <s v="1046"/>
    <s v=""/>
    <s v=""/>
    <s v=""/>
    <s v=""/>
    <s v=""/>
    <s v=""/>
    <s v=""/>
    <n v="11.75"/>
    <s v="HR"/>
    <n v="130"/>
    <s v=""/>
    <n v="1527.5"/>
    <s v="--multiple--"/>
    <s v="703517"/>
    <d v="2025-10-07T13:26:32"/>
    <s v=""/>
    <s v=""/>
    <s v=""/>
    <s v=""/>
  </r>
  <r>
    <s v="207054"/>
    <s v="Double D Supply Inc"/>
    <x v="12"/>
    <s v="Blane Ward"/>
    <s v="Dalton Gray"/>
    <s v="RETAIL SUPPLIES"/>
    <s v="5051049"/>
    <s v="Upstream"/>
    <s v="159804"/>
    <s v="USD"/>
    <n v="2945"/>
    <s v="Direct Entry"/>
    <s v="1"/>
    <s v="Gauges:Bourdon:bourdon160lfg4"/>
    <s v="Bourdon  160 psi LFG 4&quot; x 1/2&quot; LM SS x Br."/>
    <s v=""/>
    <d v="2025-10-02T09:44:15"/>
    <d v="2025-09-22T12:00:00"/>
    <d v="2025-09-22T12:00:00"/>
    <s v=""/>
    <s v="TARGET H BATTERY"/>
    <s v=""/>
    <s v=""/>
    <s v=""/>
    <s v=""/>
    <s v=""/>
    <s v=""/>
    <s v=""/>
    <s v=""/>
    <s v=""/>
    <s v=""/>
    <s v=""/>
    <s v=""/>
    <s v=""/>
    <s v=""/>
    <s v=""/>
    <s v=""/>
    <s v=""/>
    <s v=""/>
    <s v=""/>
    <s v=""/>
    <s v=""/>
    <s v=""/>
    <s v="Equipment"/>
    <s v=""/>
    <s v=""/>
    <s v=""/>
    <s v="8000061500"/>
    <s v="TARGET H BATTERY"/>
    <s v="Upstream"/>
    <s v="1046"/>
    <s v=""/>
    <s v=""/>
    <s v=""/>
    <s v=""/>
    <s v=""/>
    <s v=""/>
    <s v=""/>
    <n v="1"/>
    <s v="EA"/>
    <n v="57.49"/>
    <s v=""/>
    <n v="57.49"/>
    <s v=""/>
    <s v="703999"/>
    <d v="2025-10-02T09:51:00"/>
    <s v=""/>
    <s v=""/>
    <s v=""/>
    <s v=""/>
  </r>
  <r>
    <s v="244177"/>
    <s v="Royal Oilfield Services LLC"/>
    <x v="0"/>
    <s v="Carlos Lopez"/>
    <s v="Josh Clemmer"/>
    <s v="JC - I was asked to empty chemical tanks and transfer pump containers."/>
    <s v="5051057"/>
    <s v="Upstream"/>
    <s v=""/>
    <s v="USD"/>
    <n v="292.5"/>
    <s v="Direct Entry"/>
    <s v="1"/>
    <s v="100001"/>
    <s v="Vacuum Truck"/>
    <s v="Vacuum Truck"/>
    <d v="2025-09-24T11:25:03"/>
    <d v="2025-09-19T13:15:00"/>
    <d v="2025-09-19T16:30:00"/>
    <d v="1899-12-30T03:15:00"/>
    <s v="UNIVERSITY MAK 101 BATTERY"/>
    <s v=""/>
    <s v=""/>
    <s v="Produced Water"/>
    <s v=""/>
    <s v=""/>
    <s v=""/>
    <s v=""/>
    <s v=""/>
    <s v=""/>
    <s v=""/>
    <s v=""/>
    <s v=""/>
    <s v=""/>
    <s v=""/>
    <s v=""/>
    <s v=""/>
    <s v=""/>
    <s v=""/>
    <s v=""/>
    <s v=""/>
    <n v="0"/>
    <s v="bbl"/>
    <s v=""/>
    <s v=""/>
    <s v=""/>
    <s v=""/>
    <s v="8000047600"/>
    <s v="UNIVERSITY MAK 101 BATTERY"/>
    <s v="Upstream"/>
    <s v="1046"/>
    <s v=""/>
    <s v=""/>
    <s v=""/>
    <s v=""/>
    <s v=""/>
    <s v=""/>
    <s v="Hours Worked"/>
    <n v="3.25"/>
    <s v="hour"/>
    <n v="90"/>
    <s v=""/>
    <n v="292.5"/>
    <s v="Pricebook"/>
    <s v="703639"/>
    <d v="2025-09-29T12:09:24"/>
    <s v=""/>
    <s v=""/>
    <s v=""/>
    <s v=""/>
  </r>
  <r>
    <s v="662178"/>
    <s v="J&amp;R Roustabout, LLC"/>
    <x v="8"/>
    <s v="Curran Hutcherson"/>
    <s v="Dalton Gray"/>
    <s v="DROVE TO STORE FOR PARTS, THEN DROVE TO LOCATION AND REMOVE SPOOL AND FLANGE WAS BAD, DROVE TO STORE FOR PARTS, THEN DROVE BACK AND DELIVER PARTS FOR WELDER."/>
    <s v="5051049"/>
    <s v="Upstream"/>
    <s v="169520"/>
    <s v="USD"/>
    <n v="510"/>
    <s v="Direct Entry"/>
    <s v="1"/>
    <s v="3 Man Roustabout Crew"/>
    <s v="3 Man Roustabout Crew"/>
    <s v=""/>
    <d v="2025-10-06T12:45:53"/>
    <d v="2025-10-03T11:15:00"/>
    <d v="2025-10-03T15:30:00"/>
    <s v=""/>
    <s v="WTH 21-16 / 22-15 T/B"/>
    <s v=""/>
    <s v=""/>
    <s v=""/>
    <s v=""/>
    <s v=""/>
    <s v=""/>
    <s v=""/>
    <s v=""/>
    <s v=""/>
    <s v=""/>
    <s v=""/>
    <s v=""/>
    <s v=""/>
    <s v=""/>
    <s v=""/>
    <s v=""/>
    <s v=""/>
    <s v=""/>
    <s v=""/>
    <s v=""/>
    <s v=""/>
    <s v=""/>
    <s v="Labor"/>
    <s v=""/>
    <s v=""/>
    <s v=""/>
    <s v="8300169500"/>
    <s v="WTH 21-16 22-15 BATTERY"/>
    <s v="Upstream"/>
    <s v="1046"/>
    <s v=""/>
    <s v=""/>
    <s v=""/>
    <s v=""/>
    <s v=""/>
    <s v=""/>
    <s v=""/>
    <n v="4.25"/>
    <s v="HR"/>
    <n v="120"/>
    <s v=""/>
    <n v="510"/>
    <s v="Pricebook"/>
    <s v="712950"/>
    <d v="2025-10-07T09:48:07"/>
    <s v=""/>
    <s v=""/>
    <s v="Validation Overlapping Hours"/>
    <s v=""/>
  </r>
  <r>
    <s v="117494"/>
    <s v="Premier Energy Services, LLC"/>
    <x v="8"/>
    <s v="Fernando DeHoyos"/>
    <s v="Dalton Gray"/>
    <s v="SANDBLASTING SEPARATOR 5X15 FOR WELDING WORK"/>
    <s v="5051049"/>
    <s v="Upstream"/>
    <s v="168747"/>
    <s v="USD"/>
    <n v="1697"/>
    <s v="Direct Entry"/>
    <s v="1"/>
    <s v="SANDBLAST AND COATING- DIAMONDBACK"/>
    <s v="SANDBLAST AND COATING"/>
    <s v=""/>
    <d v="2025-10-06T14:09:30"/>
    <d v="2025-10-03T08:00:00"/>
    <d v="2025-10-03T18:00:00"/>
    <s v=""/>
    <s v="WTH 21-16/22-15 BATTERY"/>
    <s v=""/>
    <s v=""/>
    <s v=""/>
    <s v=""/>
    <s v=""/>
    <s v=""/>
    <s v=""/>
    <s v=""/>
    <s v=""/>
    <s v=""/>
    <s v=""/>
    <s v=""/>
    <s v=""/>
    <s v=""/>
    <s v=""/>
    <s v=""/>
    <s v=""/>
    <s v=""/>
    <s v=""/>
    <s v=""/>
    <s v=""/>
    <s v=""/>
    <s v="Labor"/>
    <s v=""/>
    <s v="117494"/>
    <s v=""/>
    <s v="8300169500"/>
    <s v="WTH 21-16 22-15 BATTERY"/>
    <s v="Upstream"/>
    <s v="1046"/>
    <s v=""/>
    <s v=""/>
    <s v=""/>
    <s v=""/>
    <s v=""/>
    <s v=""/>
    <s v=""/>
    <n v="10"/>
    <s v="HR"/>
    <n v="110"/>
    <s v=""/>
    <n v="1100"/>
    <s v="--multiple--"/>
    <s v="702081"/>
    <d v="2025-10-06T14:11:22"/>
    <s v=""/>
    <s v=""/>
    <s v=""/>
    <s v=""/>
  </r>
  <r>
    <s v="118194"/>
    <s v="Premier Energy Services, LLC"/>
    <x v="8"/>
    <s v="Fernando DeHoyos"/>
    <s v="Dalton Gray"/>
    <s v="I'M DO IT SAFETY AT WELDER"/>
    <s v="5051049"/>
    <s v="Upstream"/>
    <s v="168747"/>
    <s v="USD"/>
    <n v="356"/>
    <s v="Direct Entry"/>
    <s v="1"/>
    <s v="Safety Man - Hourly"/>
    <s v="Safety Man - Hourly"/>
    <s v=""/>
    <d v="2025-10-06T13:59:48"/>
    <d v="2025-10-03T13:30:00"/>
    <d v="2025-10-03T17:30:00"/>
    <s v=""/>
    <s v="WTH 21-16/22-15 BATTERY"/>
    <s v=""/>
    <s v=""/>
    <s v=""/>
    <s v=""/>
    <s v=""/>
    <s v=""/>
    <s v=""/>
    <s v=""/>
    <s v=""/>
    <s v=""/>
    <s v=""/>
    <s v=""/>
    <s v=""/>
    <s v=""/>
    <s v=""/>
    <s v=""/>
    <s v=""/>
    <s v=""/>
    <s v=""/>
    <s v=""/>
    <s v=""/>
    <s v=""/>
    <s v="Labor"/>
    <s v=""/>
    <s v="118194"/>
    <s v=""/>
    <s v="8300169500"/>
    <s v="WTH 21-16 22-15 BATTERY"/>
    <s v="Upstream"/>
    <s v="1046"/>
    <s v=""/>
    <s v=""/>
    <s v=""/>
    <s v=""/>
    <s v=""/>
    <s v=""/>
    <s v=""/>
    <n v="4"/>
    <s v="HR"/>
    <n v="80"/>
    <s v=""/>
    <n v="320"/>
    <s v="--multiple--"/>
    <s v="702081"/>
    <d v="2025-10-06T14:05:43"/>
    <s v=""/>
    <s v=""/>
    <s v=""/>
    <s v=""/>
  </r>
  <r>
    <s v="DB-850"/>
    <s v="ELDAN Empire LLC"/>
    <x v="6"/>
    <s v="Christian Stephens"/>
    <s v="John Blakeney"/>
    <s v="Cobra Field Allocation ( Nunez )— Drove to location filled out JSA and reviewed with the crew. We arrived at the brown yard to help the wolf team take out garbage and wooden pallets from the_x000a_metal scrap container to deposit it in a garbage trailer as well as shaking the engines from the trailer to the metal container, travel time."/>
    <s v="5051044"/>
    <s v="Upstream"/>
    <s v=""/>
    <s v="USD"/>
    <n v="306.25"/>
    <s v="Direct Entry"/>
    <s v="1"/>
    <s v="Electrical Apprentice"/>
    <s v="Apprentice Electrician- Regular hours"/>
    <s v=""/>
    <d v="2025-10-09T14:04:37"/>
    <d v="2025-09-29T08:00:00"/>
    <d v="2025-09-29T09:45:00"/>
    <s v=""/>
    <s v=""/>
    <s v=""/>
    <s v=""/>
    <s v=""/>
    <s v=""/>
    <s v=""/>
    <s v=""/>
    <s v=""/>
    <s v=""/>
    <s v=""/>
    <s v=""/>
    <s v=""/>
    <s v=""/>
    <s v=""/>
    <s v=""/>
    <s v=""/>
    <s v=""/>
    <s v=""/>
    <s v=""/>
    <s v=""/>
    <s v=""/>
    <s v=""/>
    <s v=""/>
    <s v="Labor"/>
    <s v="Villalobos, Martin"/>
    <s v=""/>
    <s v=""/>
    <s v="9000002700"/>
    <s v="COBRA FIELD ALLOCATION"/>
    <s v="Upstream"/>
    <s v="1046"/>
    <s v=""/>
    <s v=""/>
    <s v=""/>
    <s v=""/>
    <s v=""/>
    <s v=""/>
    <s v=""/>
    <n v="1.75"/>
    <s v="HR"/>
    <n v="65"/>
    <s v=""/>
    <n v="113.75"/>
    <s v="--multiple--"/>
    <s v="706866"/>
    <d v="2025-10-14T12:48:20"/>
    <s v=""/>
    <s v=""/>
    <s v="Coding/Location Issue"/>
    <s v=""/>
  </r>
  <r>
    <s v="R-9957"/>
    <s v="ACH Services, LLC"/>
    <x v="10"/>
    <s v="Kyle Jordan"/>
    <s v="Dalton Gray"/>
    <s v="Drove to location to remove weeds."/>
    <s v="5051027"/>
    <s v="Upstream"/>
    <s v="150548"/>
    <s v="USD"/>
    <n v="1573"/>
    <s v="Direct Entry"/>
    <s v="1"/>
    <s v="Roustabout - 2-Man"/>
    <s v="Roustabout - 2-Man"/>
    <s v=""/>
    <d v="2025-09-26T08:07:16"/>
    <d v="2025-09-21T06:45:00"/>
    <d v="2025-09-21T07:45:00"/>
    <s v=""/>
    <s v="LANCE 9-4 C 1WA"/>
    <s v=""/>
    <s v=""/>
    <s v=""/>
    <s v=""/>
    <s v=""/>
    <s v=""/>
    <s v=""/>
    <s v=""/>
    <s v=""/>
    <s v=""/>
    <s v=""/>
    <s v=""/>
    <s v=""/>
    <s v=""/>
    <s v=""/>
    <s v=""/>
    <s v=""/>
    <s v=""/>
    <s v=""/>
    <s v=""/>
    <s v=""/>
    <s v=""/>
    <s v="Labor"/>
    <s v=""/>
    <s v=""/>
    <s v=""/>
    <s v="1000666700"/>
    <s v="LANCE 9-4 C 1WA"/>
    <s v="Upstream"/>
    <s v="1046"/>
    <s v=""/>
    <s v=""/>
    <s v=""/>
    <s v=""/>
    <s v=""/>
    <s v=""/>
    <s v=""/>
    <n v="13"/>
    <s v="HR"/>
    <n v="121"/>
    <s v=""/>
    <n v="1573"/>
    <s v="Pricebook"/>
    <s v="712932"/>
    <d v="2025-10-06T15:29:42"/>
    <s v=""/>
    <s v=""/>
    <s v="Coding/Location Issue"/>
    <s v=""/>
  </r>
  <r>
    <s v="25047777"/>
    <s v="Lone Star Instrumentation &amp; Electric Corp"/>
    <x v="5"/>
    <s v="Christian Stephens"/>
    <s v="John Blakeney"/>
    <s v="WORK DESCRIPTION: Drove to location wrote jsa trouble shoot rio panel for power and transfer pumps for power loss followed wire back for Rio panel back to other rack everything was connected correctly then checked voltage in transfer pump panels and it was good on both verified hoas we’re working found that the cat5 switch ports are faulty automation tech is replacing in the morning"/>
    <s v="5051044"/>
    <s v="Upstream"/>
    <s v="167401"/>
    <s v="USD"/>
    <n v="507.38"/>
    <s v="B2B"/>
    <s v="1"/>
    <s v=""/>
    <s v="Qualified Electrician"/>
    <s v=""/>
    <d v="2025-10-13T11:25:08"/>
    <d v="2025-09-29T12:30:00"/>
    <d v="2025-09-29T15:30:00"/>
    <s v=""/>
    <s v="GREYHOUND BATTERY"/>
    <s v=""/>
    <s v=""/>
    <s v=""/>
    <s v=""/>
    <s v=""/>
    <s v=""/>
    <s v=""/>
    <s v=""/>
    <s v=""/>
    <s v=""/>
    <s v=""/>
    <s v=""/>
    <s v=""/>
    <s v=""/>
    <s v=""/>
    <s v=""/>
    <s v=""/>
    <s v=""/>
    <s v=""/>
    <s v=""/>
    <s v=""/>
    <s v=""/>
    <s v="Labor"/>
    <s v=""/>
    <s v=""/>
    <s v=""/>
    <s v="8000311500"/>
    <s v="GREYHOUND BATTERY"/>
    <s v="Upstream"/>
    <s v="1046"/>
    <s v=""/>
    <s v=""/>
    <s v=""/>
    <s v=""/>
    <s v=""/>
    <s v=""/>
    <s v=""/>
    <n v="2.25"/>
    <s v="HR"/>
    <n v="65"/>
    <s v=""/>
    <n v="146.25"/>
    <s v="--multiple--"/>
    <s v="708305"/>
    <d v="2025-10-13T14:57:20"/>
    <s v=""/>
    <s v=""/>
    <s v=""/>
    <s v=""/>
  </r>
  <r>
    <s v="395439"/>
    <s v="Tommy White Supply Company, Inc."/>
    <x v="0"/>
    <s v="Luis Ortega"/>
    <s v="Dalton Gray"/>
    <s v="BOLT - NUTS - TUBING FITTING - PLATE - GASKETS - PIPE"/>
    <s v="5051049"/>
    <s v="Upstream"/>
    <s v="162876"/>
    <s v="USD"/>
    <n v="321.67"/>
    <s v="Direct Entry"/>
    <s v="1"/>
    <s v="12.4BO"/>
    <s v="1/2&quot; x 4&quot; BOLT GRADE 5"/>
    <s v="BOLTS &amp; NUTS"/>
    <d v="2025-09-30T10:37:09"/>
    <d v="2025-09-22T00:00:00"/>
    <d v="2025-09-22T00:00:00"/>
    <s v=""/>
    <s v=""/>
    <s v=""/>
    <s v=""/>
    <s v=""/>
    <s v=""/>
    <s v=""/>
    <s v=""/>
    <s v=""/>
    <s v=""/>
    <s v=""/>
    <s v=""/>
    <s v=""/>
    <s v=""/>
    <s v=""/>
    <s v=""/>
    <s v=""/>
    <s v=""/>
    <s v=""/>
    <s v=""/>
    <s v=""/>
    <s v=""/>
    <s v=""/>
    <s v=""/>
    <s v="Material"/>
    <s v=""/>
    <s v=""/>
    <s v=""/>
    <s v="8300110800"/>
    <s v="HUEGLER BATTERY"/>
    <s v="Upstream"/>
    <s v="1046"/>
    <s v=""/>
    <s v=""/>
    <s v=""/>
    <s v=""/>
    <s v=""/>
    <s v=""/>
    <s v=""/>
    <n v="1"/>
    <s v="EA"/>
    <n v="2.2400000000000002"/>
    <s v=""/>
    <n v="2.2400000000000002"/>
    <s v=""/>
    <s v="706526"/>
    <d v="2025-09-30T10:41:41"/>
    <s v=""/>
    <s v=""/>
    <s v=""/>
    <s v=""/>
  </r>
  <r>
    <s v="212314"/>
    <s v="Basin Trucking LLC"/>
    <x v="12"/>
    <s v="Luis Ortega"/>
    <s v="Dalton Gray"/>
    <s v="Drove to location replaced nipples and line on the inlet the oil tank picked up around the battery and left to the side."/>
    <s v="5051049"/>
    <s v="Upstream"/>
    <s v="165675"/>
    <s v="USD"/>
    <n v="292.5"/>
    <s v="Direct Entry"/>
    <s v="1"/>
    <s v="3 Man Crew"/>
    <s v="3 Man Crew"/>
    <s v="Roustabout Crew"/>
    <d v="2025-10-02T13:38:37"/>
    <d v="2025-09-23T06:30:00"/>
    <d v="2025-09-23T08:45:00"/>
    <s v=""/>
    <s v="WTH 15-22 G-H BATTERY"/>
    <s v=""/>
    <s v=""/>
    <s v=""/>
    <s v=""/>
    <s v=""/>
    <s v=""/>
    <s v=""/>
    <s v=""/>
    <s v=""/>
    <s v=""/>
    <s v=""/>
    <s v=""/>
    <s v=""/>
    <s v=""/>
    <s v=""/>
    <s v=""/>
    <s v=""/>
    <s v=""/>
    <s v=""/>
    <s v=""/>
    <s v=""/>
    <s v=""/>
    <s v="Labor"/>
    <s v=""/>
    <s v=""/>
    <s v=""/>
    <s v="8300169200"/>
    <s v="WTH 15-22 G-H BATTERY"/>
    <s v="Upstream"/>
    <s v="1046"/>
    <s v=""/>
    <s v=""/>
    <s v=""/>
    <s v=""/>
    <s v=""/>
    <s v=""/>
    <s v=""/>
    <n v="2.25"/>
    <s v="HR"/>
    <n v="130"/>
    <s v=""/>
    <n v="292.5"/>
    <s v="--multiple--"/>
    <s v="703517"/>
    <d v="2025-10-02T13:39:55"/>
    <s v=""/>
    <s v=""/>
    <s v=""/>
    <s v=""/>
  </r>
  <r>
    <s v="23133"/>
    <s v="Belloc Energy Services &amp; Transport,LLC"/>
    <x v="12"/>
    <s v="Rick Case"/>
    <s v="Dalton Gray"/>
    <s v="USED BLADE AND ROLLER TO FIX ROAD"/>
    <s v="5051027"/>
    <s v="Upstream"/>
    <s v="159514"/>
    <s v="USD"/>
    <n v="3202.5"/>
    <s v="Direct Entry"/>
    <s v="1"/>
    <s v="Blades w/Operator"/>
    <s v="Blades w/Operator"/>
    <s v=""/>
    <d v="2025-09-29T11:55:55"/>
    <d v="2025-09-22T07:00:00"/>
    <d v="2025-09-22T17:30:00"/>
    <s v=""/>
    <s v="CALVERLEY 27 BATTERY"/>
    <s v=""/>
    <s v=""/>
    <s v=""/>
    <s v=""/>
    <s v=""/>
    <s v=""/>
    <s v=""/>
    <s v=""/>
    <s v=""/>
    <s v=""/>
    <s v=""/>
    <s v=""/>
    <s v=""/>
    <s v=""/>
    <s v=""/>
    <s v=""/>
    <s v=""/>
    <s v=""/>
    <s v=""/>
    <s v=""/>
    <s v=""/>
    <s v=""/>
    <s v="Labor"/>
    <s v=""/>
    <s v=""/>
    <s v=""/>
    <s v="8000061800"/>
    <s v="CALVERLEY 27 BATTERY"/>
    <s v="Upstream"/>
    <s v="1046"/>
    <s v=""/>
    <s v=""/>
    <s v=""/>
    <s v=""/>
    <s v=""/>
    <s v=""/>
    <s v=""/>
    <n v="10.5"/>
    <s v="HR"/>
    <n v="185"/>
    <s v=""/>
    <n v="1942.5"/>
    <s v="Pricebook"/>
    <s v="712945"/>
    <d v="2025-10-02T16:55:46"/>
    <s v=""/>
    <s v=""/>
    <s v=""/>
    <s v=""/>
  </r>
  <r>
    <s v="24003"/>
    <s v="Belloc Energy Services &amp; Transport,LLC"/>
    <x v="12"/>
    <s v="Rick Case"/>
    <s v="Dalton Gray"/>
    <s v="DROVE TO LOCATION WITH FRESH WATER TO WATER ROAD"/>
    <s v="5051027"/>
    <s v="Upstream"/>
    <s v="159514"/>
    <s v="USD"/>
    <n v="284.25"/>
    <s v="Direct Entry"/>
    <s v="1"/>
    <s v="Vacuum Truck"/>
    <s v="Vacuum Truck"/>
    <s v=""/>
    <d v="2025-09-28T22:44:46"/>
    <d v="2025-09-22T07:30:00"/>
    <d v="2025-09-22T09:45:00"/>
    <s v=""/>
    <s v="CALVERLEY 27 BATTERY"/>
    <s v=""/>
    <s v=""/>
    <s v=""/>
    <s v=""/>
    <s v=""/>
    <s v=""/>
    <s v=""/>
    <s v=""/>
    <s v=""/>
    <s v=""/>
    <s v=""/>
    <s v=""/>
    <s v=""/>
    <s v=""/>
    <s v=""/>
    <s v=""/>
    <s v=""/>
    <s v=""/>
    <s v=""/>
    <s v=""/>
    <s v=""/>
    <s v=""/>
    <s v="Labor"/>
    <s v=""/>
    <s v=""/>
    <s v=""/>
    <s v="8000061800"/>
    <s v="CALVERLEY 27 BATTERY"/>
    <s v="Upstream"/>
    <s v="1046"/>
    <s v=""/>
    <s v=""/>
    <s v=""/>
    <s v=""/>
    <s v=""/>
    <s v=""/>
    <s v=""/>
    <n v="2.25"/>
    <s v="HR"/>
    <n v="93"/>
    <s v=""/>
    <n v="209.25"/>
    <s v="Pricebook"/>
    <s v="712945"/>
    <d v="2025-10-02T16:56:54"/>
    <s v=""/>
    <s v=""/>
    <s v=""/>
    <s v=""/>
  </r>
  <r>
    <s v="24004"/>
    <s v="Belloc Energy Services &amp; Transport,LLC"/>
    <x v="12"/>
    <s v="Rick Case"/>
    <s v="Dalton Gray"/>
    <s v="DROVE TO LOCATION WITH FRESH WATER TO WATER ROAD"/>
    <s v="5051027"/>
    <s v="Upstream"/>
    <s v="159514"/>
    <s v="USD"/>
    <n v="322.5"/>
    <s v="Direct Entry"/>
    <s v="1"/>
    <s v="Vacuum Truck"/>
    <s v="Vacuum Truck"/>
    <s v=""/>
    <d v="2025-09-28T22:47:33"/>
    <d v="2025-09-22T09:45:00"/>
    <d v="2025-09-22T12:15:00"/>
    <s v=""/>
    <s v="CALVERLEY 27 BATTERY"/>
    <s v=""/>
    <s v=""/>
    <s v=""/>
    <s v=""/>
    <s v=""/>
    <s v=""/>
    <s v=""/>
    <s v=""/>
    <s v=""/>
    <s v=""/>
    <s v=""/>
    <s v=""/>
    <s v=""/>
    <s v=""/>
    <s v=""/>
    <s v=""/>
    <s v=""/>
    <s v=""/>
    <s v=""/>
    <s v=""/>
    <s v=""/>
    <s v=""/>
    <s v="Labor"/>
    <s v=""/>
    <s v=""/>
    <s v=""/>
    <s v="8000061800"/>
    <s v="CALVERLEY 27 BATTERY"/>
    <s v="Upstream"/>
    <s v="1046"/>
    <s v=""/>
    <s v=""/>
    <s v=""/>
    <s v=""/>
    <s v=""/>
    <s v=""/>
    <s v=""/>
    <n v="2.5"/>
    <s v="HR"/>
    <n v="93"/>
    <s v=""/>
    <n v="232.5"/>
    <s v="Pricebook"/>
    <s v="712945"/>
    <d v="2025-10-02T16:58:43"/>
    <s v=""/>
    <s v=""/>
    <s v=""/>
    <s v=""/>
  </r>
  <r>
    <s v="24002"/>
    <s v="Belloc Energy Services &amp; Transport,LLC"/>
    <x v="12"/>
    <s v="Rick Case"/>
    <s v="Dalton Gray"/>
    <s v="DROVE TO LOCATION WITH FRESH WATER TO WATER ROAD"/>
    <s v="5051027"/>
    <s v="Upstream"/>
    <s v="159514"/>
    <s v="USD"/>
    <n v="252.75"/>
    <s v="Direct Entry"/>
    <s v="1"/>
    <s v="Vacuum Truck"/>
    <s v="Vacuum Truck"/>
    <s v=""/>
    <d v="2025-09-28T22:49:32"/>
    <d v="2025-09-22T12:15:00"/>
    <d v="2025-09-22T14:00:00"/>
    <s v=""/>
    <s v="CALVERLEY 27 BATTERY"/>
    <s v=""/>
    <s v=""/>
    <s v=""/>
    <s v=""/>
    <s v=""/>
    <s v=""/>
    <s v=""/>
    <s v=""/>
    <s v=""/>
    <s v=""/>
    <s v=""/>
    <s v=""/>
    <s v=""/>
    <s v=""/>
    <s v=""/>
    <s v=""/>
    <s v=""/>
    <s v=""/>
    <s v=""/>
    <s v=""/>
    <s v=""/>
    <s v=""/>
    <s v="Labor"/>
    <s v=""/>
    <s v=""/>
    <s v=""/>
    <s v="8000061800"/>
    <s v="CALVERLEY 27 BATTERY"/>
    <s v="Upstream"/>
    <s v="1046"/>
    <s v=""/>
    <s v=""/>
    <s v=""/>
    <s v=""/>
    <s v=""/>
    <s v=""/>
    <s v=""/>
    <n v="1.75"/>
    <s v="HR"/>
    <n v="93"/>
    <s v=""/>
    <n v="162.75"/>
    <s v="Pricebook"/>
    <s v="712945"/>
    <d v="2025-10-02T17:04:35"/>
    <s v=""/>
    <s v=""/>
    <s v=""/>
    <s v=""/>
  </r>
  <r>
    <s v="205579"/>
    <s v="Basin Trucking LLC"/>
    <x v="12"/>
    <s v="Rick Case"/>
    <s v="Dalton Gray"/>
    <s v="Drove to ACS and picked up parts to fix the leak there was a leak on tester 231 on water dump line on 90' we replace it."/>
    <s v="5051049"/>
    <s v="Upstream"/>
    <s v="166609"/>
    <s v="USD"/>
    <n v="357.5"/>
    <s v="Direct Entry"/>
    <s v="1"/>
    <s v="3 Man Crew"/>
    <s v="3 Man Crew"/>
    <s v="Roustabout Crew"/>
    <d v="2025-10-04T08:43:56"/>
    <d v="2025-09-25T10:45:00"/>
    <d v="2025-09-25T13:30:00"/>
    <s v=""/>
    <s v="WTH 10 3"/>
    <s v=""/>
    <s v=""/>
    <s v=""/>
    <s v=""/>
    <s v=""/>
    <s v=""/>
    <s v=""/>
    <s v=""/>
    <s v=""/>
    <s v=""/>
    <s v=""/>
    <s v=""/>
    <s v=""/>
    <s v=""/>
    <s v=""/>
    <s v=""/>
    <s v=""/>
    <s v=""/>
    <s v=""/>
    <s v=""/>
    <s v=""/>
    <s v=""/>
    <s v="Labor"/>
    <s v=""/>
    <s v=""/>
    <s v=""/>
    <s v="8300169000"/>
    <s v="WTH 10-3 BATTERY"/>
    <s v="Upstream"/>
    <s v="1046"/>
    <s v=""/>
    <s v=""/>
    <s v=""/>
    <s v=""/>
    <s v=""/>
    <s v=""/>
    <s v=""/>
    <n v="2.75"/>
    <s v="HR"/>
    <n v="130"/>
    <s v=""/>
    <n v="357.5"/>
    <s v="--multiple--"/>
    <s v="703517"/>
    <d v="2025-10-04T08:45:03"/>
    <s v=""/>
    <s v=""/>
    <s v=""/>
    <s v=""/>
  </r>
  <r>
    <s v="244178"/>
    <s v="Royal Oilfield Services LLC"/>
    <x v="0"/>
    <s v="Carlos Lopez"/>
    <s v="Josh Clemmer"/>
    <s v="JC - Hauled 100 bbls of produced water from university 6-40 to Pilot Tom swd. Royal ticket# 13928"/>
    <s v="5051054"/>
    <s v="Upstream"/>
    <s v=""/>
    <s v="USD"/>
    <n v="390"/>
    <s v="Direct Entry"/>
    <s v="1"/>
    <s v="100001"/>
    <s v="Vacuum Truck"/>
    <s v="Vacuum Truck"/>
    <d v="2025-09-24T08:11:30"/>
    <d v="2025-09-19T16:30:00"/>
    <d v="2025-09-19T20:00:00"/>
    <d v="1899-12-30T03:30:00"/>
    <s v="UNIVERSITY 6-40 CTB"/>
    <s v=""/>
    <s v=""/>
    <s v="Produced Water"/>
    <s v=""/>
    <s v=""/>
    <s v=""/>
    <s v=""/>
    <s v=""/>
    <s v=""/>
    <s v=""/>
    <s v=""/>
    <s v=""/>
    <s v=""/>
    <s v=""/>
    <s v=""/>
    <s v=""/>
    <s v=""/>
    <s v=""/>
    <s v=""/>
    <s v=""/>
    <n v="0"/>
    <s v="bbl"/>
    <s v=""/>
    <s v=""/>
    <s v=""/>
    <s v=""/>
    <s v="8000120900"/>
    <s v="UNIVERSITY 6-40 CTB"/>
    <s v="Upstream"/>
    <s v="1046"/>
    <s v=""/>
    <s v=""/>
    <s v=""/>
    <s v=""/>
    <s v=""/>
    <s v=""/>
    <s v="Hours Worked"/>
    <n v="3.5"/>
    <s v="hour"/>
    <n v="90"/>
    <s v=""/>
    <n v="315"/>
    <s v="Pricebook"/>
    <s v="703639"/>
    <d v="2025-09-29T12:09:22"/>
    <s v=""/>
    <s v=""/>
    <s v=""/>
    <s v=""/>
  </r>
  <r>
    <s v="21914"/>
    <s v="Belloc Energy Services &amp; Transport,LLC"/>
    <x v="12"/>
    <s v="Robert Salisbury"/>
    <s v="Dalton Gray"/>
    <s v="TOOK 4 LOADS OF ROAD BASE TO SITE"/>
    <s v="5051027"/>
    <s v="Upstream"/>
    <s v="159514"/>
    <s v="USD"/>
    <n v="1350"/>
    <s v="Direct Entry"/>
    <s v="1"/>
    <s v="Belly Dump"/>
    <s v="Belly Dump"/>
    <s v=""/>
    <d v="2025-09-26T09:47:23"/>
    <d v="2025-09-19T06:30:00"/>
    <d v="2025-09-19T17:45:00"/>
    <s v=""/>
    <s v="CALVERLEY 27 BATTERY"/>
    <s v=""/>
    <s v=""/>
    <s v=""/>
    <s v=""/>
    <s v=""/>
    <s v=""/>
    <s v=""/>
    <s v=""/>
    <s v=""/>
    <s v=""/>
    <s v=""/>
    <s v=""/>
    <s v=""/>
    <s v=""/>
    <s v=""/>
    <s v=""/>
    <s v=""/>
    <s v=""/>
    <s v=""/>
    <s v=""/>
    <s v=""/>
    <s v=""/>
    <s v="Labor"/>
    <s v=""/>
    <s v=""/>
    <s v=""/>
    <s v="8000061800"/>
    <s v="CALVERLEY 27 BATTERY"/>
    <s v="Upstream"/>
    <s v="1046"/>
    <s v=""/>
    <s v=""/>
    <s v=""/>
    <s v=""/>
    <s v=""/>
    <s v=""/>
    <s v=""/>
    <n v="11.25"/>
    <s v="HR"/>
    <n v="120"/>
    <s v=""/>
    <n v="1350"/>
    <s v="Pricebook"/>
    <s v="712945"/>
    <d v="2025-10-02T15:34:25"/>
    <s v=""/>
    <s v=""/>
    <s v=""/>
    <s v=""/>
  </r>
  <r>
    <s v="23132"/>
    <s v="Belloc Energy Services &amp; Transport,LLC"/>
    <x v="12"/>
    <s v="Robert Salisbury"/>
    <s v="Dalton Gray"/>
    <s v="USED BLADE TO BLADE MAIN ROAD ROLLED WITH ROLLER"/>
    <s v="5051027"/>
    <s v="Upstream"/>
    <s v="159514"/>
    <s v="USD"/>
    <n v="3583.75"/>
    <s v="Direct Entry"/>
    <s v="1"/>
    <s v="Blades w/Operator"/>
    <s v="Blades w/Operator"/>
    <s v=""/>
    <d v="2025-09-26T11:14:06"/>
    <d v="2025-09-19T06:45:00"/>
    <d v="2025-09-19T18:30:00"/>
    <s v=""/>
    <s v="CALVERLEY 27 BATTERY"/>
    <s v=""/>
    <s v=""/>
    <s v=""/>
    <s v=""/>
    <s v=""/>
    <s v=""/>
    <s v=""/>
    <s v=""/>
    <s v=""/>
    <s v=""/>
    <s v=""/>
    <s v=""/>
    <s v=""/>
    <s v=""/>
    <s v=""/>
    <s v=""/>
    <s v=""/>
    <s v=""/>
    <s v=""/>
    <s v=""/>
    <s v=""/>
    <s v=""/>
    <s v="Labor"/>
    <s v=""/>
    <s v=""/>
    <s v=""/>
    <s v="8000061800"/>
    <s v="CALVERLEY 27 BATTERY"/>
    <s v="Upstream"/>
    <s v="1046"/>
    <s v=""/>
    <s v=""/>
    <s v=""/>
    <s v=""/>
    <s v=""/>
    <s v=""/>
    <s v=""/>
    <n v="11.75"/>
    <s v="HR"/>
    <n v="185"/>
    <s v=""/>
    <n v="2173.75"/>
    <s v="Pricebook"/>
    <s v="712945"/>
    <d v="2025-10-02T15:38:13"/>
    <s v=""/>
    <s v=""/>
    <s v=""/>
    <s v=""/>
  </r>
  <r>
    <s v="21874"/>
    <s v="Belloc Energy Services &amp; Transport,LLC"/>
    <x v="12"/>
    <s v="Robert Salisbury"/>
    <s v="Dalton Gray"/>
    <s v="DELIVERED 6 LOADS OF CALICHE TO LOCATION FOR ROAD REPAIRS"/>
    <s v="5051027"/>
    <s v="Upstream"/>
    <s v="159514"/>
    <s v="USD"/>
    <n v="1230"/>
    <s v="Direct Entry"/>
    <s v="1"/>
    <s v="Belly Dump"/>
    <s v="Belly Dump"/>
    <s v=""/>
    <d v="2025-09-28T22:25:57"/>
    <d v="2025-09-19T07:30:00"/>
    <d v="2025-09-19T17:45:00"/>
    <s v=""/>
    <s v="CALVERLEY 27 BATTERY"/>
    <s v=""/>
    <s v=""/>
    <s v=""/>
    <s v=""/>
    <s v=""/>
    <s v=""/>
    <s v=""/>
    <s v=""/>
    <s v=""/>
    <s v=""/>
    <s v=""/>
    <s v=""/>
    <s v=""/>
    <s v=""/>
    <s v=""/>
    <s v=""/>
    <s v=""/>
    <s v=""/>
    <s v=""/>
    <s v=""/>
    <s v=""/>
    <s v=""/>
    <s v="Labor"/>
    <s v=""/>
    <s v=""/>
    <s v=""/>
    <s v="8000061800"/>
    <s v="CALVERLEY 27 BATTERY"/>
    <s v="Upstream"/>
    <s v="1046"/>
    <s v=""/>
    <s v=""/>
    <s v=""/>
    <s v=""/>
    <s v=""/>
    <s v=""/>
    <s v=""/>
    <n v="10.25"/>
    <s v="HR"/>
    <n v="120"/>
    <s v=""/>
    <n v="1230"/>
    <s v="Pricebook"/>
    <s v="712945"/>
    <d v="2025-10-02T15:42:19"/>
    <s v=""/>
    <s v=""/>
    <s v=""/>
    <s v=""/>
  </r>
  <r>
    <s v="242164"/>
    <s v="Royal Oilfield Services LLC"/>
    <x v="3"/>
    <s v="Carlos Lopez"/>
    <s v="Josh Clemmer"/>
    <s v="JC, hauled 240bbls of p/w from water tank on loc to pilot, 385 swd. Royal Ticket #138894, 138895"/>
    <s v="5051054"/>
    <s v="Upstream"/>
    <s v=""/>
    <s v="USD"/>
    <n v="855"/>
    <s v="Direct Entry"/>
    <s v="1"/>
    <s v="100001"/>
    <s v="Vacuum Truck"/>
    <s v="Vacuum Truck"/>
    <d v="2025-09-30T11:13:23"/>
    <d v="2025-09-22T15:15:00"/>
    <d v="2025-09-22T22:45:00"/>
    <d v="1899-12-30T07:30:00"/>
    <s v="University 6-40 CTB"/>
    <s v=""/>
    <s v=""/>
    <s v="Produced Water"/>
    <s v=""/>
    <s v=""/>
    <s v=""/>
    <s v=""/>
    <s v=""/>
    <s v=""/>
    <s v=""/>
    <s v=""/>
    <s v=""/>
    <s v=""/>
    <s v=""/>
    <s v=""/>
    <s v=""/>
    <s v=""/>
    <s v=""/>
    <s v=""/>
    <s v=""/>
    <n v="0"/>
    <s v="bbl"/>
    <s v=""/>
    <s v=""/>
    <s v=""/>
    <s v=""/>
    <s v="8000120900"/>
    <s v="UNIVERSITY 6-40 CTB"/>
    <s v="Upstream"/>
    <s v="1046"/>
    <s v=""/>
    <s v=""/>
    <s v=""/>
    <s v=""/>
    <s v=""/>
    <s v=""/>
    <s v="Hours Worked"/>
    <n v="7.5"/>
    <s v="hour"/>
    <n v="90"/>
    <s v=""/>
    <n v="675"/>
    <s v="Pricebook"/>
    <s v="703639"/>
    <d v="2025-10-13T15:14:41"/>
    <s v=""/>
    <s v=""/>
    <s v=""/>
    <s v=""/>
  </r>
  <r>
    <s v="244189"/>
    <s v="Royal Oilfield Services LLC"/>
    <x v="3"/>
    <s v="Carlos Lopez"/>
    <s v="Josh Clemmer"/>
    <s v="JC -I was asked to pick up a spill in a damaged heater"/>
    <s v="5051057"/>
    <s v="Upstream"/>
    <s v=""/>
    <s v="USD"/>
    <n v="90"/>
    <s v="Direct Entry"/>
    <s v="1"/>
    <s v="100001"/>
    <s v="Vacuum Truck"/>
    <s v="Vacuum Truck"/>
    <d v="2025-10-01T11:49:32"/>
    <d v="2025-09-23T12:00:00"/>
    <d v="2025-09-23T13:00:00"/>
    <d v="1899-12-30T01:00:00"/>
    <s v="UNIVERSITY 7-14 CTB"/>
    <s v=""/>
    <s v=""/>
    <s v="Produced Water"/>
    <s v=""/>
    <s v=""/>
    <s v=""/>
    <s v=""/>
    <s v=""/>
    <s v=""/>
    <s v=""/>
    <s v=""/>
    <s v=""/>
    <s v=""/>
    <s v=""/>
    <s v=""/>
    <s v=""/>
    <s v=""/>
    <s v=""/>
    <s v=""/>
    <s v=""/>
    <n v="0"/>
    <s v="bbl"/>
    <s v=""/>
    <s v=""/>
    <s v=""/>
    <s v=""/>
    <s v="8000120800"/>
    <s v="UNIVERSITY 7-14 CTB"/>
    <s v="Upstream"/>
    <s v="1046"/>
    <s v=""/>
    <s v=""/>
    <s v=""/>
    <s v=""/>
    <s v=""/>
    <s v=""/>
    <s v="Hours Worked"/>
    <n v="1"/>
    <s v="hour"/>
    <n v="90"/>
    <s v=""/>
    <n v="90"/>
    <s v="Pricebook"/>
    <s v="703639"/>
    <d v="2025-10-13T08:10:14"/>
    <s v=""/>
    <s v=""/>
    <s v=""/>
    <s v=""/>
  </r>
  <r>
    <s v="285928"/>
    <s v="Bold Production Services"/>
    <x v="5"/>
    <s v="Cesar Galindo"/>
    <s v="Colby Brunson"/>
    <s v="NEFF CTB RENTAL"/>
    <s v="5051037"/>
    <s v="Upstream"/>
    <s v=""/>
    <s v="USD"/>
    <n v="17900"/>
    <s v="Direct Entry"/>
    <s v="1"/>
    <s v="10MMscf/d 300M Btu/Hr-F"/>
    <s v="10MM 300 Btu/Hr Glycol Dehydration Unit-Full Rate"/>
    <s v=""/>
    <d v="2025-10-01T11:04:06"/>
    <d v="2025-09-01T00:00:00"/>
    <d v="2025-09-30T00:00:00"/>
    <s v=""/>
    <s v="NEFF CTB"/>
    <s v=""/>
    <s v=""/>
    <s v=""/>
    <s v=""/>
    <s v=""/>
    <s v=""/>
    <s v=""/>
    <s v=""/>
    <s v=""/>
    <s v=""/>
    <s v=""/>
    <s v=""/>
    <s v=""/>
    <s v=""/>
    <s v=""/>
    <s v=""/>
    <s v=""/>
    <s v=""/>
    <s v=""/>
    <s v=""/>
    <s v=""/>
    <s v=""/>
    <s v="Equipment"/>
    <s v=""/>
    <s v=""/>
    <s v=""/>
    <s v="8000324900"/>
    <s v="NEFF BATTERY"/>
    <s v="Upstream"/>
    <s v="1046"/>
    <s v=""/>
    <s v=""/>
    <s v=""/>
    <s v=""/>
    <s v=""/>
    <s v=""/>
    <s v=""/>
    <n v="1"/>
    <s v="Mo"/>
    <n v="12500"/>
    <s v=""/>
    <n v="12500"/>
    <s v=""/>
    <s v="706456"/>
    <d v="2025-10-01T13:01:16"/>
    <s v=""/>
    <s v=""/>
    <s v=""/>
    <s v=""/>
  </r>
  <r>
    <s v="0721-1079165"/>
    <s v="Cain Electric Supply CORP"/>
    <x v="4"/>
    <s v="Christian Stephens"/>
    <s v="John Blakeney"/>
    <s v="Electrical Materials"/>
    <s v="5051017"/>
    <s v="Upstream"/>
    <s v=""/>
    <s v="USD"/>
    <n v="236.84"/>
    <s v=""/>
    <s v="1"/>
    <s v="WIRE SDT/TC-12/3"/>
    <s v="12-7R THHN TC CTRL CBL 1000R"/>
    <s v=""/>
    <d v="2025-10-07T19:04:24"/>
    <d v="2025-10-07T08:00:00"/>
    <d v="2025-10-07T08:00:00"/>
    <s v=""/>
    <s v="APOLLO COMPRESSOR"/>
    <s v=""/>
    <s v=""/>
    <s v=""/>
    <s v=""/>
    <s v=""/>
    <s v=""/>
    <s v=""/>
    <s v=""/>
    <s v=""/>
    <s v=""/>
    <s v=""/>
    <s v=""/>
    <s v=""/>
    <s v=""/>
    <s v=""/>
    <s v=""/>
    <s v=""/>
    <s v=""/>
    <s v=""/>
    <s v=""/>
    <s v=""/>
    <s v=""/>
    <s v="Material"/>
    <s v=""/>
    <s v=""/>
    <s v=""/>
    <s v="8300174000"/>
    <s v="APOLLO 38-1 (1) BATTERY"/>
    <s v="Upstream"/>
    <s v="1046"/>
    <s v=""/>
    <s v=""/>
    <s v=""/>
    <s v=""/>
    <s v=""/>
    <s v=""/>
    <s v=""/>
    <n v="200"/>
    <s v="EA"/>
    <n v="1.02"/>
    <s v=""/>
    <n v="204"/>
    <s v="--multiple--"/>
    <s v="703819"/>
    <d v="2025-10-09T15:10:22"/>
    <s v=""/>
    <s v=""/>
    <s v=""/>
    <s v=""/>
  </r>
  <r>
    <s v="244403"/>
    <s v="Royal Oilfield Services LLC"/>
    <x v="0"/>
    <s v="Cesar Galindo"/>
    <s v="Colby Brunson"/>
    <s v="CG - I was requested to transfer the water with oil from water tank #3 the water to the gun barrel and the oil tank #3"/>
    <s v="5051057"/>
    <s v="Upstream"/>
    <s v=""/>
    <s v="USD"/>
    <n v="1350"/>
    <s v="Direct Entry"/>
    <s v="1"/>
    <s v="100001"/>
    <s v="Vacuum Truck"/>
    <s v="Vacuum Truck"/>
    <d v="2025-09-23T21:07:03"/>
    <d v="2025-09-16T16:30:00"/>
    <d v="2025-09-17T07:30:00"/>
    <d v="1899-12-30T15:00:00"/>
    <s v="NEFF BATTERY"/>
    <s v=""/>
    <s v=""/>
    <s v="Oil"/>
    <s v=""/>
    <s v=""/>
    <s v=""/>
    <s v=""/>
    <s v=""/>
    <s v=""/>
    <s v=""/>
    <s v=""/>
    <s v=""/>
    <s v=""/>
    <s v=""/>
    <s v=""/>
    <s v=""/>
    <s v=""/>
    <s v=""/>
    <s v=""/>
    <s v=""/>
    <n v="0"/>
    <s v="bbl"/>
    <s v=""/>
    <s v=""/>
    <s v=""/>
    <s v=""/>
    <s v="8000324900"/>
    <s v="NEFF BATTERY"/>
    <s v="Upstream"/>
    <s v="1046"/>
    <s v=""/>
    <s v=""/>
    <s v=""/>
    <s v=""/>
    <s v=""/>
    <s v=""/>
    <s v="Hours Worked"/>
    <n v="15"/>
    <s v="hour"/>
    <n v="90"/>
    <s v=""/>
    <n v="1350"/>
    <s v="Pricebook"/>
    <s v="703639"/>
    <d v="2025-09-30T07:40:26"/>
    <s v=""/>
    <s v=""/>
    <s v=""/>
    <s v=""/>
  </r>
  <r>
    <s v="244404"/>
    <s v="Royal Oilfield Services LLC"/>
    <x v="0"/>
    <s v="Cesar Galindo"/>
    <s v="Colby Brunson"/>
    <s v="CG - I was asked to transfer the wate with oil from oil tank #1 the water to the gun barrel and the oil to oil tank #3 Th water was removed from the bottom of oil tank #2 and #3 The water was discharged into the gun barrel and the oil into oil tank #3"/>
    <s v="5051057"/>
    <s v="Upstream"/>
    <s v=""/>
    <s v="USD"/>
    <n v="1350"/>
    <s v="Direct Entry"/>
    <s v="1"/>
    <s v="100001"/>
    <s v="Vacuum Truck"/>
    <s v="Vacuum Truck"/>
    <d v="2025-09-23T21:05:01"/>
    <d v="2025-09-17T16:30:00"/>
    <d v="2025-09-18T07:30:00"/>
    <d v="1899-12-30T15:00:00"/>
    <s v="NEFF BATTERY"/>
    <s v=""/>
    <s v=""/>
    <s v="Oil"/>
    <s v=""/>
    <s v=""/>
    <s v=""/>
    <s v=""/>
    <s v=""/>
    <s v=""/>
    <s v=""/>
    <s v=""/>
    <s v=""/>
    <s v=""/>
    <s v=""/>
    <s v=""/>
    <s v=""/>
    <s v=""/>
    <s v=""/>
    <s v=""/>
    <s v=""/>
    <n v="0"/>
    <s v="bbl"/>
    <s v=""/>
    <s v=""/>
    <s v=""/>
    <s v=""/>
    <s v="8000324900"/>
    <s v="NEFF BATTERY"/>
    <s v="Upstream"/>
    <s v="1046"/>
    <s v=""/>
    <s v=""/>
    <s v=""/>
    <s v=""/>
    <s v=""/>
    <s v=""/>
    <s v="Hours Worked"/>
    <n v="15"/>
    <s v="hour"/>
    <n v="90"/>
    <s v=""/>
    <n v="1350"/>
    <s v="Pricebook"/>
    <s v="703639"/>
    <d v="2025-09-30T07:40:24"/>
    <s v=""/>
    <s v=""/>
    <s v=""/>
    <s v=""/>
  </r>
  <r>
    <s v="244407"/>
    <s v="Royal Oilfield Services LLC"/>
    <x v="0"/>
    <s v="Cesar Galindo"/>
    <s v="Colby Brunson"/>
    <s v="CG - I was asked to transfer the wate with oil from water tank #3 The water was discharged into the gun barrel and the oil into oil tank #3 Tank #1 was emptied of oil and the water was discharged into the gun barrel and the oil into tank #3"/>
    <s v="5051057"/>
    <s v="Upstream"/>
    <s v=""/>
    <s v="USD"/>
    <n v="945"/>
    <s v="Direct Entry"/>
    <s v="1"/>
    <s v="100001"/>
    <s v="Vacuum Truck"/>
    <s v="Vacuum Truck"/>
    <d v="2025-09-23T21:02:07"/>
    <d v="2025-09-18T21:00:00"/>
    <d v="2025-09-19T07:30:00"/>
    <d v="1899-12-30T10:30:00"/>
    <s v="NEFF BATTERY"/>
    <s v=""/>
    <s v=""/>
    <s v="Oil"/>
    <s v=""/>
    <s v=""/>
    <s v=""/>
    <s v=""/>
    <s v=""/>
    <s v=""/>
    <s v=""/>
    <s v=""/>
    <s v=""/>
    <s v=""/>
    <s v=""/>
    <s v=""/>
    <s v=""/>
    <s v=""/>
    <s v=""/>
    <s v=""/>
    <s v=""/>
    <n v="0"/>
    <s v="bbl"/>
    <s v=""/>
    <s v=""/>
    <s v=""/>
    <s v=""/>
    <s v="8000324900"/>
    <s v="NEFF BATTERY"/>
    <s v="Upstream"/>
    <s v="1046"/>
    <s v=""/>
    <s v=""/>
    <s v=""/>
    <s v=""/>
    <s v=""/>
    <s v=""/>
    <s v="Hours Worked"/>
    <n v="10.5"/>
    <s v="hour"/>
    <n v="90"/>
    <s v=""/>
    <n v="945"/>
    <s v="Pricebook"/>
    <s v="703639"/>
    <d v="2025-09-30T07:40:18"/>
    <s v=""/>
    <s v=""/>
    <s v=""/>
    <s v=""/>
  </r>
  <r>
    <s v="244409"/>
    <s v="Royal Oilfield Services LLC"/>
    <x v="0"/>
    <s v="Cesar Galindo"/>
    <s v="Colby Brunson"/>
    <s v="CG - I was asked to separate the water and oil from the water tank #3 and transfer the water to the gun battel and the oil to the oil tank #3"/>
    <s v="5051057"/>
    <s v="Upstream"/>
    <s v=""/>
    <s v="USD"/>
    <n v="1530"/>
    <s v="Direct Entry"/>
    <s v="1"/>
    <s v="100001"/>
    <s v="Vacuum Truck"/>
    <s v="Vacuum Truck"/>
    <d v="2025-09-23T20:57:10"/>
    <d v="2025-09-19T16:30:00"/>
    <d v="2025-09-20T09:30:00"/>
    <d v="1899-12-30T17:00:00"/>
    <s v="NEFF BATTERY"/>
    <s v=""/>
    <s v=""/>
    <s v="water and oil"/>
    <s v=""/>
    <s v=""/>
    <s v=""/>
    <s v=""/>
    <s v=""/>
    <s v=""/>
    <s v=""/>
    <s v=""/>
    <s v=""/>
    <s v=""/>
    <s v=""/>
    <s v=""/>
    <s v=""/>
    <s v=""/>
    <s v=""/>
    <s v=""/>
    <s v=""/>
    <n v="0"/>
    <s v="bbl"/>
    <s v=""/>
    <s v=""/>
    <s v=""/>
    <s v=""/>
    <s v="8000324900"/>
    <s v="NEFF BATTERY"/>
    <s v="Upstream"/>
    <s v="1046"/>
    <s v=""/>
    <s v=""/>
    <s v=""/>
    <s v=""/>
    <s v=""/>
    <s v=""/>
    <s v="Hours Worked"/>
    <n v="17"/>
    <s v="hour"/>
    <n v="90"/>
    <s v=""/>
    <n v="1530"/>
    <s v="Pricebook"/>
    <s v="703639"/>
    <d v="2025-09-30T07:40:17"/>
    <s v=""/>
    <s v=""/>
    <s v=""/>
    <s v=""/>
  </r>
  <r>
    <s v="3004W"/>
    <s v="Russo MJ Logistics LLC"/>
    <x v="2"/>
    <s v="Cesar Galindo"/>
    <s v="Colby Brunson"/>
    <s v="SKIM OIL AT LOCATION PLUS HAULED P/W FROM LOCATION TO SWD._x000a_WT#3004W_x000a__x000a_MILESTONE TICKET_x000a_#08-251687"/>
    <s v="5051054"/>
    <s v="Upstream"/>
    <s v=""/>
    <s v="USD"/>
    <n v="1306.25"/>
    <s v="Direct Entry"/>
    <s v="1"/>
    <s v=""/>
    <s v="Vacuum Truck"/>
    <s v=""/>
    <d v="2025-09-26T11:45:09"/>
    <d v="2025-09-25T05:30:00"/>
    <d v="2025-09-25T19:15:00"/>
    <d v="1899-12-30T13:45:00"/>
    <s v="NEFF REC SITE"/>
    <s v=""/>
    <s v=""/>
    <s v="HOURS WORKED"/>
    <s v=""/>
    <s v=""/>
    <s v=""/>
    <s v=""/>
    <s v=""/>
    <s v=""/>
    <s v=""/>
    <s v=""/>
    <s v=""/>
    <s v=""/>
    <s v=""/>
    <s v=""/>
    <s v=""/>
    <s v=""/>
    <s v=""/>
    <s v=""/>
    <s v=""/>
    <n v="0"/>
    <s v="bbl"/>
    <s v=""/>
    <s v=""/>
    <s v=""/>
    <s v=""/>
    <s v="8100152700"/>
    <s v="NEFF RECYCLE FACILITY"/>
    <s v="Upstream"/>
    <s v="1046"/>
    <s v=""/>
    <s v=""/>
    <s v=""/>
    <s v=""/>
    <s v=""/>
    <s v=""/>
    <s v="Hours Worked"/>
    <n v="13.75"/>
    <s v="hour"/>
    <n v="95"/>
    <s v=""/>
    <n v="1306.25"/>
    <s v="Pricebook"/>
    <s v="713911"/>
    <d v="2025-09-26T12:02:14"/>
    <s v=""/>
    <s v=""/>
    <s v=""/>
    <s v=""/>
  </r>
  <r>
    <s v="154801"/>
    <s v="Warrior Technologies, LLC"/>
    <x v="5"/>
    <s v="Cesar Galindo"/>
    <s v="Colby Brunson"/>
    <s v="USING HOT OILER, LOADED P/W RIG UP, PUMPED P/W RIG DOWN"/>
    <s v="5051026"/>
    <s v="Upstream"/>
    <s v=""/>
    <s v="USD"/>
    <n v="577.5"/>
    <s v="B2B"/>
    <s v="1"/>
    <s v="131110113EER"/>
    <s v="HOT OIL TRUCKS - PER HOUR [CT:labor][UOM:Hr]"/>
    <s v=""/>
    <d v="2025-10-01T14:45:27"/>
    <d v="2025-09-29T09:45:00"/>
    <d v="2025-09-29T12:45:00"/>
    <s v=""/>
    <s v="PARKS 19 1"/>
    <s v=""/>
    <s v=""/>
    <s v=""/>
    <s v=""/>
    <s v=""/>
    <s v=""/>
    <s v=""/>
    <s v=""/>
    <s v=""/>
    <s v=""/>
    <s v=""/>
    <s v=""/>
    <s v=""/>
    <s v=""/>
    <s v=""/>
    <s v=""/>
    <s v=""/>
    <s v=""/>
    <s v=""/>
    <s v=""/>
    <s v=""/>
    <s v=""/>
    <s v="Labor"/>
    <s v=""/>
    <s v=""/>
    <s v=""/>
    <s v="1001251700"/>
    <s v="PARKS 19 1"/>
    <s v="Upstream"/>
    <s v="1046"/>
    <s v=""/>
    <s v=""/>
    <s v=""/>
    <s v=""/>
    <s v=""/>
    <s v=""/>
    <s v=""/>
    <n v="3"/>
    <s v="HR"/>
    <n v="140"/>
    <s v=""/>
    <n v="420"/>
    <s v="Pricebook"/>
    <s v="712996"/>
    <d v="2025-10-01T14:54:17"/>
    <s v=""/>
    <s v=""/>
    <s v=""/>
    <s v=""/>
  </r>
  <r>
    <s v="154803"/>
    <s v="Warrior Technologies, LLC"/>
    <x v="5"/>
    <s v="Cesar Galindo"/>
    <s v="Colby Brunson"/>
    <s v="USING HOT OILER, LOADED P/W RIG UP, PUMPED P/W RIG DOWN"/>
    <s v="5051026"/>
    <s v="Upstream"/>
    <s v=""/>
    <s v="USD"/>
    <n v="577.5"/>
    <s v="B2B"/>
    <s v="1"/>
    <s v="131110113EER"/>
    <s v="HOT OIL TRUCKS - PER HOUR [CT:labor][UOM:Hr]"/>
    <s v=""/>
    <d v="2025-10-01T14:45:28"/>
    <d v="2025-09-29T15:45:00"/>
    <d v="2025-09-29T18:45:00"/>
    <s v=""/>
    <s v="PARKS 26 4"/>
    <s v=""/>
    <s v=""/>
    <s v=""/>
    <s v=""/>
    <s v=""/>
    <s v=""/>
    <s v=""/>
    <s v=""/>
    <s v=""/>
    <s v=""/>
    <s v=""/>
    <s v=""/>
    <s v=""/>
    <s v=""/>
    <s v=""/>
    <s v=""/>
    <s v=""/>
    <s v=""/>
    <s v=""/>
    <s v=""/>
    <s v=""/>
    <s v=""/>
    <s v="Labor"/>
    <s v=""/>
    <s v=""/>
    <s v=""/>
    <s v="1001241400"/>
    <s v="PARKS 26 4"/>
    <s v="Upstream"/>
    <s v="1046"/>
    <s v=""/>
    <s v=""/>
    <s v=""/>
    <s v=""/>
    <s v=""/>
    <s v=""/>
    <s v=""/>
    <n v="3"/>
    <s v="HR"/>
    <n v="140"/>
    <s v=""/>
    <n v="420"/>
    <s v="Pricebook"/>
    <s v="712996"/>
    <d v="2025-10-01T14:53:31"/>
    <s v=""/>
    <s v=""/>
    <s v=""/>
    <s v=""/>
  </r>
  <r>
    <s v="154802"/>
    <s v="Warrior Technologies, LLC"/>
    <x v="5"/>
    <s v="Cesar Galindo"/>
    <s v="Colby Brunson"/>
    <s v="USING HOT OILER, LOADED P/W RIG UP, PUMPED P/W RIG DOWN"/>
    <s v="5051026"/>
    <s v="Upstream"/>
    <s v=""/>
    <s v="USD"/>
    <n v="420"/>
    <s v="B2B"/>
    <s v="1"/>
    <s v="131110113EER"/>
    <s v="HOT OIL TRUCKS - PER HOUR [CT:labor][UOM:Hr]"/>
    <s v=""/>
    <d v="2025-10-01T14:45:27"/>
    <d v="2025-09-29T12:45:00"/>
    <d v="2025-09-29T15:45:00"/>
    <s v=""/>
    <s v="PARKS 19 4"/>
    <s v=""/>
    <s v=""/>
    <s v=""/>
    <s v=""/>
    <s v=""/>
    <s v=""/>
    <s v=""/>
    <s v=""/>
    <s v=""/>
    <s v=""/>
    <s v=""/>
    <s v=""/>
    <s v=""/>
    <s v=""/>
    <s v=""/>
    <s v=""/>
    <s v=""/>
    <s v=""/>
    <s v=""/>
    <s v=""/>
    <s v=""/>
    <s v=""/>
    <s v="Labor"/>
    <s v=""/>
    <s v=""/>
    <s v=""/>
    <s v="1001258300"/>
    <s v="PARKS 19 4"/>
    <s v="Upstream"/>
    <s v="1046"/>
    <s v=""/>
    <s v=""/>
    <s v=""/>
    <s v=""/>
    <s v=""/>
    <s v=""/>
    <s v=""/>
    <n v="3"/>
    <s v="HR"/>
    <n v="140"/>
    <s v=""/>
    <n v="420"/>
    <s v="Pricebook"/>
    <s v="712996"/>
    <d v="2025-10-01T14:55:04"/>
    <s v=""/>
    <s v=""/>
    <s v=""/>
    <s v=""/>
  </r>
  <r>
    <s v="81736"/>
    <s v="DTM Trucking Inc."/>
    <x v="9"/>
    <s v="Cesar Galindo"/>
    <s v="Colby Brunson"/>
    <s v="Haul 110bbls of p/w from location to 715"/>
    <s v="5051054"/>
    <s v="Upstream"/>
    <s v=""/>
    <s v="USD"/>
    <n v="315.5"/>
    <s v="Direct Entry"/>
    <s v="1"/>
    <s v="Vacuum Truck"/>
    <s v="Vacuum Truck"/>
    <s v=""/>
    <d v="2025-10-06T13:44:44"/>
    <d v="2025-10-03T11:30:00"/>
    <d v="2025-10-03T14:30:00"/>
    <d v="1899-12-30T03:00:00"/>
    <s v="Windham 32 BC"/>
    <s v="NA"/>
    <s v="NA"/>
    <s v="NA"/>
    <s v=""/>
    <s v=""/>
    <s v=""/>
    <s v=""/>
    <s v=""/>
    <s v=""/>
    <s v=""/>
    <s v=""/>
    <s v=""/>
    <s v=""/>
    <s v=""/>
    <s v=""/>
    <s v=""/>
    <s v=""/>
    <s v=""/>
    <s v=""/>
    <s v=""/>
    <n v="0"/>
    <s v="bbl"/>
    <s v=""/>
    <s v=""/>
    <s v=""/>
    <s v=""/>
    <s v="8300167300"/>
    <s v="WINDHAM 32 B-C BATTERY"/>
    <s v="Upstream"/>
    <s v="1046"/>
    <s v=""/>
    <s v=""/>
    <s v=""/>
    <s v=""/>
    <s v=""/>
    <s v=""/>
    <s v="Hours Worked"/>
    <n v="3"/>
    <s v="hour"/>
    <n v="85"/>
    <s v=""/>
    <n v="255"/>
    <s v="Pricebook"/>
    <s v="712980"/>
    <d v="2025-10-09T08:02:48"/>
    <s v=""/>
    <s v=""/>
    <s v=""/>
    <s v=""/>
  </r>
  <r>
    <s v="81741"/>
    <s v="DTM Trucking Inc."/>
    <x v="9"/>
    <s v="Cesar Galindo"/>
    <s v="Colby Brunson"/>
    <s v="Haul 110bbls of p/w from location to 715"/>
    <s v="5051054"/>
    <s v="Upstream"/>
    <s v=""/>
    <s v="USD"/>
    <n v="209.25"/>
    <s v="Direct Entry"/>
    <s v="1"/>
    <s v="Vacuum Truck"/>
    <s v="Vacuum Truck"/>
    <s v=""/>
    <d v="2025-10-07T08:38:05"/>
    <d v="2025-10-04T12:45:00"/>
    <d v="2025-10-04T14:30:00"/>
    <d v="1899-12-30T01:45:00"/>
    <s v="Windham 4"/>
    <s v="NA"/>
    <s v="NA"/>
    <s v="NA"/>
    <s v=""/>
    <s v=""/>
    <s v=""/>
    <s v=""/>
    <s v=""/>
    <s v=""/>
    <s v=""/>
    <s v=""/>
    <s v=""/>
    <s v=""/>
    <s v=""/>
    <s v=""/>
    <s v=""/>
    <s v=""/>
    <s v=""/>
    <s v=""/>
    <s v=""/>
    <n v="0"/>
    <s v="bbl"/>
    <s v=""/>
    <s v=""/>
    <s v=""/>
    <s v=""/>
    <s v="8300167500"/>
    <s v="WINDHAM 4 BATTERY"/>
    <s v="Upstream"/>
    <s v="1046"/>
    <s v=""/>
    <s v=""/>
    <s v=""/>
    <s v=""/>
    <s v=""/>
    <s v=""/>
    <s v="Hours Worked"/>
    <n v="1.75"/>
    <s v="hour"/>
    <n v="85"/>
    <s v=""/>
    <n v="148.75"/>
    <s v="Pricebook"/>
    <s v="712980"/>
    <d v="2025-10-10T09:49:23"/>
    <s v=""/>
    <s v=""/>
    <s v=""/>
    <s v=""/>
  </r>
  <r>
    <s v="81740"/>
    <s v="DTM Trucking Inc."/>
    <x v="9"/>
    <s v="Cesar Galindo"/>
    <s v="Colby Brunson"/>
    <s v="Haul produced water from location to 715"/>
    <s v="5051054"/>
    <s v="Upstream"/>
    <s v=""/>
    <s v="USD"/>
    <n v="251.75"/>
    <s v="Direct Entry"/>
    <s v="1"/>
    <s v="Vacuum Truck"/>
    <s v="Vacuum Truck"/>
    <s v=""/>
    <d v="2025-10-07T09:10:14"/>
    <d v="2025-10-04T10:30:00"/>
    <d v="2025-10-04T12:45:00"/>
    <d v="1899-12-30T02:15:00"/>
    <s v="Windham 33"/>
    <s v="NA"/>
    <s v="NA"/>
    <s v="NA"/>
    <s v=""/>
    <s v=""/>
    <s v=""/>
    <s v=""/>
    <s v=""/>
    <s v=""/>
    <s v=""/>
    <s v=""/>
    <s v=""/>
    <s v=""/>
    <s v=""/>
    <s v=""/>
    <s v=""/>
    <s v=""/>
    <s v=""/>
    <s v=""/>
    <s v=""/>
    <n v="0"/>
    <s v="bbl"/>
    <s v=""/>
    <s v=""/>
    <s v=""/>
    <s v=""/>
    <s v="8300167400"/>
    <s v="WINDHAM 33 BATTERY"/>
    <s v="Upstream"/>
    <s v="1046"/>
    <s v=""/>
    <s v=""/>
    <s v=""/>
    <s v=""/>
    <s v=""/>
    <s v=""/>
    <s v="Hours Worked"/>
    <n v="2.25"/>
    <s v="hour"/>
    <n v="85"/>
    <s v=""/>
    <n v="191.25"/>
    <s v="Pricebook"/>
    <s v="712980"/>
    <d v="2025-10-09T08:22:37"/>
    <s v=""/>
    <s v=""/>
    <s v=""/>
    <s v=""/>
  </r>
  <r>
    <s v="81738"/>
    <s v="DTM Trucking Inc."/>
    <x v="2"/>
    <s v="Cesar Galindo"/>
    <s v="Colby Brunson"/>
    <s v="Haul 110bbls of p/w from location to 715"/>
    <s v="5051054"/>
    <s v="Upstream"/>
    <s v=""/>
    <s v="USD"/>
    <n v="315.5"/>
    <s v="Direct Entry"/>
    <s v="1"/>
    <s v="Vacuum Truck"/>
    <s v="Vacuum Truck"/>
    <s v=""/>
    <d v="2025-10-07T09:59:33"/>
    <d v="2025-10-04T04:30:00"/>
    <d v="2025-10-04T07:30:00"/>
    <d v="1899-12-30T03:00:00"/>
    <s v="Windham A"/>
    <s v="NA"/>
    <s v="NA"/>
    <s v="NA"/>
    <s v=""/>
    <s v=""/>
    <s v=""/>
    <s v=""/>
    <s v=""/>
    <s v=""/>
    <s v=""/>
    <s v=""/>
    <s v=""/>
    <s v=""/>
    <s v=""/>
    <s v=""/>
    <s v=""/>
    <s v=""/>
    <s v=""/>
    <s v=""/>
    <s v=""/>
    <n v="0"/>
    <s v="bbl"/>
    <s v=""/>
    <s v=""/>
    <s v=""/>
    <s v=""/>
    <s v="8300167600"/>
    <s v="WINDHAM A 1 BATTERY"/>
    <s v="Upstream"/>
    <s v="1046"/>
    <s v=""/>
    <s v=""/>
    <s v=""/>
    <s v=""/>
    <s v=""/>
    <s v=""/>
    <s v="Hours Worked"/>
    <n v="3"/>
    <s v="hour"/>
    <n v="85"/>
    <s v=""/>
    <n v="255"/>
    <s v="Pricebook"/>
    <s v="712980"/>
    <d v="2025-10-07T10:01:54"/>
    <s v=""/>
    <s v=""/>
    <s v=""/>
    <s v=""/>
  </r>
  <r>
    <s v="81739"/>
    <s v="DTM Trucking Inc."/>
    <x v="2"/>
    <s v="Cesar Galindo"/>
    <s v="Colby Brunson"/>
    <s v="Haul 110bbls of p/w from location to 715"/>
    <s v="5051054"/>
    <s v="Upstream"/>
    <s v=""/>
    <s v="USD"/>
    <n v="315.5"/>
    <s v="Direct Entry"/>
    <s v="1"/>
    <s v="Vacuum Truck"/>
    <s v="Vacuum Truck"/>
    <s v=""/>
    <d v="2025-10-07T10:02:37"/>
    <d v="2025-10-04T07:30:00"/>
    <d v="2025-10-04T10:30:00"/>
    <d v="1899-12-30T03:00:00"/>
    <s v="Parks 19"/>
    <s v="NA"/>
    <s v="NA"/>
    <s v="NA"/>
    <s v=""/>
    <s v=""/>
    <s v=""/>
    <s v=""/>
    <s v=""/>
    <s v=""/>
    <s v=""/>
    <s v=""/>
    <s v=""/>
    <s v=""/>
    <s v=""/>
    <s v=""/>
    <s v=""/>
    <s v=""/>
    <s v=""/>
    <s v=""/>
    <s v=""/>
    <n v="0"/>
    <s v="bbl"/>
    <s v=""/>
    <s v=""/>
    <s v=""/>
    <s v=""/>
    <s v="8300133000"/>
    <s v="PARKS 19 BATTERY"/>
    <s v="Upstream"/>
    <s v="1046"/>
    <s v=""/>
    <s v=""/>
    <s v=""/>
    <s v=""/>
    <s v=""/>
    <s v=""/>
    <s v="Hours Worked"/>
    <n v="3"/>
    <s v="hour"/>
    <n v="85"/>
    <s v=""/>
    <n v="255"/>
    <s v="Pricebook"/>
    <s v="712980"/>
    <d v="2025-10-07T10:05:26"/>
    <s v=""/>
    <s v=""/>
    <s v=""/>
    <s v=""/>
  </r>
  <r>
    <s v="83186"/>
    <s v="DTM Trucking Inc."/>
    <x v="2"/>
    <s v="Cesar Galindo"/>
    <s v="Colby Brunson"/>
    <s v="Haul 110bbls of p/w from location to 715"/>
    <s v="5051054"/>
    <s v="Upstream"/>
    <s v=""/>
    <s v="USD"/>
    <n v="315.5"/>
    <s v="Direct Entry"/>
    <s v="1"/>
    <s v="Vacuum Truck"/>
    <s v="Vacuum Truck"/>
    <s v=""/>
    <d v="2025-10-07T10:20:58"/>
    <d v="2025-10-04T07:30:00"/>
    <d v="2025-10-04T10:30:00"/>
    <d v="1899-12-30T03:00:00"/>
    <s v="Parks 16"/>
    <s v="NA"/>
    <s v="NA"/>
    <s v="NA"/>
    <s v=""/>
    <s v=""/>
    <s v=""/>
    <s v=""/>
    <s v=""/>
    <s v=""/>
    <s v=""/>
    <s v=""/>
    <s v=""/>
    <s v=""/>
    <s v=""/>
    <s v=""/>
    <s v=""/>
    <s v=""/>
    <s v=""/>
    <s v=""/>
    <s v=""/>
    <n v="0"/>
    <s v="bbl"/>
    <s v=""/>
    <s v=""/>
    <s v=""/>
    <s v=""/>
    <s v="8300132900"/>
    <s v="PARKS 16 BATTERY"/>
    <s v="Upstream"/>
    <s v="1046"/>
    <s v=""/>
    <s v=""/>
    <s v=""/>
    <s v=""/>
    <s v=""/>
    <s v=""/>
    <s v="Hours Worked"/>
    <n v="3"/>
    <s v="hour"/>
    <n v="85"/>
    <s v=""/>
    <n v="255"/>
    <s v="Pricebook"/>
    <s v="712980"/>
    <d v="2025-10-07T10:23:01"/>
    <s v=""/>
    <s v=""/>
    <s v=""/>
    <s v=""/>
  </r>
  <r>
    <s v="81744"/>
    <s v="DTM Trucking Inc."/>
    <x v="2"/>
    <s v="Cesar Galindo"/>
    <s v="Colby Brunson"/>
    <s v="Haul 110bbls of produced water from location to 715"/>
    <s v="5051054"/>
    <s v="Upstream"/>
    <s v=""/>
    <s v="USD"/>
    <n v="315.5"/>
    <s v="Direct Entry"/>
    <s v="1"/>
    <s v="Vacuum Truck"/>
    <s v="Vacuum Truck"/>
    <s v=""/>
    <d v="2025-10-06T11:03:56"/>
    <d v="2025-10-05T11:30:00"/>
    <d v="2025-10-05T14:30:00"/>
    <d v="1899-12-30T03:00:00"/>
    <s v="Windham 4"/>
    <s v="N/A"/>
    <s v="N/A"/>
    <s v="NA"/>
    <s v=""/>
    <s v=""/>
    <s v=""/>
    <s v=""/>
    <s v=""/>
    <s v=""/>
    <s v=""/>
    <s v=""/>
    <s v=""/>
    <s v=""/>
    <s v=""/>
    <s v=""/>
    <s v=""/>
    <s v=""/>
    <s v=""/>
    <s v=""/>
    <s v=""/>
    <n v="110"/>
    <s v="bbl"/>
    <s v=""/>
    <s v=""/>
    <s v=""/>
    <s v=""/>
    <s v="8300167500"/>
    <s v="WINDHAM 4 BATTERY"/>
    <s v="Upstream"/>
    <s v="1046"/>
    <s v=""/>
    <s v=""/>
    <s v=""/>
    <s v=""/>
    <s v=""/>
    <s v=""/>
    <s v="Hours Worked"/>
    <n v="3"/>
    <s v="hour"/>
    <n v="85"/>
    <s v=""/>
    <n v="255"/>
    <s v="Pricebook"/>
    <s v="712980"/>
    <d v="2025-10-07T07:29:08"/>
    <s v=""/>
    <s v=""/>
    <s v=""/>
    <s v=""/>
  </r>
  <r>
    <s v="81745"/>
    <s v="DTM Trucking Inc."/>
    <x v="2"/>
    <s v="Cesar Galindo"/>
    <s v="Colby Brunson"/>
    <s v="Haul 110bbls of produced water from location to 715"/>
    <s v="5051054"/>
    <s v="Upstream"/>
    <s v=""/>
    <s v="USD"/>
    <n v="273"/>
    <s v="Direct Entry"/>
    <s v="1"/>
    <s v="Vacuum Truck"/>
    <s v="Vacuum Truck"/>
    <s v=""/>
    <d v="2025-10-06T11:07:13"/>
    <d v="2025-10-05T14:30:00"/>
    <d v="2025-10-05T17:00:00"/>
    <d v="1899-12-30T02:30:00"/>
    <s v="Windham 32 BC"/>
    <s v="N/A"/>
    <s v="N/A"/>
    <s v="NA"/>
    <s v=""/>
    <s v=""/>
    <s v=""/>
    <s v=""/>
    <s v=""/>
    <s v=""/>
    <s v=""/>
    <s v=""/>
    <s v=""/>
    <s v=""/>
    <s v=""/>
    <s v=""/>
    <s v=""/>
    <s v=""/>
    <s v=""/>
    <s v=""/>
    <s v=""/>
    <n v="110"/>
    <s v="bbl"/>
    <s v=""/>
    <s v=""/>
    <s v=""/>
    <s v=""/>
    <s v="8300167300"/>
    <s v="WINDHAM 32 B-C BATTERY"/>
    <s v="Upstream"/>
    <s v="1046"/>
    <s v=""/>
    <s v=""/>
    <s v=""/>
    <s v=""/>
    <s v=""/>
    <s v=""/>
    <s v="Hours Worked"/>
    <n v="2.5"/>
    <s v="hour"/>
    <n v="85"/>
    <s v=""/>
    <n v="212.5"/>
    <s v="Pricebook"/>
    <s v="712980"/>
    <d v="2025-10-07T07:29:52"/>
    <s v=""/>
    <s v=""/>
    <s v=""/>
    <s v=""/>
  </r>
  <r>
    <s v="81746"/>
    <s v="DTM Trucking Inc."/>
    <x v="2"/>
    <s v="Cesar Galindo"/>
    <s v="Colby Brunson"/>
    <s v="Haul 110bbls of produced water from location to 715"/>
    <s v="5051054"/>
    <s v="Upstream"/>
    <s v=""/>
    <s v="USD"/>
    <n v="251.75"/>
    <s v="Direct Entry"/>
    <s v="1"/>
    <s v="Vacuum Truck"/>
    <s v="Vacuum Truck"/>
    <s v=""/>
    <d v="2025-10-06T11:10:05"/>
    <d v="2025-10-05T17:00:00"/>
    <d v="2025-10-05T19:15:00"/>
    <d v="1899-12-30T02:15:00"/>
    <s v="Windham 10A"/>
    <s v="N/A"/>
    <s v="N/A"/>
    <s v="NA"/>
    <s v=""/>
    <s v=""/>
    <s v=""/>
    <s v=""/>
    <s v=""/>
    <s v=""/>
    <s v=""/>
    <s v=""/>
    <s v=""/>
    <s v=""/>
    <s v=""/>
    <s v=""/>
    <s v=""/>
    <s v=""/>
    <s v=""/>
    <s v=""/>
    <s v=""/>
    <n v="110"/>
    <s v="bbl"/>
    <s v=""/>
    <s v=""/>
    <s v=""/>
    <s v=""/>
    <s v="8300167200"/>
    <s v="WINDHAM 10 BATTERY"/>
    <s v="Upstream"/>
    <s v="1046"/>
    <s v=""/>
    <s v=""/>
    <s v=""/>
    <s v=""/>
    <s v=""/>
    <s v=""/>
    <s v="Hours Worked"/>
    <n v="2.25"/>
    <s v="hour"/>
    <n v="85"/>
    <s v=""/>
    <n v="191.25"/>
    <s v="Pricebook"/>
    <s v="712980"/>
    <d v="2025-10-07T07:30:20"/>
    <s v=""/>
    <s v=""/>
    <s v=""/>
    <s v=""/>
  </r>
  <r>
    <s v="83190"/>
    <s v="DTM Trucking Inc."/>
    <x v="2"/>
    <s v="Cesar Galindo"/>
    <s v="Colby Brunson"/>
    <s v="Haul 110bbls of produced water from location to 715"/>
    <s v="5051054"/>
    <s v="Upstream"/>
    <s v=""/>
    <s v="USD"/>
    <n v="336.75"/>
    <s v="Direct Entry"/>
    <s v="1"/>
    <s v="Vacuum Truck"/>
    <s v="Vacuum Truck"/>
    <s v=""/>
    <d v="2025-10-06T11:35:48"/>
    <d v="2025-10-05T10:30:00"/>
    <d v="2025-10-05T13:45:00"/>
    <d v="1899-12-30T03:15:00"/>
    <s v="Parks 16"/>
    <s v="N/A"/>
    <s v="N/A"/>
    <s v="NA"/>
    <s v=""/>
    <s v=""/>
    <s v=""/>
    <s v=""/>
    <s v=""/>
    <s v=""/>
    <s v=""/>
    <s v=""/>
    <s v=""/>
    <s v=""/>
    <s v=""/>
    <s v=""/>
    <s v=""/>
    <s v=""/>
    <s v=""/>
    <s v=""/>
    <s v=""/>
    <n v="110"/>
    <s v="bbl"/>
    <s v=""/>
    <s v=""/>
    <s v=""/>
    <s v=""/>
    <s v="8300132900"/>
    <s v="PARKS 16 BATTERY"/>
    <s v="Upstream"/>
    <s v="1046"/>
    <s v=""/>
    <s v=""/>
    <s v=""/>
    <s v=""/>
    <s v=""/>
    <s v=""/>
    <s v="Hours Worked"/>
    <n v="3.25"/>
    <s v="hour"/>
    <n v="85"/>
    <s v=""/>
    <n v="276.25"/>
    <s v="Pricebook"/>
    <s v="712980"/>
    <d v="2025-10-07T07:34:41"/>
    <s v=""/>
    <s v=""/>
    <s v=""/>
    <s v=""/>
  </r>
  <r>
    <s v="83191"/>
    <s v="DTM Trucking Inc."/>
    <x v="2"/>
    <s v="Cesar Galindo"/>
    <s v="Colby Brunson"/>
    <s v="Haul 110bbls of produced water from location to 715"/>
    <s v="5051054"/>
    <s v="Upstream"/>
    <s v=""/>
    <s v="USD"/>
    <n v="315.5"/>
    <s v="Direct Entry"/>
    <s v="1"/>
    <s v="Vacuum Truck"/>
    <s v="Vacuum Truck"/>
    <s v=""/>
    <d v="2025-10-06T11:38:34"/>
    <d v="2025-10-05T13:45:00"/>
    <d v="2025-10-05T16:45:00"/>
    <d v="1899-12-30T03:00:00"/>
    <s v="Parks 24"/>
    <s v="N/A"/>
    <s v="N/A"/>
    <s v="NA"/>
    <s v=""/>
    <s v=""/>
    <s v=""/>
    <s v=""/>
    <s v=""/>
    <s v=""/>
    <s v=""/>
    <s v=""/>
    <s v=""/>
    <s v=""/>
    <s v=""/>
    <s v=""/>
    <s v=""/>
    <s v=""/>
    <s v=""/>
    <s v=""/>
    <s v=""/>
    <n v="110"/>
    <s v="bbl"/>
    <s v=""/>
    <s v=""/>
    <s v=""/>
    <s v=""/>
    <s v="8300133200"/>
    <s v="PARKS 24 BATTERY"/>
    <s v="Upstream"/>
    <s v="1046"/>
    <s v=""/>
    <s v=""/>
    <s v=""/>
    <s v=""/>
    <s v=""/>
    <s v=""/>
    <s v="Hours Worked"/>
    <n v="3"/>
    <s v="hour"/>
    <n v="85"/>
    <s v=""/>
    <n v="255"/>
    <s v="Pricebook"/>
    <s v="712980"/>
    <d v="2025-10-07T07:35:11"/>
    <s v=""/>
    <s v=""/>
    <s v=""/>
    <s v=""/>
  </r>
  <r>
    <s v="80426"/>
    <s v="DTM Trucking Inc."/>
    <x v="9"/>
    <s v="Cesar Galindo"/>
    <s v="Colby Brunson"/>
    <s v="Haul 110bbls of p/w from location to 715"/>
    <s v="5051054"/>
    <s v="Upstream"/>
    <s v=""/>
    <s v="USD"/>
    <n v="230.5"/>
    <s v="Direct Entry"/>
    <s v="1"/>
    <s v="Vacuum Truck"/>
    <s v="Vacuum Truck"/>
    <s v=""/>
    <d v="2025-10-08T12:19:40"/>
    <d v="2025-10-06T16:15:00"/>
    <d v="2025-10-06T18:15:00"/>
    <d v="1899-12-30T02:00:00"/>
    <s v="Windham A"/>
    <s v="NA"/>
    <s v="NA"/>
    <s v="NA"/>
    <s v=""/>
    <s v=""/>
    <s v=""/>
    <s v=""/>
    <s v=""/>
    <s v=""/>
    <s v=""/>
    <s v=""/>
    <s v=""/>
    <s v=""/>
    <s v=""/>
    <s v=""/>
    <s v=""/>
    <s v=""/>
    <s v=""/>
    <s v=""/>
    <s v=""/>
    <n v="0"/>
    <s v="bbl"/>
    <s v=""/>
    <s v=""/>
    <s v=""/>
    <s v=""/>
    <s v="8300167600"/>
    <s v="WINDHAM A 1 BATTERY"/>
    <s v="Upstream"/>
    <s v="1046"/>
    <s v=""/>
    <s v=""/>
    <s v=""/>
    <s v=""/>
    <s v=""/>
    <s v=""/>
    <s v="Hours Worked"/>
    <n v="2"/>
    <s v="hour"/>
    <n v="85"/>
    <s v=""/>
    <n v="170"/>
    <s v="Pricebook"/>
    <s v="712980"/>
    <d v="2025-10-08T13:36:39"/>
    <s v=""/>
    <s v=""/>
    <s v=""/>
    <s v=""/>
  </r>
  <r>
    <s v="80427"/>
    <s v="DTM Trucking Inc."/>
    <x v="9"/>
    <s v="Cesar Galindo"/>
    <s v="Colby Brunson"/>
    <s v="Haul 110bbls of p/w from location to 715"/>
    <s v="5051054"/>
    <s v="Upstream"/>
    <s v=""/>
    <s v="USD"/>
    <n v="251.75"/>
    <s v="Direct Entry"/>
    <s v="1"/>
    <s v="Vacuum Truck"/>
    <s v="Vacuum Truck"/>
    <s v=""/>
    <d v="2025-10-08T12:22:05"/>
    <d v="2025-10-06T18:15:00"/>
    <d v="2025-10-06T20:30:00"/>
    <d v="1899-12-30T02:15:00"/>
    <s v="Windham 32 BC"/>
    <s v="NA"/>
    <s v="NA"/>
    <s v="NA"/>
    <s v=""/>
    <s v=""/>
    <s v=""/>
    <s v=""/>
    <s v=""/>
    <s v=""/>
    <s v=""/>
    <s v=""/>
    <s v=""/>
    <s v=""/>
    <s v=""/>
    <s v=""/>
    <s v=""/>
    <s v=""/>
    <s v=""/>
    <s v=""/>
    <s v=""/>
    <n v="0"/>
    <s v="bbl"/>
    <s v=""/>
    <s v=""/>
    <s v=""/>
    <s v=""/>
    <s v="8300167300"/>
    <s v="WINDHAM 32 B-C BATTERY"/>
    <s v="Upstream"/>
    <s v="1046"/>
    <s v=""/>
    <s v=""/>
    <s v=""/>
    <s v=""/>
    <s v=""/>
    <s v=""/>
    <s v="Hours Worked"/>
    <n v="2.25"/>
    <s v="hour"/>
    <n v="85"/>
    <s v=""/>
    <n v="191.25"/>
    <s v="Pricebook"/>
    <s v="712980"/>
    <d v="2025-10-08T13:37:29"/>
    <s v=""/>
    <s v=""/>
    <s v=""/>
    <s v=""/>
  </r>
  <r>
    <s v="81747"/>
    <s v="DTM Trucking Inc."/>
    <x v="9"/>
    <s v="Cesar Galindo"/>
    <s v="Colby Brunson"/>
    <s v="Haul 110bbls of p/w from location to 715"/>
    <s v="5051054"/>
    <s v="Upstream"/>
    <s v=""/>
    <s v="USD"/>
    <n v="315.5"/>
    <s v="Direct Entry"/>
    <s v="1"/>
    <s v="Vacuum Truck"/>
    <s v="Vacuum Truck"/>
    <s v=""/>
    <d v="2025-10-08T12:28:27"/>
    <d v="2025-10-06T03:15:00"/>
    <d v="2025-10-06T06:15:00"/>
    <d v="1899-12-30T03:00:00"/>
    <s v="Windham 32 BC"/>
    <s v="NA"/>
    <s v="NA"/>
    <s v="NA"/>
    <s v=""/>
    <s v=""/>
    <s v=""/>
    <s v=""/>
    <s v=""/>
    <s v=""/>
    <s v=""/>
    <s v=""/>
    <s v=""/>
    <s v=""/>
    <s v=""/>
    <s v=""/>
    <s v=""/>
    <s v=""/>
    <s v=""/>
    <s v=""/>
    <s v=""/>
    <n v="0"/>
    <s v="bbl"/>
    <s v=""/>
    <s v=""/>
    <s v=""/>
    <s v=""/>
    <s v="8300167300"/>
    <s v="WINDHAM 32 B-C BATTERY"/>
    <s v="Upstream"/>
    <s v="1046"/>
    <s v=""/>
    <s v=""/>
    <s v=""/>
    <s v=""/>
    <s v=""/>
    <s v=""/>
    <s v="Hours Worked"/>
    <n v="3"/>
    <s v="hour"/>
    <n v="85"/>
    <s v=""/>
    <n v="255"/>
    <s v="Pricebook"/>
    <s v="712980"/>
    <d v="2025-10-08T13:48:10"/>
    <s v=""/>
    <s v=""/>
    <s v=""/>
    <s v=""/>
  </r>
  <r>
    <s v="81749"/>
    <s v="DTM Trucking Inc."/>
    <x v="9"/>
    <s v="Cesar Galindo"/>
    <s v="Colby Brunson"/>
    <s v="Haul 110bbls of p/w from location to 715"/>
    <s v="5051054"/>
    <s v="Upstream"/>
    <s v=""/>
    <s v="USD"/>
    <n v="336.75"/>
    <s v="Direct Entry"/>
    <s v="1"/>
    <s v="Vacuum Truck"/>
    <s v="Vacuum Truck"/>
    <s v=""/>
    <d v="2025-10-08T12:33:29"/>
    <d v="2025-10-06T09:15:00"/>
    <d v="2025-10-06T12:30:00"/>
    <d v="1899-12-30T03:15:00"/>
    <s v="Windham 4"/>
    <s v="NA"/>
    <s v="NA"/>
    <s v="NA"/>
    <s v=""/>
    <s v=""/>
    <s v=""/>
    <s v=""/>
    <s v=""/>
    <s v=""/>
    <s v=""/>
    <s v=""/>
    <s v=""/>
    <s v=""/>
    <s v=""/>
    <s v=""/>
    <s v=""/>
    <s v=""/>
    <s v=""/>
    <s v=""/>
    <s v=""/>
    <n v="0"/>
    <s v="bbl"/>
    <s v=""/>
    <s v=""/>
    <s v=""/>
    <s v=""/>
    <s v="8300167500"/>
    <s v="WINDHAM 4 BATTERY"/>
    <s v="Upstream"/>
    <s v="1046"/>
    <s v=""/>
    <s v=""/>
    <s v=""/>
    <s v=""/>
    <s v=""/>
    <s v=""/>
    <s v="Hours Worked"/>
    <n v="3.25"/>
    <s v="hour"/>
    <n v="85"/>
    <s v=""/>
    <n v="276.25"/>
    <s v="Pricebook"/>
    <s v="712980"/>
    <d v="2025-10-08T13:49:09"/>
    <s v=""/>
    <s v=""/>
    <s v=""/>
    <s v=""/>
  </r>
  <r>
    <s v="81750"/>
    <s v="DTM Trucking Inc."/>
    <x v="9"/>
    <s v="Cesar Galindo"/>
    <s v="Colby Brunson"/>
    <s v="Haul 110bbls of p/w from location to 715"/>
    <s v="5051054"/>
    <s v="Upstream"/>
    <s v=""/>
    <s v="USD"/>
    <n v="379.25"/>
    <s v="Direct Entry"/>
    <s v="1"/>
    <s v="Vacuum Truck"/>
    <s v="Vacuum Truck"/>
    <s v=""/>
    <d v="2025-10-08T12:36:05"/>
    <d v="2025-10-06T12:30:00"/>
    <d v="2025-10-06T16:15:00"/>
    <d v="1899-12-30T03:45:00"/>
    <s v="Windham 33"/>
    <s v="NA"/>
    <s v="NA"/>
    <s v="NA"/>
    <s v=""/>
    <s v=""/>
    <s v=""/>
    <s v=""/>
    <s v=""/>
    <s v=""/>
    <s v=""/>
    <s v=""/>
    <s v=""/>
    <s v=""/>
    <s v=""/>
    <s v=""/>
    <s v=""/>
    <s v=""/>
    <s v=""/>
    <s v=""/>
    <s v=""/>
    <n v="0"/>
    <s v="bbl"/>
    <s v=""/>
    <s v=""/>
    <s v=""/>
    <s v=""/>
    <s v="8300167400"/>
    <s v="WINDHAM 33 BATTERY"/>
    <s v="Upstream"/>
    <s v="1046"/>
    <s v=""/>
    <s v=""/>
    <s v=""/>
    <s v=""/>
    <s v=""/>
    <s v=""/>
    <s v="Hours Worked"/>
    <n v="3.75"/>
    <s v="hour"/>
    <n v="85"/>
    <s v=""/>
    <n v="318.75"/>
    <s v="Pricebook"/>
    <s v="712980"/>
    <d v="2025-10-08T13:49:43"/>
    <s v=""/>
    <s v=""/>
    <s v=""/>
    <s v=""/>
  </r>
  <r>
    <s v="80428"/>
    <s v="DTM Trucking Inc."/>
    <x v="9"/>
    <s v="Cesar Galindo"/>
    <s v="Colby Brunson"/>
    <s v="Haul 110bbls of p/w from location to 715"/>
    <s v="5051054"/>
    <s v="Upstream"/>
    <s v=""/>
    <s v="USD"/>
    <n v="315.5"/>
    <s v="Direct Entry"/>
    <s v="1"/>
    <s v="Vacuum Truck"/>
    <s v="Vacuum Truck"/>
    <s v=""/>
    <d v="2025-10-08T09:23:02"/>
    <d v="2025-10-07T03:30:00"/>
    <d v="2025-10-07T06:30:00"/>
    <d v="1899-12-30T03:00:00"/>
    <s v="TXL 5"/>
    <s v="NA"/>
    <s v="NA"/>
    <s v="NA"/>
    <s v=""/>
    <s v=""/>
    <s v=""/>
    <s v=""/>
    <s v=""/>
    <s v=""/>
    <s v=""/>
    <s v=""/>
    <s v=""/>
    <s v=""/>
    <s v=""/>
    <s v=""/>
    <s v=""/>
    <s v=""/>
    <s v=""/>
    <s v=""/>
    <s v=""/>
    <n v="0"/>
    <s v="bbl"/>
    <s v=""/>
    <s v=""/>
    <s v=""/>
    <s v=""/>
    <s v="8300162400"/>
    <s v="TXL 5 2 BATTERY"/>
    <s v="Upstream"/>
    <s v="1046"/>
    <s v=""/>
    <s v=""/>
    <s v=""/>
    <s v=""/>
    <s v=""/>
    <s v=""/>
    <s v="Hours Worked"/>
    <n v="3"/>
    <s v="hour"/>
    <n v="85"/>
    <s v=""/>
    <n v="255"/>
    <s v="Pricebook"/>
    <s v="712980"/>
    <d v="2025-10-08T14:14:36"/>
    <s v=""/>
    <s v=""/>
    <s v=""/>
    <s v=""/>
  </r>
  <r>
    <s v="80429"/>
    <s v="DTM Trucking Inc."/>
    <x v="9"/>
    <s v="Cesar Galindo"/>
    <s v="Colby Brunson"/>
    <s v="Haul 110bbls of p/w from location to 715"/>
    <s v="5051054"/>
    <s v="Upstream"/>
    <s v=""/>
    <s v="USD"/>
    <n v="315.5"/>
    <s v="Direct Entry"/>
    <s v="1"/>
    <s v="Vacuum Truck"/>
    <s v="Vacuum Truck"/>
    <s v=""/>
    <d v="2025-10-08T09:25:58"/>
    <d v="2025-10-07T06:30:00"/>
    <d v="2025-10-07T09:30:00"/>
    <d v="1899-12-30T03:00:00"/>
    <s v="Windham A"/>
    <s v="NA"/>
    <s v="NA"/>
    <s v="NA"/>
    <s v=""/>
    <s v=""/>
    <s v=""/>
    <s v=""/>
    <s v=""/>
    <s v=""/>
    <s v=""/>
    <s v=""/>
    <s v=""/>
    <s v=""/>
    <s v=""/>
    <s v=""/>
    <s v=""/>
    <s v=""/>
    <s v=""/>
    <s v=""/>
    <s v=""/>
    <n v="0"/>
    <s v="bbl"/>
    <s v=""/>
    <s v=""/>
    <s v=""/>
    <s v=""/>
    <s v="8300167600"/>
    <s v="WINDHAM A 1 BATTERY"/>
    <s v="Upstream"/>
    <s v="1046"/>
    <s v=""/>
    <s v=""/>
    <s v=""/>
    <s v=""/>
    <s v=""/>
    <s v=""/>
    <s v="Hours Worked"/>
    <n v="3"/>
    <s v="hour"/>
    <n v="85"/>
    <s v=""/>
    <n v="255"/>
    <s v="Pricebook"/>
    <s v="712980"/>
    <d v="2025-10-08T14:14:58"/>
    <s v=""/>
    <s v=""/>
    <s v=""/>
    <s v=""/>
  </r>
  <r>
    <s v="80430"/>
    <s v="DTM Trucking Inc."/>
    <x v="9"/>
    <s v="Cesar Galindo"/>
    <s v="Colby Brunson"/>
    <s v="Haul 110bbls of p/w from location to 715"/>
    <s v="5051054"/>
    <s v="Upstream"/>
    <s v=""/>
    <s v="USD"/>
    <n v="315.5"/>
    <s v="Direct Entry"/>
    <s v="1"/>
    <s v="Vacuum Truck"/>
    <s v="Vacuum Truck"/>
    <s v=""/>
    <d v="2025-10-08T09:28:17"/>
    <d v="2025-10-07T09:30:00"/>
    <d v="2025-10-07T12:30:00"/>
    <d v="1899-12-30T03:00:00"/>
    <s v="Windham 32 BC"/>
    <s v="NA"/>
    <s v="NA"/>
    <s v="NA"/>
    <s v=""/>
    <s v=""/>
    <s v=""/>
    <s v=""/>
    <s v=""/>
    <s v=""/>
    <s v=""/>
    <s v=""/>
    <s v=""/>
    <s v=""/>
    <s v=""/>
    <s v=""/>
    <s v=""/>
    <s v=""/>
    <s v=""/>
    <s v=""/>
    <s v=""/>
    <n v="0"/>
    <s v="bbl"/>
    <s v=""/>
    <s v=""/>
    <s v=""/>
    <s v=""/>
    <s v="8300167300"/>
    <s v="WINDHAM 32 B-C BATTERY"/>
    <s v="Upstream"/>
    <s v="1046"/>
    <s v=""/>
    <s v=""/>
    <s v=""/>
    <s v=""/>
    <s v=""/>
    <s v=""/>
    <s v="Hours Worked"/>
    <n v="3"/>
    <s v="hour"/>
    <n v="85"/>
    <s v=""/>
    <n v="255"/>
    <s v="Pricebook"/>
    <s v="712980"/>
    <d v="2025-10-08T14:15:54"/>
    <s v=""/>
    <s v=""/>
    <s v=""/>
    <s v=""/>
  </r>
  <r>
    <s v="80431"/>
    <s v="DTM Trucking Inc."/>
    <x v="9"/>
    <s v="Cesar Galindo"/>
    <s v="Colby Brunson"/>
    <s v="Haul 110bbls of p/w from location to 715"/>
    <s v="5051054"/>
    <s v="Upstream"/>
    <s v=""/>
    <s v="USD"/>
    <n v="230.5"/>
    <s v="Direct Entry"/>
    <s v="1"/>
    <s v="Vacuum Truck"/>
    <s v="Vacuum Truck"/>
    <s v=""/>
    <d v="2025-10-10T10:35:22"/>
    <d v="2025-10-07T12:30:00"/>
    <d v="2025-10-07T14:30:00"/>
    <d v="1899-12-30T02:00:00"/>
    <s v="Windham 4"/>
    <s v="NA"/>
    <s v="NA"/>
    <s v="NA"/>
    <s v=""/>
    <s v=""/>
    <s v=""/>
    <s v=""/>
    <s v=""/>
    <s v=""/>
    <s v=""/>
    <s v=""/>
    <s v=""/>
    <s v=""/>
    <s v=""/>
    <s v=""/>
    <s v=""/>
    <s v=""/>
    <s v=""/>
    <s v=""/>
    <s v=""/>
    <n v="0"/>
    <s v="bbl"/>
    <s v=""/>
    <s v=""/>
    <s v=""/>
    <s v=""/>
    <s v="8300167500"/>
    <s v="WINDHAM 4 BATTERY"/>
    <s v="Upstream"/>
    <s v="1046"/>
    <s v=""/>
    <s v=""/>
    <s v=""/>
    <s v=""/>
    <s v=""/>
    <s v=""/>
    <s v="Hours Worked"/>
    <n v="2"/>
    <s v="hour"/>
    <n v="85"/>
    <s v=""/>
    <n v="170"/>
    <s v="Pricebook"/>
    <s v="712980"/>
    <d v="2025-10-10T10:38:27"/>
    <s v=""/>
    <s v=""/>
    <s v=""/>
    <s v=""/>
  </r>
  <r>
    <s v="80432"/>
    <s v="DTM Trucking Inc."/>
    <x v="9"/>
    <s v="Cesar Galindo"/>
    <s v="Colby Brunson"/>
    <s v="Haul 110bbls of p/w from location to 715"/>
    <s v="5051054"/>
    <s v="Upstream"/>
    <s v=""/>
    <s v="USD"/>
    <n v="315.5"/>
    <s v="Direct Entry"/>
    <s v="1"/>
    <s v="Vacuum Truck"/>
    <s v="Vacuum Truck"/>
    <s v=""/>
    <d v="2025-10-09T09:51:23"/>
    <d v="2025-10-08T04:15:00"/>
    <d v="2025-10-08T07:15:00"/>
    <d v="1899-12-30T03:00:00"/>
    <s v="Windham 33"/>
    <s v="NA"/>
    <s v="NA"/>
    <s v="NA"/>
    <s v=""/>
    <s v=""/>
    <s v=""/>
    <s v=""/>
    <s v=""/>
    <s v=""/>
    <s v=""/>
    <s v=""/>
    <s v=""/>
    <s v=""/>
    <s v=""/>
    <s v=""/>
    <s v=""/>
    <s v=""/>
    <s v=""/>
    <s v=""/>
    <s v=""/>
    <n v="0"/>
    <s v="bbl"/>
    <s v=""/>
    <s v=""/>
    <s v=""/>
    <s v=""/>
    <s v="8300167400"/>
    <s v="WINDHAM 33 BATTERY"/>
    <s v="Upstream"/>
    <s v="1046"/>
    <s v=""/>
    <s v=""/>
    <s v=""/>
    <s v=""/>
    <s v=""/>
    <s v=""/>
    <s v="Hours Worked"/>
    <n v="3"/>
    <s v="hour"/>
    <n v="85"/>
    <s v=""/>
    <n v="255"/>
    <s v="Pricebook"/>
    <s v="712980"/>
    <d v="2025-10-09T12:48:38"/>
    <s v=""/>
    <s v=""/>
    <s v=""/>
    <s v=""/>
  </r>
  <r>
    <s v="80433"/>
    <s v="DTM Trucking Inc."/>
    <x v="9"/>
    <s v="Cesar Galindo"/>
    <s v="Colby Brunson"/>
    <s v="Haul 110bbls of p/w from location to 715"/>
    <s v="5051054"/>
    <s v="Upstream"/>
    <s v=""/>
    <s v="USD"/>
    <n v="336.75"/>
    <s v="Direct Entry"/>
    <s v="1"/>
    <s v="Vacuum Truck"/>
    <s v="Vacuum Truck"/>
    <s v=""/>
    <d v="2025-10-09T09:53:46"/>
    <d v="2025-10-08T07:15:00"/>
    <d v="2025-10-08T10:30:00"/>
    <d v="1899-12-30T03:15:00"/>
    <s v="Windham 32 BC"/>
    <s v="NA"/>
    <s v="NA"/>
    <s v="NA"/>
    <s v=""/>
    <s v=""/>
    <s v=""/>
    <s v=""/>
    <s v=""/>
    <s v=""/>
    <s v=""/>
    <s v=""/>
    <s v=""/>
    <s v=""/>
    <s v=""/>
    <s v=""/>
    <s v=""/>
    <s v=""/>
    <s v=""/>
    <s v=""/>
    <s v=""/>
    <n v="0"/>
    <s v="bbl"/>
    <s v=""/>
    <s v=""/>
    <s v=""/>
    <s v=""/>
    <s v="8300167300"/>
    <s v="WINDHAM 32 B-C BATTERY"/>
    <s v="Upstream"/>
    <s v="1046"/>
    <s v=""/>
    <s v=""/>
    <s v=""/>
    <s v=""/>
    <s v=""/>
    <s v=""/>
    <s v="Hours Worked"/>
    <n v="3.25"/>
    <s v="hour"/>
    <n v="85"/>
    <s v=""/>
    <n v="276.25"/>
    <s v="Pricebook"/>
    <s v="712980"/>
    <d v="2025-10-09T12:50:14"/>
    <s v=""/>
    <s v=""/>
    <s v=""/>
    <s v=""/>
  </r>
  <r>
    <s v="80434"/>
    <s v="DTM Trucking Inc."/>
    <x v="9"/>
    <s v="Cesar Galindo"/>
    <s v="Colby Brunson"/>
    <s v="Haul 110bbls of p/w from location to 715"/>
    <s v="5051054"/>
    <s v="Upstream"/>
    <s v=""/>
    <s v="USD"/>
    <n v="315.5"/>
    <s v="Direct Entry"/>
    <s v="1"/>
    <s v="Vacuum Truck"/>
    <s v="Vacuum Truck"/>
    <s v=""/>
    <d v="2025-10-09T09:57:47"/>
    <d v="2025-10-08T10:30:00"/>
    <d v="2025-10-08T13:30:00"/>
    <d v="1899-12-30T03:00:00"/>
    <s v="Windham 4"/>
    <s v="NA"/>
    <s v="NA"/>
    <s v="NA"/>
    <s v=""/>
    <s v=""/>
    <s v=""/>
    <s v=""/>
    <s v=""/>
    <s v=""/>
    <s v=""/>
    <s v=""/>
    <s v=""/>
    <s v=""/>
    <s v=""/>
    <s v=""/>
    <s v=""/>
    <s v=""/>
    <s v=""/>
    <s v=""/>
    <s v=""/>
    <n v="0"/>
    <s v="bbl"/>
    <s v=""/>
    <s v=""/>
    <s v=""/>
    <s v=""/>
    <s v="8300167500"/>
    <s v="WINDHAM 4 BATTERY"/>
    <s v="Upstream"/>
    <s v="1046"/>
    <s v=""/>
    <s v=""/>
    <s v=""/>
    <s v=""/>
    <s v=""/>
    <s v=""/>
    <s v="Hours Worked"/>
    <n v="3"/>
    <s v="hour"/>
    <n v="85"/>
    <s v=""/>
    <n v="255"/>
    <s v="Pricebook"/>
    <s v="712980"/>
    <d v="2025-10-09T12:50:32"/>
    <s v=""/>
    <s v=""/>
    <s v=""/>
    <s v=""/>
  </r>
  <r>
    <s v="80439"/>
    <s v="DTM Trucking Inc."/>
    <x v="2"/>
    <s v="Cesar Galindo"/>
    <s v="Colby Brunson"/>
    <s v="Haul 110bbls p/w from location to 715"/>
    <s v="5051054"/>
    <s v="Upstream"/>
    <s v=""/>
    <s v="USD"/>
    <n v="230.5"/>
    <s v="Direct Entry"/>
    <s v="1"/>
    <s v="Vacuum Truck"/>
    <s v="Vacuum Truck"/>
    <s v=""/>
    <d v="2025-10-10T10:16:36"/>
    <d v="2025-10-09T14:45:00"/>
    <d v="2025-10-09T16:45:00"/>
    <d v="1899-12-30T02:00:00"/>
    <s v="Windham 4"/>
    <s v="NA"/>
    <s v="NA"/>
    <s v="NA"/>
    <s v=""/>
    <s v=""/>
    <s v=""/>
    <s v=""/>
    <s v=""/>
    <s v=""/>
    <s v=""/>
    <s v=""/>
    <s v=""/>
    <s v=""/>
    <s v=""/>
    <s v=""/>
    <s v=""/>
    <s v=""/>
    <s v=""/>
    <s v=""/>
    <s v=""/>
    <n v="0"/>
    <s v="bbl"/>
    <s v=""/>
    <s v=""/>
    <s v=""/>
    <s v=""/>
    <s v="8300167500"/>
    <s v="WINDHAM 4 BATTERY"/>
    <s v="Upstream"/>
    <s v="1046"/>
    <s v=""/>
    <s v=""/>
    <s v=""/>
    <s v=""/>
    <s v=""/>
    <s v=""/>
    <s v="Hours Worked"/>
    <n v="2"/>
    <s v="hour"/>
    <n v="85"/>
    <s v=""/>
    <n v="170"/>
    <s v="Pricebook"/>
    <s v="712980"/>
    <d v="2025-10-10T12:58:56"/>
    <s v=""/>
    <s v=""/>
    <s v=""/>
    <s v=""/>
  </r>
  <r>
    <s v="80437"/>
    <s v="DTM Trucking Inc."/>
    <x v="9"/>
    <s v="Cesar Galindo"/>
    <s v="Colby Brunson"/>
    <s v="Haul 110bbls of p/w from location to 715"/>
    <s v="5051054"/>
    <s v="Upstream"/>
    <s v=""/>
    <s v="USD"/>
    <n v="336.75"/>
    <s v="Direct Entry"/>
    <s v="1"/>
    <s v="Vacuum Truck"/>
    <s v="Vacuum Truck"/>
    <s v=""/>
    <d v="2025-10-10T11:11:08"/>
    <d v="2025-10-09T07:45:00"/>
    <d v="2025-10-09T11:00:00"/>
    <d v="1899-12-30T03:15:00"/>
    <s v="Windham A"/>
    <s v="NA"/>
    <s v="NA"/>
    <s v="NA"/>
    <s v=""/>
    <s v=""/>
    <s v=""/>
    <s v=""/>
    <s v=""/>
    <s v=""/>
    <s v=""/>
    <s v=""/>
    <s v=""/>
    <s v=""/>
    <s v=""/>
    <s v=""/>
    <s v=""/>
    <s v=""/>
    <s v=""/>
    <s v=""/>
    <s v=""/>
    <n v="0"/>
    <s v="bbl"/>
    <s v=""/>
    <s v=""/>
    <s v=""/>
    <s v=""/>
    <s v="8300167600"/>
    <s v="WINDHAM A 1 BATTERY"/>
    <s v="Upstream"/>
    <s v="1046"/>
    <s v=""/>
    <s v=""/>
    <s v=""/>
    <s v=""/>
    <s v=""/>
    <s v=""/>
    <s v="Hours Worked"/>
    <n v="3.25"/>
    <s v="hour"/>
    <n v="85"/>
    <s v=""/>
    <n v="276.25"/>
    <s v="Pricebook"/>
    <s v="712980"/>
    <d v="2025-10-10T14:27:53"/>
    <s v=""/>
    <s v=""/>
    <s v=""/>
    <s v=""/>
  </r>
  <r>
    <s v="80438"/>
    <s v="DTM Trucking Inc."/>
    <x v="9"/>
    <s v="Cesar Galindo"/>
    <s v="Colby Brunson"/>
    <s v="Haul 110bbls of p/w from location to 715"/>
    <s v="5051054"/>
    <s v="Upstream"/>
    <s v=""/>
    <s v="USD"/>
    <n v="379.25"/>
    <s v="Direct Entry"/>
    <s v="1"/>
    <s v="Vacuum Truck"/>
    <s v="Vacuum Truck"/>
    <s v=""/>
    <d v="2025-10-10T11:16:44"/>
    <d v="2025-10-09T11:00:00"/>
    <d v="2025-10-09T14:45:00"/>
    <d v="1899-12-30T03:45:00"/>
    <s v="Windham 32 BC"/>
    <s v="NA"/>
    <s v="NA"/>
    <s v="NA"/>
    <s v=""/>
    <s v=""/>
    <s v=""/>
    <s v=""/>
    <s v=""/>
    <s v=""/>
    <s v=""/>
    <s v=""/>
    <s v=""/>
    <s v=""/>
    <s v=""/>
    <s v=""/>
    <s v=""/>
    <s v=""/>
    <s v=""/>
    <s v=""/>
    <s v=""/>
    <n v="0"/>
    <s v="bbl"/>
    <s v=""/>
    <s v=""/>
    <s v=""/>
    <s v=""/>
    <s v="8300167300"/>
    <s v="WINDHAM 32 B-C BATTERY"/>
    <s v="Upstream"/>
    <s v="1046"/>
    <s v=""/>
    <s v=""/>
    <s v=""/>
    <s v=""/>
    <s v=""/>
    <s v=""/>
    <s v="Hours Worked"/>
    <n v="3.75"/>
    <s v="hour"/>
    <n v="85"/>
    <s v=""/>
    <n v="318.75"/>
    <s v="Pricebook"/>
    <s v="712980"/>
    <d v="2025-10-10T12:40:14"/>
    <s v=""/>
    <s v=""/>
    <s v=""/>
    <s v=""/>
  </r>
  <r>
    <s v="0721-1079166"/>
    <s v="Cain Electric Supply CORP"/>
    <x v="4"/>
    <s v="Christian Stephens"/>
    <s v="John Blakeney"/>
    <s v="Electrical Materials"/>
    <s v="5051017"/>
    <s v="Upstream"/>
    <s v=""/>
    <s v="USD"/>
    <n v="690.87"/>
    <s v=""/>
    <s v="1"/>
    <s v="RAY GT66"/>
    <s v="HEAT TRACE TAPE"/>
    <s v=""/>
    <d v="2025-10-07T19:04:27"/>
    <d v="2025-10-07T08:00:00"/>
    <d v="2025-10-07T08:00:00"/>
    <s v=""/>
    <s v="APOLLO 38-1 UNIT1 121"/>
    <s v=""/>
    <s v=""/>
    <s v=""/>
    <s v=""/>
    <s v=""/>
    <s v=""/>
    <s v=""/>
    <s v=""/>
    <s v=""/>
    <s v=""/>
    <s v=""/>
    <s v=""/>
    <s v=""/>
    <s v=""/>
    <s v=""/>
    <s v=""/>
    <s v=""/>
    <s v=""/>
    <s v=""/>
    <s v=""/>
    <s v=""/>
    <s v=""/>
    <s v="Material"/>
    <s v=""/>
    <s v=""/>
    <s v=""/>
    <s v="1001529100"/>
    <s v="APOLLO 38-1 UNIT 1 121"/>
    <s v="Upstream"/>
    <s v="1046"/>
    <s v=""/>
    <s v=""/>
    <s v=""/>
    <s v=""/>
    <s v=""/>
    <s v=""/>
    <s v=""/>
    <n v="3"/>
    <s v="EA"/>
    <n v="17"/>
    <s v=""/>
    <n v="51"/>
    <s v="--multiple--"/>
    <s v="703819"/>
    <d v="2025-10-09T15:10:33"/>
    <s v=""/>
    <s v=""/>
    <s v=""/>
    <s v=""/>
  </r>
  <r>
    <s v="0721-1079167"/>
    <s v="Cain Electric Supply CORP"/>
    <x v="4"/>
    <s v="Christian Stephens"/>
    <s v="John Blakeney"/>
    <s v="Electrical Materials"/>
    <s v="5051017"/>
    <s v="Upstream"/>
    <s v=""/>
    <s v="USD"/>
    <n v="251"/>
    <s v=""/>
    <s v="1"/>
    <s v="TB TY528MX"/>
    <s v="14IN NYL BLK CBL TIE"/>
    <s v=""/>
    <d v="2025-10-07T19:04:31"/>
    <d v="2025-10-07T08:00:00"/>
    <d v="2025-10-07T08:00:00"/>
    <s v=""/>
    <s v="ARES 27-26 GAS LIFT"/>
    <s v=""/>
    <s v=""/>
    <s v=""/>
    <s v=""/>
    <s v=""/>
    <s v=""/>
    <s v=""/>
    <s v=""/>
    <s v=""/>
    <s v=""/>
    <s v=""/>
    <s v=""/>
    <s v=""/>
    <s v=""/>
    <s v=""/>
    <s v=""/>
    <s v=""/>
    <s v=""/>
    <s v=""/>
    <s v=""/>
    <s v=""/>
    <s v=""/>
    <s v="Material"/>
    <s v=""/>
    <s v=""/>
    <s v=""/>
    <s v="8300077700"/>
    <s v="ARES 27-26 BATTERY"/>
    <s v="Upstream"/>
    <s v="1046"/>
    <s v=""/>
    <s v=""/>
    <s v=""/>
    <s v=""/>
    <s v=""/>
    <s v=""/>
    <s v=""/>
    <n v="200"/>
    <s v="EA"/>
    <n v="0.49"/>
    <s v=""/>
    <n v="98"/>
    <s v="--multiple--"/>
    <s v="703819"/>
    <d v="2025-10-09T15:10:43"/>
    <s v=""/>
    <s v=""/>
    <s v=""/>
    <s v=""/>
  </r>
  <r>
    <s v="0721-1079168"/>
    <s v="Cain Electric Supply CORP"/>
    <x v="4"/>
    <s v="Christian Stephens"/>
    <s v="John Blakeney"/>
    <s v="Electrical Materials"/>
    <s v="5051017"/>
    <s v="Upstream"/>
    <s v=""/>
    <s v="USD"/>
    <n v="690.87"/>
    <s v=""/>
    <s v="1"/>
    <s v="RAY GT66"/>
    <s v="HEAT TRACE TAPE"/>
    <s v=""/>
    <d v="2025-10-07T19:04:33"/>
    <d v="2025-10-07T08:00:00"/>
    <d v="2025-10-07T08:00:00"/>
    <s v=""/>
    <s v="ARES 27-26 171"/>
    <s v=""/>
    <s v=""/>
    <s v=""/>
    <s v=""/>
    <s v=""/>
    <s v=""/>
    <s v=""/>
    <s v=""/>
    <s v=""/>
    <s v=""/>
    <s v=""/>
    <s v=""/>
    <s v=""/>
    <s v=""/>
    <s v=""/>
    <s v=""/>
    <s v=""/>
    <s v=""/>
    <s v=""/>
    <s v=""/>
    <s v=""/>
    <s v=""/>
    <s v="Material"/>
    <s v=""/>
    <s v=""/>
    <s v=""/>
    <s v="1001464800"/>
    <s v="ARES 27-26 UNIT 2 171"/>
    <s v="Upstream"/>
    <s v="1046"/>
    <s v=""/>
    <s v=""/>
    <s v=""/>
    <s v=""/>
    <s v=""/>
    <s v=""/>
    <s v=""/>
    <n v="3"/>
    <s v="EA"/>
    <n v="17"/>
    <s v=""/>
    <n v="51"/>
    <s v="--multiple--"/>
    <s v="703819"/>
    <d v="2025-10-09T15:10:55"/>
    <s v=""/>
    <s v=""/>
    <s v=""/>
    <s v=""/>
  </r>
  <r>
    <s v="0721-1079185"/>
    <s v="Cain Electric Supply CORP"/>
    <x v="4"/>
    <s v="Christian Stephens"/>
    <s v="John Blakeney"/>
    <s v="Electrical Materials"/>
    <s v="5051017"/>
    <s v="Upstream"/>
    <s v=""/>
    <s v="USD"/>
    <n v="186.52"/>
    <s v=""/>
    <s v="1"/>
    <s v="WIRE 16/1PR-TC"/>
    <s v="1030A 16 1PR 600V TC 1000R"/>
    <s v=""/>
    <d v="2025-10-07T19:04:40"/>
    <d v="2025-10-07T08:00:00"/>
    <d v="2025-10-07T08:00:00"/>
    <s v=""/>
    <s v="ADAMS NS 43-6"/>
    <s v=""/>
    <s v=""/>
    <s v=""/>
    <s v=""/>
    <s v=""/>
    <s v=""/>
    <s v=""/>
    <s v=""/>
    <s v=""/>
    <s v=""/>
    <s v=""/>
    <s v=""/>
    <s v=""/>
    <s v=""/>
    <s v=""/>
    <s v=""/>
    <s v=""/>
    <s v=""/>
    <s v=""/>
    <s v=""/>
    <s v=""/>
    <s v=""/>
    <s v="Material"/>
    <s v=""/>
    <s v=""/>
    <s v=""/>
    <s v="8000036800"/>
    <s v="ADAMS NS 43-6 01 BATTERY"/>
    <s v="Upstream"/>
    <s v="1046"/>
    <s v=""/>
    <s v=""/>
    <s v=""/>
    <s v=""/>
    <s v=""/>
    <s v=""/>
    <s v=""/>
    <n v="30"/>
    <s v="EA"/>
    <n v="0.45"/>
    <s v=""/>
    <n v="13.5"/>
    <s v="--multiple--"/>
    <s v="703819"/>
    <d v="2025-10-09T15:11:19"/>
    <s v=""/>
    <s v=""/>
    <s v=""/>
    <s v=""/>
  </r>
  <r>
    <s v="14054"/>
    <s v="GDL Industrial Electronics"/>
    <x v="8"/>
    <s v="Christopher Mercer"/>
    <s v="Jimmy Martin"/>
    <s v="MATERIAL"/>
    <s v="5051017"/>
    <s v="Upstream"/>
    <s v=""/>
    <s v="USD"/>
    <n v="541.28"/>
    <s v="Direct Entry"/>
    <s v="1"/>
    <s v="DC568P-5BLMB"/>
    <s v="BOOT CORD/5' BLUE CAT"/>
    <s v="CORD"/>
    <d v="2025-10-04T09:24:44"/>
    <d v="2025-10-02T12:00:00"/>
    <d v="2025-10-02T12:00:00"/>
    <s v=""/>
    <s v=""/>
    <s v=""/>
    <s v=""/>
    <s v=""/>
    <s v=""/>
    <s v=""/>
    <s v=""/>
    <s v=""/>
    <s v=""/>
    <s v=""/>
    <s v=""/>
    <s v=""/>
    <s v=""/>
    <s v=""/>
    <s v=""/>
    <s v=""/>
    <s v=""/>
    <s v=""/>
    <s v=""/>
    <s v=""/>
    <s v=""/>
    <s v=""/>
    <s v=""/>
    <s v="Material"/>
    <s v=""/>
    <s v=""/>
    <s v=""/>
    <s v="9100006400"/>
    <s v="SMB-STR 9"/>
    <s v="Upstream"/>
    <s v="1046"/>
    <s v=""/>
    <s v=""/>
    <s v=""/>
    <s v=""/>
    <s v=""/>
    <s v=""/>
    <s v=""/>
    <n v="6"/>
    <s v="EA"/>
    <n v="4.08"/>
    <s v=""/>
    <n v="24.48"/>
    <s v="--multiple--"/>
    <s v="704121"/>
    <d v="2025-10-04T09:47:23"/>
    <s v=""/>
    <s v=""/>
    <s v=""/>
    <s v=""/>
  </r>
  <r>
    <s v="14055"/>
    <s v="GDL Industrial Electronics"/>
    <x v="8"/>
    <s v="Christopher Mercer"/>
    <s v="Jimmy Martin"/>
    <s v="MATERIAL"/>
    <s v="5051003"/>
    <s v="Upstream"/>
    <s v=""/>
    <s v="USD"/>
    <n v="1151.1600000000001"/>
    <s v="Direct Entry"/>
    <s v="1"/>
    <s v="HGPT6000-SSS-HC-6R01-E1"/>
    <s v="PRESS XMTR 6000psi 4-20mA+HART"/>
    <s v=""/>
    <d v="2025-10-04T09:27:53"/>
    <d v="2025-10-02T12:00:00"/>
    <d v="2025-10-02T12:00:00"/>
    <s v=""/>
    <s v=""/>
    <s v=""/>
    <s v=""/>
    <s v=""/>
    <s v=""/>
    <s v=""/>
    <s v=""/>
    <s v=""/>
    <s v=""/>
    <s v=""/>
    <s v=""/>
    <s v=""/>
    <s v=""/>
    <s v=""/>
    <s v=""/>
    <s v=""/>
    <s v=""/>
    <s v=""/>
    <s v=""/>
    <s v=""/>
    <s v=""/>
    <s v=""/>
    <s v=""/>
    <s v="Material"/>
    <s v=""/>
    <s v=""/>
    <s v=""/>
    <s v="1001643300"/>
    <s v="ELKINS-ATRELLE 31-42 114"/>
    <s v="Upstream"/>
    <s v="1046"/>
    <s v=""/>
    <s v=""/>
    <s v=""/>
    <s v=""/>
    <s v=""/>
    <s v=""/>
    <s v=""/>
    <n v="2"/>
    <s v="EA"/>
    <n v="557.28"/>
    <s v=""/>
    <n v="1114.56"/>
    <s v="--multiple--"/>
    <s v="704121"/>
    <d v="2025-10-04T09:29:14"/>
    <s v=""/>
    <s v=""/>
    <s v=""/>
    <s v=""/>
  </r>
  <r>
    <s v="202544726"/>
    <s v="AM Fabrication Inc"/>
    <x v="2"/>
    <s v="Cliffton Molina"/>
    <s v="Javier Barrera"/>
    <s v="Tested and inspected_x000a_Drain oil system replace oil flooded over_x000a_Test pump and fan and all unit settings and shut downs_x000a_test run and monitor unit. monitor and leave online in auto"/>
    <s v="5051006"/>
    <s v="Upstream"/>
    <s v="168923"/>
    <s v="USD"/>
    <n v="1083.1400000000001"/>
    <s v="Direct Entry"/>
    <s v="1"/>
    <s v="LABOR - 1"/>
    <s v="Technician Labor Hours"/>
    <s v=""/>
    <d v="2025-10-09T08:13:36"/>
    <d v="2025-10-01T10:30:00"/>
    <d v="2025-10-01T16:00:00"/>
    <s v=""/>
    <s v="SHERMAN 6 BATTERY"/>
    <s v=""/>
    <s v=""/>
    <s v=""/>
    <s v=""/>
    <s v=""/>
    <s v=""/>
    <s v=""/>
    <s v=""/>
    <s v=""/>
    <s v=""/>
    <s v=""/>
    <s v=""/>
    <s v=""/>
    <s v=""/>
    <s v=""/>
    <s v=""/>
    <s v=""/>
    <s v=""/>
    <s v=""/>
    <s v=""/>
    <s v=""/>
    <s v=""/>
    <s v="Labor"/>
    <s v=""/>
    <s v=""/>
    <s v=""/>
    <s v="8000022400"/>
    <s v="SHERMAN 6 BATTERY"/>
    <s v="Upstream"/>
    <s v="1046"/>
    <s v=""/>
    <s v=""/>
    <s v=""/>
    <s v=""/>
    <s v=""/>
    <s v=""/>
    <s v=""/>
    <n v="5.5"/>
    <s v="hour"/>
    <n v="105"/>
    <s v=""/>
    <n v="577.5"/>
    <s v="--multiple--"/>
    <s v="703623"/>
    <d v="2025-10-09T08:15:54"/>
    <s v=""/>
    <s v=""/>
    <s v=""/>
    <s v=""/>
  </r>
  <r>
    <s v="281482"/>
    <s v="Cowboy Pump &amp; Supply"/>
    <x v="4"/>
    <s v="Adriel Lujan"/>
    <s v="Elam Tavarez"/>
    <s v="PARTS DELIVERED"/>
    <s v="5051049"/>
    <s v="Upstream"/>
    <s v=""/>
    <s v="USD"/>
    <n v="1570.52"/>
    <s v="Direct Entry"/>
    <s v="1"/>
    <s v="99-IBOMATERIALS"/>
    <s v="3&quot; FIG 602 HAMMER UNION"/>
    <s v="PRODUCTION MAINTENANCE"/>
    <d v="2025-10-09T15:45:13"/>
    <d v="2025-05-14T00:00:00"/>
    <d v="2025-05-14T00:00:00"/>
    <s v=""/>
    <s v=""/>
    <s v=""/>
    <s v=""/>
    <s v=""/>
    <s v=""/>
    <s v=""/>
    <s v=""/>
    <s v=""/>
    <s v=""/>
    <s v=""/>
    <s v=""/>
    <s v=""/>
    <s v=""/>
    <s v=""/>
    <s v=""/>
    <s v=""/>
    <s v=""/>
    <s v=""/>
    <s v=""/>
    <s v=""/>
    <s v=""/>
    <s v=""/>
    <s v=""/>
    <s v="Material"/>
    <s v=""/>
    <s v=""/>
    <s v=""/>
    <s v="1000666300"/>
    <s v="MCLINTOCK 18-27 Q 17WA"/>
    <s v="Upstream"/>
    <s v="1046"/>
    <s v=""/>
    <s v=""/>
    <s v=""/>
    <s v=""/>
    <s v=""/>
    <s v=""/>
    <s v=""/>
    <n v="2"/>
    <s v="EA"/>
    <n v="142.86000000000001"/>
    <s v=""/>
    <n v="285.72000000000003"/>
    <s v="E-Maintenance"/>
    <s v="703921"/>
    <d v="2025-10-09T15:52:14"/>
    <s v=""/>
    <s v=""/>
    <s v=""/>
    <s v=""/>
  </r>
  <r>
    <s v="282817"/>
    <s v="Cowboy Pump &amp; Supply"/>
    <x v="4"/>
    <s v="Adriel Lujan"/>
    <s v="Elam Tavarez"/>
    <s v="PARTS DELIVERED"/>
    <s v="5051049"/>
    <s v="Upstream"/>
    <s v=""/>
    <s v="USD"/>
    <n v="806.64"/>
    <s v="Direct Entry"/>
    <s v="1"/>
    <s v="69-KREFB0000000"/>
    <s v="KIMRAY 2&quot; PLUG ASSEMBLY (HPCVPB 2 IV)"/>
    <s v="VALVE PARTS AND VALVES"/>
    <d v="2025-10-09T16:16:24"/>
    <d v="2025-05-19T00:00:00"/>
    <d v="2025-05-19T00:00:00"/>
    <s v=""/>
    <s v=""/>
    <s v=""/>
    <s v=""/>
    <s v=""/>
    <s v=""/>
    <s v=""/>
    <s v=""/>
    <s v=""/>
    <s v=""/>
    <s v=""/>
    <s v=""/>
    <s v=""/>
    <s v=""/>
    <s v=""/>
    <s v=""/>
    <s v=""/>
    <s v=""/>
    <s v=""/>
    <s v=""/>
    <s v=""/>
    <s v=""/>
    <s v=""/>
    <s v=""/>
    <s v="Material"/>
    <s v=""/>
    <s v=""/>
    <s v=""/>
    <s v="1000361000"/>
    <s v="POE B 11BU"/>
    <s v="Upstream"/>
    <s v="1046"/>
    <s v=""/>
    <s v=""/>
    <s v=""/>
    <s v=""/>
    <s v=""/>
    <s v=""/>
    <s v=""/>
    <n v="1"/>
    <s v="EA"/>
    <n v="806.64"/>
    <s v=""/>
    <n v="806.64"/>
    <s v="E-Maintenance"/>
    <s v="703921"/>
    <d v="2025-10-09T16:17:18"/>
    <s v=""/>
    <s v=""/>
    <s v=""/>
    <s v=""/>
  </r>
  <r>
    <s v="282818"/>
    <s v="Cowboy Pump &amp; Supply"/>
    <x v="4"/>
    <s v="Adriel Lujan"/>
    <s v="Elam Tavarez"/>
    <s v="PARTS DELIVERED"/>
    <s v="5051049"/>
    <s v="Upstream"/>
    <s v=""/>
    <s v="USD"/>
    <n v="806.64"/>
    <s v="Direct Entry"/>
    <s v="1"/>
    <s v="69-KREFB0000000"/>
    <s v="KIMRAY 2&quot; PLUG ASSEMBLY (HPCVPB 2 IV)"/>
    <s v="VALVE PARTS AND VALVES"/>
    <d v="2025-10-09T16:18:13"/>
    <d v="2025-05-19T00:00:00"/>
    <d v="2025-05-19T00:00:00"/>
    <s v=""/>
    <s v=""/>
    <s v=""/>
    <s v=""/>
    <s v=""/>
    <s v=""/>
    <s v=""/>
    <s v=""/>
    <s v=""/>
    <s v=""/>
    <s v=""/>
    <s v=""/>
    <s v=""/>
    <s v=""/>
    <s v=""/>
    <s v=""/>
    <s v=""/>
    <s v=""/>
    <s v=""/>
    <s v=""/>
    <s v=""/>
    <s v=""/>
    <s v=""/>
    <s v=""/>
    <s v="Material"/>
    <s v=""/>
    <s v=""/>
    <s v=""/>
    <s v="1000361200"/>
    <s v="POE C 12WA"/>
    <s v="Upstream"/>
    <s v="1046"/>
    <s v=""/>
    <s v=""/>
    <s v=""/>
    <s v=""/>
    <s v=""/>
    <s v=""/>
    <s v=""/>
    <n v="1"/>
    <s v="EA"/>
    <n v="806.64"/>
    <s v=""/>
    <n v="806.64"/>
    <s v="E-Maintenance"/>
    <s v="703921"/>
    <d v="2025-10-09T16:19:16"/>
    <s v=""/>
    <s v=""/>
    <s v=""/>
    <s v=""/>
  </r>
  <r>
    <s v="282824"/>
    <s v="Cowboy Pump &amp; Supply"/>
    <x v="4"/>
    <s v="Adriel Lujan"/>
    <s v="Elam Tavarez"/>
    <s v="PARTS DELIVERED"/>
    <s v="5051049"/>
    <s v="Upstream"/>
    <s v=""/>
    <s v="USD"/>
    <n v="806.64"/>
    <s v="Direct Entry"/>
    <s v="1"/>
    <s v="69-KREFB0000000"/>
    <s v="KIMRAY 2&quot; PLUG ASSEMBLY (HPCVPB 2 IV)"/>
    <s v="VALVE PARTS AND VALVES"/>
    <d v="2025-10-09T16:20:54"/>
    <d v="2025-05-19T00:00:00"/>
    <d v="2025-05-19T00:00:00"/>
    <s v=""/>
    <s v=""/>
    <s v=""/>
    <s v=""/>
    <s v=""/>
    <s v=""/>
    <s v=""/>
    <s v=""/>
    <s v=""/>
    <s v=""/>
    <s v=""/>
    <s v=""/>
    <s v=""/>
    <s v=""/>
    <s v=""/>
    <s v=""/>
    <s v=""/>
    <s v=""/>
    <s v=""/>
    <s v=""/>
    <s v=""/>
    <s v=""/>
    <s v=""/>
    <s v=""/>
    <s v="Material"/>
    <s v=""/>
    <s v=""/>
    <s v=""/>
    <s v="1000361100"/>
    <s v="POE B 12SA"/>
    <s v="Upstream"/>
    <s v="1046"/>
    <s v=""/>
    <s v=""/>
    <s v=""/>
    <s v=""/>
    <s v=""/>
    <s v=""/>
    <s v=""/>
    <n v="1"/>
    <s v="EA"/>
    <n v="806.64"/>
    <s v=""/>
    <n v="806.64"/>
    <s v="E-Maintenance"/>
    <s v="703921"/>
    <d v="2025-10-09T16:22:14"/>
    <s v=""/>
    <s v=""/>
    <s v=""/>
    <s v=""/>
  </r>
  <r>
    <s v="282998"/>
    <s v="Cowboy Pump &amp; Supply"/>
    <x v="4"/>
    <s v="Adriel Lujan"/>
    <s v="Elam Tavarez"/>
    <s v="PARTS DELIVERED"/>
    <s v="5051049"/>
    <s v="Upstream"/>
    <s v=""/>
    <s v="USD"/>
    <n v="167.15"/>
    <s v="Direct Entry"/>
    <s v="1"/>
    <s v="20-ERC3X0600000"/>
    <s v="3&quot; X 6&quot; FIG. 91 SKINNER PIPE REPAIR  !!!"/>
    <s v="PRODUCTION MAINTENANCE"/>
    <d v="2025-10-09T16:26:56"/>
    <d v="2025-05-19T00:00:00"/>
    <d v="2025-05-19T00:00:00"/>
    <s v=""/>
    <s v=""/>
    <s v=""/>
    <s v=""/>
    <s v=""/>
    <s v=""/>
    <s v=""/>
    <s v=""/>
    <s v=""/>
    <s v=""/>
    <s v=""/>
    <s v=""/>
    <s v=""/>
    <s v=""/>
    <s v=""/>
    <s v=""/>
    <s v=""/>
    <s v=""/>
    <s v=""/>
    <s v=""/>
    <s v=""/>
    <s v=""/>
    <s v=""/>
    <s v=""/>
    <s v="Material"/>
    <s v=""/>
    <s v=""/>
    <s v=""/>
    <s v="9100015200"/>
    <s v="FRM RTE-TAVAREZ ELAM"/>
    <s v="Upstream"/>
    <s v="1046"/>
    <s v=""/>
    <s v=""/>
    <s v=""/>
    <s v=""/>
    <s v=""/>
    <s v=""/>
    <s v=""/>
    <n v="5"/>
    <s v="EA"/>
    <n v="33.43"/>
    <s v=""/>
    <n v="167.15"/>
    <s v="E-Maintenance"/>
    <s v="703921"/>
    <d v="2025-10-09T16:28:22"/>
    <s v=""/>
    <s v=""/>
    <s v=""/>
    <s v=""/>
  </r>
  <r>
    <s v="282221"/>
    <s v="Cowboy Pump &amp; Supply"/>
    <x v="4"/>
    <s v="Adriel Lujan"/>
    <s v="Elam Tavarez"/>
    <s v="PARTS DELIVERED"/>
    <s v="5051049"/>
    <s v="Upstream"/>
    <s v=""/>
    <s v="USD"/>
    <n v="1745.02"/>
    <s v="Direct Entry"/>
    <s v="1"/>
    <s v="99-IBOMATERIALS"/>
    <s v="3&quot; FIG 602 HAMMER UNION"/>
    <s v="PRODUCTION MAINTENANCE"/>
    <d v="2025-10-09T14:22:15"/>
    <d v="2025-05-20T00:00:00"/>
    <d v="2025-05-20T00:00:00"/>
    <s v=""/>
    <s v=""/>
    <s v=""/>
    <s v=""/>
    <s v=""/>
    <s v=""/>
    <s v=""/>
    <s v=""/>
    <s v=""/>
    <s v=""/>
    <s v=""/>
    <s v=""/>
    <s v=""/>
    <s v=""/>
    <s v=""/>
    <s v=""/>
    <s v=""/>
    <s v=""/>
    <s v=""/>
    <s v=""/>
    <s v=""/>
    <s v=""/>
    <s v=""/>
    <s v=""/>
    <s v="Material"/>
    <s v=""/>
    <s v=""/>
    <s v=""/>
    <s v="1000736500"/>
    <s v="MCLINTOCK 15-27 L 12WA"/>
    <s v="Upstream"/>
    <s v="1046"/>
    <s v=""/>
    <s v=""/>
    <s v=""/>
    <s v=""/>
    <s v=""/>
    <s v=""/>
    <s v=""/>
    <n v="2"/>
    <s v="EA"/>
    <n v="160"/>
    <s v=""/>
    <n v="320"/>
    <s v="E-Maintenance"/>
    <s v="703921"/>
    <d v="2025-10-09T14:26:49"/>
    <s v=""/>
    <s v=""/>
    <s v=""/>
    <s v=""/>
  </r>
  <r>
    <s v="282450"/>
    <s v="Cowboy Pump &amp; Supply"/>
    <x v="4"/>
    <s v="Adriel Lujan"/>
    <s v="Elam Tavarez"/>
    <s v="PARTS DELIVERED"/>
    <s v="5051049"/>
    <s v="Upstream"/>
    <s v=""/>
    <s v="USD"/>
    <n v="185.7"/>
    <s v="Direct Entry"/>
    <s v="1"/>
    <s v="99-IBOMATERIALS"/>
    <s v="KEYPAD 26D COMMERCIAL"/>
    <s v="PRODUCTION MAINTENANCE"/>
    <d v="2025-10-09T16:00:16"/>
    <d v="2025-05-20T00:00:00"/>
    <d v="2025-05-20T00:00:00"/>
    <s v=""/>
    <s v=""/>
    <s v=""/>
    <s v=""/>
    <s v=""/>
    <s v=""/>
    <s v=""/>
    <s v=""/>
    <s v=""/>
    <s v=""/>
    <s v=""/>
    <s v=""/>
    <s v=""/>
    <s v=""/>
    <s v=""/>
    <s v=""/>
    <s v=""/>
    <s v=""/>
    <s v=""/>
    <s v=""/>
    <s v=""/>
    <s v=""/>
    <s v=""/>
    <s v=""/>
    <s v="Material"/>
    <s v=""/>
    <s v=""/>
    <s v=""/>
    <s v="9100015200"/>
    <s v="FRM RTE-TAVAREZ ELAM"/>
    <s v="Upstream"/>
    <s v="1046"/>
    <s v=""/>
    <s v=""/>
    <s v=""/>
    <s v=""/>
    <s v=""/>
    <s v=""/>
    <s v=""/>
    <n v="1"/>
    <s v="EA"/>
    <n v="185.7"/>
    <s v=""/>
    <n v="185.7"/>
    <s v="E-Maintenance"/>
    <s v="703921"/>
    <d v="2025-10-09T16:02:43"/>
    <s v=""/>
    <s v=""/>
    <s v=""/>
    <s v=""/>
  </r>
  <r>
    <s v="282846"/>
    <s v="Cowboy Pump &amp; Supply"/>
    <x v="4"/>
    <s v="Adriel Lujan"/>
    <s v="Elam Tavarez"/>
    <s v="PARTS DELIVERED"/>
    <s v="5051049"/>
    <s v="Upstream"/>
    <s v=""/>
    <s v="USD"/>
    <n v="360.2"/>
    <s v="Direct Entry"/>
    <s v="1"/>
    <s v="23-SS14XCLXHNIP"/>
    <s v="1/4&quot; X CLOSE SCH80 SS NIPPLE"/>
    <s v="GROOVED OR THD NIP"/>
    <d v="2025-10-09T16:59:44"/>
    <d v="2025-05-20T00:00:00"/>
    <d v="2025-05-20T00:00:00"/>
    <s v=""/>
    <s v=""/>
    <s v=""/>
    <s v=""/>
    <s v=""/>
    <s v=""/>
    <s v=""/>
    <s v=""/>
    <s v=""/>
    <s v=""/>
    <s v=""/>
    <s v=""/>
    <s v=""/>
    <s v=""/>
    <s v=""/>
    <s v=""/>
    <s v=""/>
    <s v=""/>
    <s v=""/>
    <s v=""/>
    <s v=""/>
    <s v=""/>
    <s v=""/>
    <s v=""/>
    <s v="Material"/>
    <s v=""/>
    <s v=""/>
    <s v=""/>
    <s v="8000132000"/>
    <s v="DSU 4 EAST"/>
    <s v="Upstream"/>
    <s v="1046"/>
    <s v=""/>
    <s v=""/>
    <s v=""/>
    <s v=""/>
    <s v=""/>
    <s v=""/>
    <s v=""/>
    <n v="10"/>
    <s v="EA"/>
    <n v="1.56"/>
    <s v=""/>
    <n v="15.6"/>
    <s v="E-Maintenance"/>
    <s v="703921"/>
    <d v="2025-10-09T17:01:53"/>
    <s v=""/>
    <s v=""/>
    <s v=""/>
    <s v=""/>
  </r>
  <r>
    <s v="282984"/>
    <s v="Cowboy Pump &amp; Supply"/>
    <x v="4"/>
    <s v="Adriel Lujan"/>
    <s v="Elam Tavarez"/>
    <s v="PARTS DELIVERED"/>
    <s v="5051049"/>
    <s v="Upstream"/>
    <s v=""/>
    <s v="USD"/>
    <n v="321.24"/>
    <s v="Direct Entry"/>
    <s v="1"/>
    <s v="15-XXXXXXXXXXXX"/>
    <s v="NITROGEN HOSE 25' W 1/4&quot; MP ENDS"/>
    <s v="CREDIT CARD PURCHASE"/>
    <d v="2025-10-09T16:23:10"/>
    <d v="2025-05-22T00:00:00"/>
    <d v="2025-05-22T00:00:00"/>
    <s v=""/>
    <s v=""/>
    <s v=""/>
    <s v=""/>
    <s v=""/>
    <s v=""/>
    <s v=""/>
    <s v=""/>
    <s v=""/>
    <s v=""/>
    <s v=""/>
    <s v=""/>
    <s v=""/>
    <s v=""/>
    <s v=""/>
    <s v=""/>
    <s v=""/>
    <s v=""/>
    <s v=""/>
    <s v=""/>
    <s v=""/>
    <s v=""/>
    <s v=""/>
    <s v=""/>
    <s v="Material"/>
    <s v=""/>
    <s v=""/>
    <s v=""/>
    <s v="9100015200"/>
    <s v="FRM RTE-TAVAREZ ELAM"/>
    <s v="Upstream"/>
    <s v="1046"/>
    <s v=""/>
    <s v=""/>
    <s v=""/>
    <s v=""/>
    <s v=""/>
    <s v=""/>
    <s v=""/>
    <n v="1"/>
    <s v="EA"/>
    <n v="300.5"/>
    <s v=""/>
    <n v="300.5"/>
    <s v="E-Maintenance"/>
    <s v="703921"/>
    <d v="2025-10-09T16:26:20"/>
    <s v=""/>
    <s v=""/>
    <s v=""/>
    <s v=""/>
  </r>
  <r>
    <s v="300707"/>
    <s v="Cowboy Pump &amp; Supply"/>
    <x v="4"/>
    <s v="Adriel Lujan"/>
    <s v="Elam Tavarez"/>
    <s v="PARTS DELIVERED"/>
    <s v="5051049"/>
    <s v="Upstream"/>
    <s v=""/>
    <s v="USD"/>
    <n v="1511.04"/>
    <s v="Direct Entry"/>
    <s v="1"/>
    <s v="99-IBOMATERIALS"/>
    <s v="PLUG ASSY 2LPHV FULLPORT D2"/>
    <s v="PRODUCTION MAINTENANCE"/>
    <d v="2025-10-09T11:13:45"/>
    <d v="2025-09-09T00:00:00"/>
    <d v="2025-09-09T00:00:00"/>
    <s v=""/>
    <s v=""/>
    <s v=""/>
    <s v=""/>
    <s v=""/>
    <s v=""/>
    <s v=""/>
    <s v=""/>
    <s v=""/>
    <s v=""/>
    <s v=""/>
    <s v=""/>
    <s v=""/>
    <s v=""/>
    <s v=""/>
    <s v=""/>
    <s v=""/>
    <s v=""/>
    <s v=""/>
    <s v=""/>
    <s v=""/>
    <s v=""/>
    <s v=""/>
    <s v=""/>
    <s v="Material"/>
    <s v=""/>
    <s v=""/>
    <s v=""/>
    <s v="8300189400"/>
    <s v="MATTINGLEY 14-26 BATTERY"/>
    <s v="Upstream"/>
    <s v="1046"/>
    <s v=""/>
    <s v=""/>
    <s v=""/>
    <s v=""/>
    <s v=""/>
    <s v=""/>
    <s v=""/>
    <n v="2"/>
    <s v="EA"/>
    <n v="755.52"/>
    <s v=""/>
    <n v="1511.04"/>
    <s v="E-Maintenance"/>
    <s v="703921"/>
    <d v="2025-10-09T11:18:27"/>
    <s v=""/>
    <s v=""/>
    <s v=""/>
    <s v=""/>
  </r>
  <r>
    <s v="300700"/>
    <s v="Cowboy Pump &amp; Supply"/>
    <x v="4"/>
    <s v="Adriel Lujan"/>
    <s v="Elam Tavarez"/>
    <s v="PARTS DELIVERED"/>
    <s v="5051049"/>
    <s v="Upstream"/>
    <s v=""/>
    <s v="USD"/>
    <n v="402.5"/>
    <s v="Direct Entry"/>
    <s v="1"/>
    <s v="99-IBOMATERIALS"/>
    <s v="RVR"/>
    <s v="PRODUCTION MAINTENANCE"/>
    <d v="2025-10-10T16:20:22"/>
    <d v="2025-09-09T00:00:00"/>
    <d v="2025-09-09T00:00:00"/>
    <s v=""/>
    <s v=""/>
    <s v=""/>
    <s v=""/>
    <s v=""/>
    <s v=""/>
    <s v=""/>
    <s v=""/>
    <s v=""/>
    <s v=""/>
    <s v=""/>
    <s v=""/>
    <s v=""/>
    <s v=""/>
    <s v=""/>
    <s v=""/>
    <s v=""/>
    <s v=""/>
    <s v=""/>
    <s v=""/>
    <s v=""/>
    <s v=""/>
    <s v=""/>
    <s v=""/>
    <s v="Material"/>
    <s v=""/>
    <s v=""/>
    <s v=""/>
    <s v="1000359900"/>
    <s v="PEELER C 14WA"/>
    <s v="Upstream"/>
    <s v="1046"/>
    <s v=""/>
    <s v=""/>
    <s v=""/>
    <s v=""/>
    <s v=""/>
    <s v=""/>
    <s v=""/>
    <n v="2"/>
    <s v="EA"/>
    <n v="201.25"/>
    <s v=""/>
    <n v="402.5"/>
    <s v="E-Maintenance"/>
    <s v="703921"/>
    <d v="2025-10-10T16:30:57"/>
    <s v=""/>
    <s v=""/>
    <s v=""/>
    <s v=""/>
  </r>
  <r>
    <s v="301716"/>
    <s v="Cowboy Pump &amp; Supply"/>
    <x v="6"/>
    <s v="Adriel Lujan"/>
    <s v="Elam Tavarez"/>
    <s v="PARTS DELIVERED"/>
    <s v="5051049"/>
    <s v="Upstream"/>
    <s v=""/>
    <s v="USD"/>
    <n v="864.26"/>
    <s v="Direct Entry"/>
    <s v="1"/>
    <s v="69-KREFB0000000"/>
    <s v="KIMRAY 2&quot; PLUG ASSEMBLY (HPCVPB 2 IV)"/>
    <s v="VALVE PARTS AND VALVES"/>
    <d v="2025-10-13T12:43:35"/>
    <d v="2025-09-15T00:00:00"/>
    <d v="2025-09-15T00:00:00"/>
    <s v=""/>
    <s v=""/>
    <s v=""/>
    <s v=""/>
    <s v=""/>
    <s v=""/>
    <s v=""/>
    <s v=""/>
    <s v=""/>
    <s v=""/>
    <s v=""/>
    <s v=""/>
    <s v=""/>
    <s v=""/>
    <s v=""/>
    <s v=""/>
    <s v=""/>
    <s v=""/>
    <s v=""/>
    <s v=""/>
    <s v=""/>
    <s v=""/>
    <s v=""/>
    <s v=""/>
    <s v="Material"/>
    <s v=""/>
    <s v=""/>
    <s v=""/>
    <s v="1000357300"/>
    <s v="MARIE B 12WA"/>
    <s v="Upstream"/>
    <s v="1046"/>
    <s v=""/>
    <s v=""/>
    <s v=""/>
    <s v=""/>
    <s v=""/>
    <s v=""/>
    <s v=""/>
    <n v="1"/>
    <s v="EA"/>
    <n v="864.26"/>
    <s v=""/>
    <n v="864.26"/>
    <s v="E-Maintenance"/>
    <s v="703921"/>
    <d v="2025-10-13T12:46:12"/>
    <s v=""/>
    <s v=""/>
    <s v=""/>
    <s v=""/>
  </r>
  <r>
    <s v="301712"/>
    <s v="Cowboy Pump &amp; Supply"/>
    <x v="6"/>
    <s v="Adriel Lujan"/>
    <s v="Elam Tavarez"/>
    <s v="PARTS DELIVERED"/>
    <s v="5051049"/>
    <s v="Upstream"/>
    <s v=""/>
    <s v="USD"/>
    <n v="2592.7800000000002"/>
    <s v="Direct Entry"/>
    <s v="1"/>
    <s v="69-KREFB0000000"/>
    <s v="KIMRAY 2&quot; PLUG ASSEMBLY (HPCVPB 2 IV)"/>
    <s v="VALVE PARTS AND VALVES"/>
    <d v="2025-10-13T12:52:49"/>
    <d v="2025-09-15T00:00:00"/>
    <d v="2025-09-15T00:00:00"/>
    <s v=""/>
    <s v=""/>
    <s v=""/>
    <s v=""/>
    <s v=""/>
    <s v=""/>
    <s v=""/>
    <s v=""/>
    <s v=""/>
    <s v=""/>
    <s v=""/>
    <s v=""/>
    <s v=""/>
    <s v=""/>
    <s v=""/>
    <s v=""/>
    <s v=""/>
    <s v=""/>
    <s v=""/>
    <s v=""/>
    <s v=""/>
    <s v=""/>
    <s v=""/>
    <s v=""/>
    <s v="Material"/>
    <s v=""/>
    <s v=""/>
    <s v=""/>
    <s v="9100015200"/>
    <s v="FRM RTE-TAVAREZ ELAM"/>
    <s v="Upstream"/>
    <s v="1046"/>
    <s v=""/>
    <s v=""/>
    <s v=""/>
    <s v=""/>
    <s v=""/>
    <s v=""/>
    <s v=""/>
    <n v="3"/>
    <s v="EA"/>
    <n v="864.26"/>
    <s v=""/>
    <n v="2592.7800000000002"/>
    <s v="E-Maintenance"/>
    <s v="703921"/>
    <d v="2025-10-13T12:57:11"/>
    <s v=""/>
    <s v=""/>
    <s v=""/>
    <s v=""/>
  </r>
  <r>
    <s v="52640"/>
    <s v="Redhead Services LLC"/>
    <x v="3"/>
    <s v="Cody Casey"/>
    <s v="Ruben Alonso"/>
    <s v="Call Out"/>
    <s v="5051006"/>
    <s v="Upstream"/>
    <s v="170596"/>
    <s v="USD"/>
    <n v="8901.8700000000008"/>
    <s v="B2B"/>
    <s v="1"/>
    <s v="Labor"/>
    <s v="Cody asked me to replace the leaking cooler_x000a_I replaced the cooler and refilled with oil._x000a_Left in auto"/>
    <s v=""/>
    <d v="2025-10-13T11:39:41"/>
    <d v="2025-10-09T09:15:00"/>
    <d v="2025-10-09T16:30:00"/>
    <s v=""/>
    <s v="Butch Cassidy"/>
    <s v=""/>
    <s v=""/>
    <s v=""/>
    <s v=""/>
    <s v=""/>
    <s v=""/>
    <s v=""/>
    <s v=""/>
    <s v=""/>
    <s v=""/>
    <s v=""/>
    <s v=""/>
    <s v=""/>
    <s v=""/>
    <s v=""/>
    <s v=""/>
    <s v=""/>
    <s v=""/>
    <s v=""/>
    <s v=""/>
    <s v=""/>
    <s v=""/>
    <s v="Labor"/>
    <s v=""/>
    <s v=""/>
    <s v=""/>
    <s v="8300172900"/>
    <s v="BUTCH CASSIDY 43-7 1  BATTERY"/>
    <s v="Upstream"/>
    <s v="1046"/>
    <s v=""/>
    <s v=""/>
    <s v=""/>
    <s v=""/>
    <s v=""/>
    <s v=""/>
    <s v="Other"/>
    <n v="7.25"/>
    <s v="hour"/>
    <n v="110"/>
    <s v=""/>
    <n v="797.5"/>
    <s v="--multiple--"/>
    <s v="709146"/>
    <d v="2025-10-13T11:43:22"/>
    <s v=""/>
    <s v=""/>
    <s v=""/>
    <s v=""/>
  </r>
  <r>
    <s v="170462"/>
    <s v="Mulholland Energy Services"/>
    <x v="7"/>
    <s v="Cody Palk"/>
    <s v="Billy Brookshire"/>
    <s v="X1 HYDRO LOAED TO SPPOT A LEAK FOR REPAIRS_x000a_DUMP ONSITE"/>
    <s v="5051023"/>
    <s v="Upstream"/>
    <s v="152280"/>
    <s v="USD"/>
    <n v="2238.75"/>
    <s v="B2B"/>
    <s v="1"/>
    <s v="FRESHWATER FEE-HYDRO"/>
    <s v="FRESHWATER FEE - HYDRO"/>
    <s v=""/>
    <d v="2025-09-09T13:40:53"/>
    <d v="2025-08-29T07:00:00"/>
    <d v="2025-08-29T14:15:00"/>
    <s v=""/>
    <s v=""/>
    <s v=""/>
    <s v=""/>
    <s v=""/>
    <s v=""/>
    <s v=""/>
    <s v=""/>
    <s v=""/>
    <s v=""/>
    <s v=""/>
    <s v=""/>
    <s v=""/>
    <s v=""/>
    <s v=""/>
    <s v=""/>
    <s v=""/>
    <s v=""/>
    <s v=""/>
    <s v=""/>
    <s v=""/>
    <s v=""/>
    <s v=""/>
    <s v=""/>
    <s v="Material"/>
    <s v=""/>
    <s v=""/>
    <s v=""/>
    <s v="8000309100"/>
    <s v="DOOLITTLE BATTERY"/>
    <s v="Upstream"/>
    <s v="1046"/>
    <s v=""/>
    <s v=""/>
    <s v=""/>
    <s v=""/>
    <s v=""/>
    <s v=""/>
    <s v="Other"/>
    <n v="2"/>
    <s v="EA"/>
    <n v="50"/>
    <s v=""/>
    <n v="100"/>
    <s v="--multiple--"/>
    <s v="708611"/>
    <d v="2025-09-30T14:26:29"/>
    <s v=""/>
    <s v=""/>
    <s v="Ticket Reference Error | Ticket Reference Error"/>
    <s v=""/>
  </r>
  <r>
    <s v="F06324"/>
    <s v="Warrior Technologies, LLC"/>
    <x v="6"/>
    <s v="Cody Palk"/>
    <s v="Billy Brookshire"/>
    <s v="ROUSTABOUT WORK - DROVE TO LOCATION, CLEANED VRU'S ON THE LOCATION WITH PRESSURE WASHER."/>
    <s v="5051006"/>
    <s v="Upstream"/>
    <s v="162315"/>
    <s v="USD"/>
    <n v="725"/>
    <s v="B2B"/>
    <s v="1"/>
    <s v="1400000"/>
    <s v="Roustabout Service Crew w/ Truck - 3 Man Crew"/>
    <s v=""/>
    <d v="2025-10-05T17:23:09"/>
    <d v="2025-09-26T06:00:00"/>
    <d v="2025-09-26T09:00:00"/>
    <s v=""/>
    <s v="ROBERTSON RANCH EAST TB"/>
    <s v=""/>
    <s v=""/>
    <s v=""/>
    <s v=""/>
    <s v=""/>
    <s v=""/>
    <s v=""/>
    <s v=""/>
    <s v=""/>
    <s v=""/>
    <s v=""/>
    <s v=""/>
    <s v=""/>
    <s v=""/>
    <s v=""/>
    <s v=""/>
    <s v=""/>
    <s v=""/>
    <s v=""/>
    <s v=""/>
    <s v=""/>
    <s v=""/>
    <s v="Labor"/>
    <s v=""/>
    <s v=""/>
    <s v=""/>
    <s v="8300018000"/>
    <s v="ROBERTSON RANCH EAST BATTERY"/>
    <s v="Upstream"/>
    <s v="1046"/>
    <s v=""/>
    <s v=""/>
    <s v=""/>
    <s v=""/>
    <s v=""/>
    <s v=""/>
    <s v=""/>
    <n v="3"/>
    <s v="HR"/>
    <n v="135"/>
    <s v=""/>
    <n v="405"/>
    <s v="Pricebook"/>
    <s v="712996"/>
    <d v="2025-10-09T09:49:00"/>
    <s v=""/>
    <s v=""/>
    <s v=""/>
    <s v=""/>
  </r>
  <r>
    <s v="52477"/>
    <s v="Redhead Services LLC"/>
    <x v="1"/>
    <s v="Cody Palk"/>
    <s v="Billy Brookshire"/>
    <s v="Call Out"/>
    <s v="5051006"/>
    <s v="Upstream"/>
    <s v="169959"/>
    <s v="USD"/>
    <n v="452.5"/>
    <s v="B2B"/>
    <s v="1"/>
    <s v="Labor"/>
    <s v="Added oil"/>
    <s v=""/>
    <d v="2025-10-07T13:28:03"/>
    <d v="2025-10-06T12:30:00"/>
    <d v="2025-10-06T13:00:00"/>
    <s v=""/>
    <s v="Robertson Ranch 3 Battery"/>
    <s v=""/>
    <s v=""/>
    <s v=""/>
    <s v=""/>
    <s v=""/>
    <s v=""/>
    <s v=""/>
    <s v=""/>
    <s v=""/>
    <s v=""/>
    <s v=""/>
    <s v=""/>
    <s v=""/>
    <s v=""/>
    <s v=""/>
    <s v=""/>
    <s v=""/>
    <s v=""/>
    <s v=""/>
    <s v=""/>
    <s v=""/>
    <s v=""/>
    <s v="Labor"/>
    <s v=""/>
    <s v=""/>
    <s v=""/>
    <s v="8000312500"/>
    <s v="ROBERTSON RANCH 3 BATTERY"/>
    <s v="Upstream"/>
    <s v="1046"/>
    <s v=""/>
    <s v=""/>
    <s v=""/>
    <s v=""/>
    <s v=""/>
    <s v=""/>
    <s v="Other"/>
    <n v="0.5"/>
    <s v="hour"/>
    <n v="110"/>
    <s v=""/>
    <n v="55"/>
    <s v="--multiple--"/>
    <s v="709146"/>
    <d v="2025-10-07T13:31:04"/>
    <s v=""/>
    <s v=""/>
    <s v=""/>
    <s v=""/>
  </r>
  <r>
    <s v="52648"/>
    <s v="Redhead Services LLC"/>
    <x v="3"/>
    <s v="Cody Palk"/>
    <s v="Ruben Alonso"/>
    <s v="Call Out"/>
    <s v="5051006"/>
    <s v="Upstream"/>
    <s v="170596"/>
    <s v="USD"/>
    <n v="3353.84"/>
    <s v="B2B"/>
    <s v="1"/>
    <s v="Labor"/>
    <s v="Drove to location and found unit down on high temp. I found unit out of oil and found several leaks. I replaced the separator filters and refilled with new oil. I had to go to the shop to get a new sight glass when I arrived back on location I replaced the sight glass because it was leaking. The other leak is the cooler. Bobby will be back out here tomorrow to replace the cooler"/>
    <s v=""/>
    <d v="2025-10-13T11:39:43"/>
    <d v="2025-10-08T12:15:00"/>
    <d v="2025-10-08T19:15:00"/>
    <s v=""/>
    <s v="Butch Cassidy"/>
    <s v=""/>
    <s v=""/>
    <s v=""/>
    <s v=""/>
    <s v=""/>
    <s v=""/>
    <s v=""/>
    <s v=""/>
    <s v=""/>
    <s v=""/>
    <s v=""/>
    <s v=""/>
    <s v=""/>
    <s v=""/>
    <s v=""/>
    <s v=""/>
    <s v=""/>
    <s v=""/>
    <s v=""/>
    <s v=""/>
    <s v=""/>
    <s v=""/>
    <s v="Labor"/>
    <s v=""/>
    <s v=""/>
    <s v=""/>
    <s v="8300172900"/>
    <s v="BUTCH CASSIDY 43-7 1  BATTERY"/>
    <s v="Upstream"/>
    <s v="1046"/>
    <s v=""/>
    <s v=""/>
    <s v=""/>
    <s v=""/>
    <s v=""/>
    <s v=""/>
    <s v="Other"/>
    <n v="7"/>
    <s v="hour"/>
    <n v="110"/>
    <s v=""/>
    <n v="770"/>
    <s v="--multiple--"/>
    <s v="709146"/>
    <d v="2025-10-13T11:44:34"/>
    <s v=""/>
    <s v=""/>
    <s v=""/>
    <s v=""/>
  </r>
  <r>
    <s v="52638"/>
    <s v="Redhead Services LLC"/>
    <x v="3"/>
    <s v="Cody Palk"/>
    <s v="Ruben Alonso"/>
    <s v="Call Out"/>
    <s v="5051006"/>
    <s v="Upstream"/>
    <s v="170596"/>
    <s v="USD"/>
    <n v="407"/>
    <s v="B2B"/>
    <s v="1"/>
    <s v="Labor"/>
    <s v="Swapped cooler on unit."/>
    <s v=""/>
    <d v="2025-10-13T11:39:40"/>
    <d v="2025-10-09T09:45:00"/>
    <d v="2025-10-09T12:30:00"/>
    <s v=""/>
    <s v="Butch Cassidy"/>
    <s v=""/>
    <s v=""/>
    <s v=""/>
    <s v=""/>
    <s v=""/>
    <s v=""/>
    <s v=""/>
    <s v=""/>
    <s v=""/>
    <s v=""/>
    <s v=""/>
    <s v=""/>
    <s v=""/>
    <s v=""/>
    <s v=""/>
    <s v=""/>
    <s v=""/>
    <s v=""/>
    <s v=""/>
    <s v=""/>
    <s v=""/>
    <s v=""/>
    <s v="Labor"/>
    <s v=""/>
    <s v=""/>
    <s v=""/>
    <s v="8300172900"/>
    <s v="BUTCH CASSIDY 43-7 1  BATTERY"/>
    <s v="Upstream"/>
    <s v="1046"/>
    <s v=""/>
    <s v=""/>
    <s v=""/>
    <s v=""/>
    <s v=""/>
    <s v=""/>
    <s v="Other"/>
    <n v="2.75"/>
    <s v="hour"/>
    <n v="110"/>
    <s v=""/>
    <n v="302.5"/>
    <s v="--multiple--"/>
    <s v="709146"/>
    <d v="2025-10-13T11:42:00"/>
    <s v=""/>
    <s v=""/>
    <s v=""/>
    <s v=""/>
  </r>
  <r>
    <s v="51119871"/>
    <s v="Lufkin US Acquisition Company LLC"/>
    <x v="3"/>
    <s v="Edward Ysaguirre"/>
    <s v="Elam Tavarez"/>
    <s v="LCD LWM"/>
    <s v="5051035"/>
    <s v="Upstream"/>
    <s v=""/>
    <s v="USD"/>
    <n v="275"/>
    <s v="Direct Entry"/>
    <s v="3"/>
    <s v="530.5010"/>
    <s v="LCD LWM"/>
    <s v="530.5010"/>
    <d v="2025-10-01T13:51:12"/>
    <d v="2025-09-30T00:00:00"/>
    <d v="2025-09-30T00:00:00"/>
    <s v=""/>
    <s v="HECKER #4"/>
    <s v=""/>
    <s v=""/>
    <s v=""/>
    <s v=""/>
    <s v=""/>
    <s v=""/>
    <s v=""/>
    <s v=""/>
    <s v=""/>
    <s v=""/>
    <s v=""/>
    <s v=""/>
    <s v=""/>
    <s v=""/>
    <s v=""/>
    <s v=""/>
    <s v=""/>
    <s v=""/>
    <s v=""/>
    <s v=""/>
    <s v=""/>
    <s v=""/>
    <s v="Material"/>
    <s v=""/>
    <s v=""/>
    <s v=""/>
    <s v="1000094700"/>
    <s v="HECKER 4"/>
    <s v="Upstream"/>
    <s v="1046"/>
    <s v=""/>
    <s v=""/>
    <s v=""/>
    <s v=""/>
    <s v=""/>
    <s v=""/>
    <s v=""/>
    <n v="1"/>
    <s v="EA"/>
    <n v="275"/>
    <s v=""/>
    <n v="275"/>
    <s v="--multiple--"/>
    <s v="706723"/>
    <d v="2025-10-01T13:51:46"/>
    <s v=""/>
    <s v=""/>
    <s v=""/>
    <s v=""/>
  </r>
  <r>
    <s v="51119872"/>
    <s v="Lufkin US Acquisition Company LLC"/>
    <x v="3"/>
    <s v="Edward Ysaguirre"/>
    <s v="Elam Tavarez"/>
    <s v="Load Cable Coiled 100'"/>
    <s v="5051035"/>
    <s v="Upstream"/>
    <s v=""/>
    <s v="USD"/>
    <n v="460"/>
    <s v="Direct Entry"/>
    <s v="3"/>
    <s v="510.8100"/>
    <s v="Load Cable Coiled 100'"/>
    <s v="510.8100"/>
    <d v="2025-10-01T13:58:48"/>
    <d v="2025-09-30T00:00:00"/>
    <d v="2025-09-30T00:00:00"/>
    <s v=""/>
    <s v="FRYAR 9-3"/>
    <s v=""/>
    <s v=""/>
    <s v=""/>
    <s v=""/>
    <s v=""/>
    <s v=""/>
    <s v=""/>
    <s v=""/>
    <s v=""/>
    <s v=""/>
    <s v=""/>
    <s v=""/>
    <s v=""/>
    <s v=""/>
    <s v=""/>
    <s v=""/>
    <s v=""/>
    <s v=""/>
    <s v=""/>
    <s v=""/>
    <s v=""/>
    <s v=""/>
    <s v="Material"/>
    <s v=""/>
    <s v=""/>
    <s v=""/>
    <s v="1000086000"/>
    <s v="FRYAR 9 3"/>
    <s v="Upstream"/>
    <s v="1046"/>
    <s v=""/>
    <s v=""/>
    <s v=""/>
    <s v=""/>
    <s v=""/>
    <s v=""/>
    <s v=""/>
    <n v="1"/>
    <s v="PC"/>
    <n v="460"/>
    <s v=""/>
    <n v="460"/>
    <s v="--multiple--"/>
    <s v="706723"/>
    <d v="2025-10-01T13:59:20"/>
    <s v=""/>
    <s v=""/>
    <s v=""/>
    <s v=""/>
  </r>
  <r>
    <s v="52626"/>
    <s v="Redhead Services LLC"/>
    <x v="3"/>
    <s v="Cody Palk"/>
    <s v="Ruben Alonso"/>
    <s v="Call Out"/>
    <s v="5051006"/>
    <s v="Upstream"/>
    <s v="171307"/>
    <s v="USD"/>
    <n v="321.75"/>
    <s v="B2B"/>
    <s v="1"/>
    <s v="Labor"/>
    <s v="Unit was down on suction sensor fail checked wiring and blew unit down reset and started unit back up."/>
    <s v=""/>
    <d v="2025-10-13T11:39:42"/>
    <d v="2025-10-10T08:30:00"/>
    <d v="2025-10-10T10:30:00"/>
    <s v=""/>
    <s v="Butch Cassidy"/>
    <s v=""/>
    <s v=""/>
    <s v=""/>
    <s v=""/>
    <s v=""/>
    <s v=""/>
    <s v=""/>
    <s v=""/>
    <s v=""/>
    <s v=""/>
    <s v=""/>
    <s v=""/>
    <s v=""/>
    <s v=""/>
    <s v=""/>
    <s v=""/>
    <s v=""/>
    <s v=""/>
    <s v=""/>
    <s v=""/>
    <s v=""/>
    <s v=""/>
    <s v="Labor"/>
    <s v=""/>
    <s v=""/>
    <s v=""/>
    <s v="8300172900"/>
    <s v="BUTCH CASSIDY 43-7 1  BATTERY"/>
    <s v="Upstream"/>
    <s v="1046"/>
    <s v=""/>
    <s v=""/>
    <s v=""/>
    <s v=""/>
    <s v=""/>
    <s v=""/>
    <s v="Other"/>
    <n v="2"/>
    <s v="hour"/>
    <n v="110"/>
    <s v=""/>
    <n v="220"/>
    <s v="--multiple--"/>
    <s v="709146"/>
    <d v="2025-10-13T11:40:37"/>
    <s v=""/>
    <s v=""/>
    <s v=""/>
    <s v=""/>
  </r>
  <r>
    <s v="W65552"/>
    <s v="Air Compressor Solutions, Inc."/>
    <x v="8"/>
    <s v="Daniel Grubbs"/>
    <s v="Jimmy Martin"/>
    <s v="STARTER COIL IS BAD_x000a_8/29/2025_x000a_Verify serial number Isolate unit Replaced starter coil_x000a_ Start unit back on Checked voltage and amps Breakdown_x000a_ complete_x000a_ Thank you for your business!"/>
    <s v="5051044"/>
    <s v="Upstream"/>
    <s v="149400"/>
    <s v="USD"/>
    <n v="974.71"/>
    <s v="Direct Entry"/>
    <s v="1"/>
    <s v="ACS-LABOR-002"/>
    <s v="TRAVEL TIME, STD"/>
    <s v=""/>
    <d v="2025-09-26T15:19:10"/>
    <d v="2025-08-29T11:15:00"/>
    <d v="2025-08-29T12:30:00"/>
    <s v=""/>
    <s v=""/>
    <s v=""/>
    <s v=""/>
    <s v=""/>
    <s v=""/>
    <s v=""/>
    <s v=""/>
    <s v=""/>
    <s v=""/>
    <s v=""/>
    <s v=""/>
    <s v=""/>
    <s v=""/>
    <s v=""/>
    <s v=""/>
    <s v=""/>
    <s v=""/>
    <s v=""/>
    <s v=""/>
    <s v=""/>
    <s v=""/>
    <s v=""/>
    <s v=""/>
    <s v="Labor"/>
    <s v=""/>
    <s v=""/>
    <s v=""/>
    <s v="8000069900"/>
    <s v="D EVANS BATTERY"/>
    <s v="Upstream"/>
    <s v="1046"/>
    <s v=""/>
    <s v=""/>
    <s v=""/>
    <s v=""/>
    <s v=""/>
    <s v=""/>
    <s v=""/>
    <n v="1.25"/>
    <s v="HR"/>
    <n v="165"/>
    <s v=""/>
    <n v="206.25"/>
    <s v="--multiple--"/>
    <s v="703646"/>
    <d v="2025-10-10T09:26:13"/>
    <s v=""/>
    <s v=""/>
    <s v="Coding/Location Issue"/>
    <s v=""/>
  </r>
  <r>
    <s v="91204"/>
    <s v="BLS Electrical, Inc."/>
    <x v="2"/>
    <s v="Daniel Marquez"/>
    <s v="John Blakeney"/>
    <s v="troubleshot tubing pressure transmitter on well head for false readings, checked voltage and calibrated but still failed to show accurate numbers, disconnected old and installed new 0 to 6000 psi, calibrated to new range and checked values on both sides, notified tech about status on esp drive well head_x000a_truck #712_x000a_6pm-8pm"/>
    <s v="5051043"/>
    <s v="Upstream"/>
    <s v=""/>
    <s v="USD"/>
    <n v="275"/>
    <s v="API"/>
    <s v="1"/>
    <s v="Automation Tech 2 Overtime"/>
    <s v="Automation Tech 2 Overtime"/>
    <s v=""/>
    <d v="2025-07-25T14:29:20"/>
    <d v="2025-07-09T19:00:00"/>
    <d v="2025-07-09T21:00:00"/>
    <s v=""/>
    <s v="GRANTHAM EAST UNIT 3LS"/>
    <s v=""/>
    <s v=""/>
    <s v=""/>
    <s v=""/>
    <s v=""/>
    <s v=""/>
    <s v=""/>
    <s v=""/>
    <s v=""/>
    <s v=""/>
    <s v=""/>
    <s v=""/>
    <s v=""/>
    <s v=""/>
    <s v=""/>
    <s v=""/>
    <s v=""/>
    <s v=""/>
    <s v=""/>
    <s v=""/>
    <s v=""/>
    <s v=""/>
    <s v="Labor"/>
    <s v=""/>
    <s v=""/>
    <s v=""/>
    <s v="1000644900"/>
    <s v="GRANTHAM EAST UNIT 3LS"/>
    <s v="Upstream"/>
    <s v="1046"/>
    <s v=""/>
    <s v=""/>
    <s v=""/>
    <s v=""/>
    <s v=""/>
    <s v=""/>
    <s v=""/>
    <n v="2"/>
    <s v="hour"/>
    <n v="112.5"/>
    <s v=""/>
    <n v="225"/>
    <s v="--multiple--"/>
    <s v="710565"/>
    <d v="2025-10-14T09:58:33"/>
    <s v=""/>
    <s v=""/>
    <s v="Validation Overlapping Hours"/>
    <s v=""/>
  </r>
  <r>
    <s v="670251"/>
    <s v="AggieTech Energy Services LLC"/>
    <x v="6"/>
    <s v="Jeremy Woods"/>
    <s v="Elam Tavarez"/>
    <s v="ELAM TAVAREZ-ARRIVED TO GEORGE WASHINGTON WOLCOTT AJ 2LA LOCATION, LONG STROKED RODS, AND TIGHTENED BELTS &amp; TIEDOWNS. ACHIEVED PUMP ACTION AND LEFT UNIT ON AUTO."/>
    <s v="5051035"/>
    <s v="Upstream"/>
    <s v="166451"/>
    <s v="USD"/>
    <n v="1348"/>
    <s v="Direct Entry"/>
    <s v="1"/>
    <s v="TANDEM/CRANE WITH OPERATOR AND PUMPING UNIT WORK"/>
    <s v="TANDEM/CRANE WITH OPERATOR AND PUMPING UNIT WORK"/>
    <s v=""/>
    <d v="2025-10-10T13:11:17"/>
    <d v="2025-09-26T06:45:00"/>
    <d v="2025-09-26T13:15:00"/>
    <s v=""/>
    <s v="George Washington Wolcott AJ 2LA"/>
    <s v=""/>
    <s v=""/>
    <s v=""/>
    <s v=""/>
    <s v=""/>
    <s v=""/>
    <s v=""/>
    <s v=""/>
    <s v=""/>
    <s v=""/>
    <s v=""/>
    <s v=""/>
    <s v=""/>
    <s v=""/>
    <s v=""/>
    <s v=""/>
    <s v=""/>
    <s v=""/>
    <s v=""/>
    <s v=""/>
    <s v=""/>
    <s v=""/>
    <s v="Equipment"/>
    <s v=""/>
    <s v=""/>
    <s v=""/>
    <s v="1000290100"/>
    <s v="GEORGE WASHINGTON WOLCOTT (AJ) 2LA"/>
    <s v="Upstream"/>
    <s v="1046"/>
    <s v=""/>
    <s v=""/>
    <s v=""/>
    <s v=""/>
    <s v=""/>
    <s v=""/>
    <s v=""/>
    <n v="3.25"/>
    <s v="HR"/>
    <n v="203"/>
    <s v=""/>
    <n v="659.75"/>
    <s v="--multiple--"/>
    <s v="701830"/>
    <d v="2025-10-13T13:55:11"/>
    <s v=""/>
    <s v=""/>
    <s v="Validation GPS Detail"/>
    <s v=""/>
  </r>
  <r>
    <s v="670245"/>
    <s v="AggieTech Energy Services LLC"/>
    <x v="6"/>
    <s v="Jeremy Woods"/>
    <s v="Elam Tavarez"/>
    <s v="JEREMY WOODS-ARRIVED TO GUNSMOKE 40 1 R0009LS LOCATION AND BALANCED UNIT AT RODS: 157 ; WTS: 165. INSTALLED NEW THIRD LEG BOLT AND TIGHTENED STRUCTURAL BOLTS"/>
    <s v="5051035"/>
    <s v="Upstream"/>
    <s v="166421"/>
    <s v="USD"/>
    <n v="1388.26"/>
    <s v="Direct Entry"/>
    <s v="1"/>
    <s v="TANDEM/CRANE WITH OPERATOR AND PUMPING UNIT WORK"/>
    <s v="TANDEM/CRANE WITH OPERATOR AND PUMPING UNIT WORK"/>
    <s v=""/>
    <d v="2025-10-10T12:47:28"/>
    <d v="2025-09-26T16:15:00"/>
    <d v="2025-09-26T19:30:00"/>
    <s v=""/>
    <s v="Gunsmoke 40 1 R009LS"/>
    <s v=""/>
    <s v=""/>
    <s v=""/>
    <s v=""/>
    <s v=""/>
    <s v=""/>
    <s v=""/>
    <s v=""/>
    <s v=""/>
    <s v=""/>
    <s v=""/>
    <s v=""/>
    <s v=""/>
    <s v=""/>
    <s v=""/>
    <s v=""/>
    <s v=""/>
    <s v=""/>
    <s v=""/>
    <s v=""/>
    <s v=""/>
    <s v=""/>
    <s v="Equipment"/>
    <s v=""/>
    <s v=""/>
    <s v=""/>
    <s v="1000313300"/>
    <s v="GUNSMOKE 40-1 L R009LS"/>
    <s v="Upstream"/>
    <s v="1046"/>
    <s v=""/>
    <s v=""/>
    <s v=""/>
    <s v=""/>
    <s v=""/>
    <s v=""/>
    <s v=""/>
    <n v="3.25"/>
    <s v="HR"/>
    <n v="203"/>
    <s v=""/>
    <n v="659.75"/>
    <s v="--multiple--"/>
    <s v="701830"/>
    <d v="2025-10-13T10:48:51"/>
    <s v=""/>
    <s v=""/>
    <s v="Service Date/Time Issue"/>
    <s v=""/>
  </r>
  <r>
    <s v="202544731"/>
    <s v="AM Fabrication Inc"/>
    <x v="6"/>
    <s v="Jeremy Woods"/>
    <s v="Elam Tavarez"/>
    <s v="Shut off power isolated blew down change oil filter fill with oil left on auto"/>
    <s v="5051064"/>
    <s v="Upstream"/>
    <s v="163766"/>
    <s v="USD"/>
    <n v="654"/>
    <s v="Direct Entry"/>
    <s v="1"/>
    <s v="1236"/>
    <s v="Diamondback PM VRU"/>
    <s v="Stock item"/>
    <d v="2025-10-09T08:38:27"/>
    <d v="2025-10-01T10:00:00"/>
    <d v="2025-10-01T12:00:00"/>
    <s v=""/>
    <s v="GUNSMOKE H BATTERY"/>
    <s v=""/>
    <s v=""/>
    <s v=""/>
    <s v=""/>
    <s v=""/>
    <s v=""/>
    <s v=""/>
    <s v=""/>
    <s v=""/>
    <s v=""/>
    <s v=""/>
    <s v=""/>
    <s v=""/>
    <s v=""/>
    <s v=""/>
    <s v=""/>
    <s v=""/>
    <s v=""/>
    <s v=""/>
    <s v=""/>
    <s v=""/>
    <s v=""/>
    <s v="Labor"/>
    <s v=""/>
    <s v=""/>
    <s v=""/>
    <s v="8000119100"/>
    <s v="GUNSMOKE H BATTERY"/>
    <s v="Upstream"/>
    <s v="1046"/>
    <s v=""/>
    <s v=""/>
    <s v=""/>
    <s v=""/>
    <s v=""/>
    <s v=""/>
    <s v=""/>
    <n v="1"/>
    <s v="EA"/>
    <n v="325"/>
    <s v=""/>
    <n v="325"/>
    <s v="--multiple--"/>
    <s v="703623"/>
    <d v="2025-10-14T13:27:24"/>
    <s v=""/>
    <s v=""/>
    <s v="Requisitioner Error | Attachment Issue"/>
    <s v=""/>
  </r>
  <r>
    <s v="530708"/>
    <s v="Noralta Technologies USA Inc."/>
    <x v="5"/>
    <s v="Daniel Marquez"/>
    <s v="John Blakeney"/>
    <s v="work order #166659_x000a_gl # 5051043_x000a_Start - 11:00_x000a_End - 19:00_x000a_Drive to site and fill out FHLA_x000a_Arrived on site to re install PT’s to well with rig down_x000a_Was on site awaiting rig removal and roustabout crew to fishing building tubing piping back to well head_x000a_Issue with flowline placement_x000a_Had to get crew to re-do piping to bring the fittings down to the flowline for it to be installed to the piping. Wire cable was too_x000a_short to install it up high where they had it_x000a_After crew was done with piping, was able to install and connect all PT’s on well. Confirmed flowline PT was working accurately_x000a_and casing and tubing showing to be off by several PSI on hmi._x000a_Wasn’t able to get into Allen Bradley PLC_x000a_(Do not have programming software)_x000a_Contacted Wayne Muir to get into PLC and verify scaling and PLC issues for pressures"/>
    <s v="5051043"/>
    <s v="Upstream"/>
    <s v="530708"/>
    <s v="USD"/>
    <n v="1152"/>
    <s v="Direct Entry"/>
    <s v="1"/>
    <s v="LABOUR"/>
    <s v="LABOUR"/>
    <s v="LABOUR"/>
    <d v="2025-10-08T11:02:57"/>
    <d v="2025-09-26T11:00:00"/>
    <d v="2025-09-26T19:00:00"/>
    <s v=""/>
    <s v="CYPERT FROMAN BATTERY"/>
    <s v=""/>
    <s v=""/>
    <s v=""/>
    <s v=""/>
    <s v=""/>
    <s v=""/>
    <s v=""/>
    <s v=""/>
    <s v=""/>
    <s v=""/>
    <s v=""/>
    <s v=""/>
    <s v=""/>
    <s v=""/>
    <s v=""/>
    <s v=""/>
    <s v=""/>
    <s v=""/>
    <s v=""/>
    <s v=""/>
    <s v=""/>
    <s v=""/>
    <s v="Labor"/>
    <s v="OLVERA, RUBEN JASE"/>
    <s v=""/>
    <s v=""/>
    <s v="8300093200"/>
    <s v="CYPERT FROMAN BATTERY"/>
    <s v="Upstream"/>
    <s v="1046"/>
    <s v=""/>
    <s v=""/>
    <s v=""/>
    <s v=""/>
    <s v=""/>
    <s v=""/>
    <s v=""/>
    <n v="8"/>
    <s v="HR"/>
    <n v="114"/>
    <s v=""/>
    <n v="912"/>
    <s v=""/>
    <s v="712443"/>
    <d v="2025-10-14T11:24:24"/>
    <s v=""/>
    <s v=""/>
    <s v="Coding/Location Issue"/>
    <s v=""/>
  </r>
  <r>
    <s v="531286"/>
    <s v="Noralta Technologies USA Inc."/>
    <x v="1"/>
    <s v="Daniel Marquez"/>
    <s v="John Blakeney"/>
    <s v="work order #168964_x000a_gl # 5051043_x000a_Start - 16:00_x000a_End - 17:00_x000a_Drive to site and fill out FHLA_x000a_Troubleshoot ESD valves not opening when all values and reset was made to start wells back up from PM_x000a_Output from PLC not sending open commands like other wells_x000a_Got into the RMC and cleared configuration errors not allowing the two wells to open back up after alarms cleared and reset_x000a_Tested shutdowns and reset again and ESD valves worked from PLC output"/>
    <s v="5051043"/>
    <s v="Upstream"/>
    <s v="531286"/>
    <s v="USD"/>
    <n v="144"/>
    <s v="Direct Entry"/>
    <s v="1"/>
    <s v="LABOUR"/>
    <s v="LABOUR"/>
    <s v="LABOUR"/>
    <d v="2025-10-08T12:10:15"/>
    <d v="2025-10-01T16:00:00"/>
    <d v="2025-10-01T17:00:00"/>
    <s v=""/>
    <s v="VANDENBERG WEST 12-24"/>
    <s v=""/>
    <s v=""/>
    <s v=""/>
    <s v=""/>
    <s v=""/>
    <s v=""/>
    <s v=""/>
    <s v=""/>
    <s v=""/>
    <s v=""/>
    <s v=""/>
    <s v=""/>
    <s v=""/>
    <s v=""/>
    <s v=""/>
    <s v=""/>
    <s v=""/>
    <s v=""/>
    <s v=""/>
    <s v=""/>
    <s v=""/>
    <s v=""/>
    <s v="Labor"/>
    <s v="OLVERA, RUBEN JASE"/>
    <s v=""/>
    <s v=""/>
    <s v="1000686900"/>
    <s v="VANDENBERG WEST 12-24 UNIT 2LS"/>
    <s v="Upstream"/>
    <s v="1046"/>
    <s v=""/>
    <s v=""/>
    <s v=""/>
    <s v=""/>
    <s v=""/>
    <s v=""/>
    <s v=""/>
    <n v="0.5"/>
    <s v="HR"/>
    <n v="114"/>
    <s v=""/>
    <n v="57"/>
    <s v=""/>
    <s v="712443"/>
    <d v="2025-10-08T12:12:20"/>
    <s v=""/>
    <s v=""/>
    <s v=""/>
    <s v=""/>
  </r>
  <r>
    <s v="280009743"/>
    <s v="ChampionX LLC"/>
    <x v="4"/>
    <s v="Kevin Kunkel"/>
    <s v="Elam Tavarez"/>
    <s v="MULTIPLE - MONTHLY MONITORING - RENTAL (SOOFIE) - DUKE BATTERY - 1481"/>
    <s v="5051064"/>
    <s v="Upstream"/>
    <s v=""/>
    <s v="USD"/>
    <n v="1481"/>
    <s v="B2B"/>
    <s v="1"/>
    <s v="1171269"/>
    <s v="Monthly Monitoring Fee-SOOFIE"/>
    <s v=""/>
    <d v="2025-09-24T08:49:59"/>
    <d v="2025-09-01T00:00:00"/>
    <d v="2025-09-01T00:00:00"/>
    <s v=""/>
    <s v="DUKE BATTERY"/>
    <s v=""/>
    <s v=""/>
    <s v=""/>
    <s v=""/>
    <s v=""/>
    <s v=""/>
    <s v=""/>
    <s v=""/>
    <s v=""/>
    <s v=""/>
    <s v=""/>
    <s v=""/>
    <s v=""/>
    <s v=""/>
    <s v=""/>
    <s v=""/>
    <s v=""/>
    <s v=""/>
    <s v=""/>
    <s v=""/>
    <s v=""/>
    <s v=""/>
    <s v=""/>
    <s v=""/>
    <s v=""/>
    <s v=""/>
    <s v="8000312400"/>
    <s v="DUKE BATTERY"/>
    <s v="Upstream"/>
    <s v="1046"/>
    <s v=""/>
    <s v=""/>
    <s v=""/>
    <s v=""/>
    <s v=""/>
    <s v=""/>
    <s v="Other"/>
    <n v="4"/>
    <s v="EA"/>
    <n v="21"/>
    <s v=""/>
    <n v="84"/>
    <s v="--multiple--"/>
    <s v="711892"/>
    <d v="2025-10-10T13:50:23"/>
    <s v=""/>
    <s v=""/>
    <s v="Attachment Issue"/>
    <s v=""/>
  </r>
  <r>
    <s v="25093624"/>
    <s v="Lone Star Instrumentation &amp; Electric Corp"/>
    <x v="5"/>
    <s v="Daniel Minjarez"/>
    <s v="Jesse Melendez"/>
    <s v="WORK DESCRIPTION:drove to location wrote jsa went over jsa and task with crew verfied incoming_x000d__x000a_voltage to battery was missing phase drove outline and found blown takeoff line fuses feeding line replaced fuses drove back to battery verfied voltage was good and all equipment was working drove to each well and made sure all pump jacks where working as needed replaced fuses as needed all pump jacks and battery are now running as needed"/>
    <s v="5051044"/>
    <s v="Upstream"/>
    <s v=""/>
    <s v="USD"/>
    <n v="324.13"/>
    <s v="B2B"/>
    <s v="1"/>
    <s v=""/>
    <s v="Qualified Electrician"/>
    <s v=""/>
    <d v="2025-10-03T09:37:09"/>
    <d v="2025-09-25T13:00:00"/>
    <d v="2025-09-25T15:00:00"/>
    <s v=""/>
    <s v="DAVIDSON ABC"/>
    <s v=""/>
    <s v=""/>
    <s v=""/>
    <s v=""/>
    <s v=""/>
    <s v=""/>
    <s v=""/>
    <s v=""/>
    <s v=""/>
    <s v=""/>
    <s v=""/>
    <s v=""/>
    <s v=""/>
    <s v=""/>
    <s v=""/>
    <s v=""/>
    <s v=""/>
    <s v=""/>
    <s v=""/>
    <s v=""/>
    <s v=""/>
    <s v=""/>
    <s v="Labor"/>
    <s v=""/>
    <s v=""/>
    <s v=""/>
    <s v="8300094100"/>
    <s v="DAVIDSON ABC BATTERY"/>
    <s v="Upstream"/>
    <s v="1046"/>
    <s v=""/>
    <s v=""/>
    <s v=""/>
    <s v=""/>
    <s v=""/>
    <s v=""/>
    <s v=""/>
    <n v="1.75"/>
    <s v="HR"/>
    <n v="65"/>
    <s v=""/>
    <n v="113.75"/>
    <s v="--multiple--"/>
    <s v="708305"/>
    <d v="2025-10-13T12:55:53"/>
    <s v=""/>
    <s v=""/>
    <s v="Requisitioner Error"/>
    <s v=""/>
  </r>
  <r>
    <s v="25093625"/>
    <s v="Lone Star Instrumentation &amp; Electric Corp"/>
    <x v="5"/>
    <s v="Daniel Minjarez"/>
    <s v="Jesse Melendez"/>
    <s v="WORK DESCRIPTION: drove to location wrote jsa went over jsa and task with crew verfied voltage was correct voltage was correct all equipment at battery are now working as needed drove to each well head and made sure all pump jacks where working reset overloads and replaced line fuses and disconnect fuses as needed all pump jacks for lease are now working as needed and battery"/>
    <s v="5051044"/>
    <s v="Upstream"/>
    <s v=""/>
    <s v="USD"/>
    <n v="423"/>
    <s v="B2B"/>
    <s v="1"/>
    <s v="LS119"/>
    <s v="Qualified Electrician Overtime"/>
    <s v=""/>
    <d v="2025-10-03T09:37:10"/>
    <d v="2025-09-25T15:00:00"/>
    <d v="2025-09-25T17:00:00"/>
    <s v=""/>
    <s v="DAVIDSON DEF BATTERY"/>
    <s v=""/>
    <s v=""/>
    <s v=""/>
    <s v=""/>
    <s v=""/>
    <s v=""/>
    <s v=""/>
    <s v=""/>
    <s v=""/>
    <s v=""/>
    <s v=""/>
    <s v=""/>
    <s v=""/>
    <s v=""/>
    <s v=""/>
    <s v=""/>
    <s v=""/>
    <s v=""/>
    <s v=""/>
    <s v=""/>
    <s v=""/>
    <s v=""/>
    <s v="Labor"/>
    <s v=""/>
    <s v=""/>
    <s v=""/>
    <s v="8300094300"/>
    <s v="DAVIDSON DEF BATTERY"/>
    <s v="Upstream"/>
    <s v="1046"/>
    <s v=""/>
    <s v=""/>
    <s v=""/>
    <s v=""/>
    <s v=""/>
    <s v=""/>
    <s v=""/>
    <n v="2"/>
    <s v="HR"/>
    <n v="97.5"/>
    <s v=""/>
    <n v="195"/>
    <s v="--multiple--"/>
    <s v="708305"/>
    <d v="2025-10-13T12:57:54"/>
    <s v=""/>
    <s v=""/>
    <s v="Requisitioner Error"/>
    <s v=""/>
  </r>
  <r>
    <s v="CT-22228"/>
    <s v="E &amp; A Welding &amp; Oilfield Services Inc."/>
    <x v="2"/>
    <s v="Daniel Valenzuela"/>
    <s v="Jamie Willingham"/>
    <s v="DRIVE TO THE LOCATION TO REPLACE 1 INCH LINE OF THE 6 FEET ON THE AIR SIDE AND ADD 2 INCH HAMMER UNIT"/>
    <s v="5051023"/>
    <s v="Upstream"/>
    <s v="159476"/>
    <s v="USD"/>
    <n v="282"/>
    <s v="Direct Entry"/>
    <s v="1"/>
    <s v="3MGGT"/>
    <s v="Three Man Gang crew and Gang Truck"/>
    <s v=""/>
    <d v="2025-10-06T13:43:00"/>
    <d v="2025-09-16T14:30:00"/>
    <d v="2025-09-16T16:30:00"/>
    <s v=""/>
    <s v="FOUR CORNER 27 BATTERY"/>
    <s v=""/>
    <s v=""/>
    <s v=""/>
    <s v=""/>
    <s v=""/>
    <s v=""/>
    <s v=""/>
    <s v=""/>
    <s v=""/>
    <s v=""/>
    <s v=""/>
    <s v=""/>
    <s v=""/>
    <s v=""/>
    <s v=""/>
    <s v=""/>
    <s v=""/>
    <s v=""/>
    <s v=""/>
    <s v=""/>
    <s v=""/>
    <s v=""/>
    <s v="Labor"/>
    <s v=""/>
    <s v=""/>
    <s v=""/>
    <s v="8000303100"/>
    <s v="FOUR CORNERS 27 BATTERY"/>
    <s v="Upstream"/>
    <s v="1046"/>
    <s v=""/>
    <s v=""/>
    <s v=""/>
    <s v=""/>
    <s v=""/>
    <s v=""/>
    <s v=""/>
    <n v="2"/>
    <s v="HR"/>
    <n v="141"/>
    <s v=""/>
    <n v="282"/>
    <s v="--multiple--"/>
    <s v="706137"/>
    <d v="2025-10-06T13:45:43"/>
    <s v=""/>
    <s v=""/>
    <s v=""/>
    <s v=""/>
  </r>
  <r>
    <s v="JROD_250803_135934"/>
    <s v="Superior Optimization Ltd"/>
    <x v="8"/>
    <s v="David Castaneda"/>
    <s v="Steven Kincheloe"/>
    <s v="Drove to location. Killed out power on bank.Tapped down transformers. Checked for loose connections, burnt wires on transformer bank and checked disconnect fuses. Re energized line and checked voltage."/>
    <s v="5051044"/>
    <s v="Upstream"/>
    <s v=""/>
    <s v="USD"/>
    <n v="768.75"/>
    <s v="B2B"/>
    <s v="1"/>
    <s v="BUCKET"/>
    <s v="Bucket Truck Hourly"/>
    <s v=""/>
    <d v="2025-09-17T10:32:24"/>
    <d v="2025-08-01T17:00:00"/>
    <d v="2025-08-01T19:30:00"/>
    <s v=""/>
    <s v=""/>
    <s v=""/>
    <s v=""/>
    <s v=""/>
    <s v=""/>
    <s v=""/>
    <s v=""/>
    <s v=""/>
    <s v=""/>
    <s v=""/>
    <s v=""/>
    <s v=""/>
    <s v=""/>
    <s v=""/>
    <s v=""/>
    <s v=""/>
    <s v=""/>
    <s v=""/>
    <s v=""/>
    <s v=""/>
    <s v=""/>
    <s v=""/>
    <s v=""/>
    <s v="Labor"/>
    <s v=""/>
    <s v=""/>
    <s v=""/>
    <s v="8000323900"/>
    <s v="BOSS EAST BATTERY"/>
    <s v="Upstream"/>
    <s v="1046"/>
    <s v=""/>
    <s v=""/>
    <s v=""/>
    <s v=""/>
    <s v=""/>
    <s v=""/>
    <s v=""/>
    <n v="2.5"/>
    <s v="HR"/>
    <n v="80"/>
    <s v=""/>
    <n v="200"/>
    <s v="--multiple--"/>
    <s v="700399"/>
    <d v="2025-09-26T14:18:13"/>
    <s v=""/>
    <s v=""/>
    <s v=""/>
    <s v=""/>
  </r>
  <r>
    <s v="30135"/>
    <s v="Well Solutions LLC"/>
    <x v="10"/>
    <s v="Clayton Marburger"/>
    <s v="Gary Cain"/>
    <s v="50 BBL CASING 20 BBL FL"/>
    <s v="5051026"/>
    <s v="Upstream"/>
    <s v=""/>
    <s v="USD"/>
    <n v="535.5"/>
    <s v="Direct Entry"/>
    <s v="1"/>
    <s v="10000020"/>
    <s v="Scheduled Program Hot Oil per BBL"/>
    <s v="Hot OIl"/>
    <d v="2025-10-01T14:12:23"/>
    <d v="2025-09-30T09:45:00"/>
    <d v="2025-09-30T11:45:00"/>
    <s v=""/>
    <s v=""/>
    <s v=""/>
    <s v=""/>
    <s v=""/>
    <s v=""/>
    <s v=""/>
    <s v=""/>
    <s v=""/>
    <s v=""/>
    <s v=""/>
    <s v=""/>
    <s v=""/>
    <s v=""/>
    <s v=""/>
    <s v=""/>
    <s v=""/>
    <s v=""/>
    <s v=""/>
    <s v=""/>
    <s v=""/>
    <s v=""/>
    <s v=""/>
    <s v=""/>
    <s v="Labor"/>
    <s v=""/>
    <s v=""/>
    <s v=""/>
    <s v="1001355600"/>
    <s v="MABEE 13 5"/>
    <s v="Upstream"/>
    <s v="1046"/>
    <s v=""/>
    <s v=""/>
    <s v=""/>
    <s v=""/>
    <s v=""/>
    <s v=""/>
    <s v=""/>
    <n v="70"/>
    <s v="BBL"/>
    <n v="7.65"/>
    <s v=""/>
    <n v="535.5"/>
    <s v="--multiple--"/>
    <s v="702744"/>
    <d v="2025-10-01T14:13:25"/>
    <s v=""/>
    <s v=""/>
    <s v=""/>
    <s v=""/>
  </r>
  <r>
    <s v="51788"/>
    <s v="Basin Trucking LLC"/>
    <x v="9"/>
    <s v="Clayton Marburger"/>
    <s v="Gary Cain"/>
    <s v="Hauled 10bbls of p/w from Robertson to Overflow Energy Permian 715"/>
    <s v="5051054"/>
    <s v="Upstream"/>
    <s v=""/>
    <s v="USD"/>
    <n v="258.5"/>
    <s v="Direct Entry"/>
    <s v="1"/>
    <s v="Vac Truck"/>
    <s v="Vac Truck"/>
    <s v=""/>
    <d v="2025-10-09T12:39:26"/>
    <d v="2025-10-01T11:45:00"/>
    <d v="2025-10-01T13:45:00"/>
    <d v="1899-12-30T02:00:00"/>
    <s v="Robertson"/>
    <s v=""/>
    <s v=""/>
    <s v="vacuum"/>
    <s v=""/>
    <s v=""/>
    <s v=""/>
    <s v=""/>
    <s v=""/>
    <s v=""/>
    <s v=""/>
    <s v=""/>
    <s v=""/>
    <s v=""/>
    <s v=""/>
    <s v=""/>
    <s v=""/>
    <s v=""/>
    <s v=""/>
    <s v=""/>
    <s v=""/>
    <n v="0"/>
    <s v="bbl"/>
    <s v=""/>
    <s v=""/>
    <s v=""/>
    <s v=""/>
    <s v="8300147900"/>
    <s v="ROBERTSON BATTERY"/>
    <s v="Upstream"/>
    <s v="1046"/>
    <s v=""/>
    <s v=""/>
    <s v=""/>
    <s v=""/>
    <s v=""/>
    <s v=""/>
    <s v="Other"/>
    <n v="2"/>
    <s v="HR"/>
    <n v="88"/>
    <s v=""/>
    <n v="176"/>
    <s v="--multiple--"/>
    <s v="703517"/>
    <d v="2025-10-14T04:53:37"/>
    <s v=""/>
    <s v=""/>
    <s v="Service Date/Time Issue"/>
    <s v=""/>
  </r>
  <r>
    <s v="G5859895"/>
    <s v="Basin Trucking LLC"/>
    <x v="12"/>
    <s v="Clayton Marburger"/>
    <s v="Gary Cain"/>
    <s v="Production-Production_x000a_Hauled 110 barrels of produce water from Crespi Unit 1 to Ranger SWD # 1"/>
    <s v="5051054"/>
    <s v="Upstream"/>
    <s v=""/>
    <s v="USD"/>
    <n v="186.34"/>
    <s v="API"/>
    <s v="1"/>
    <s v="Vac Truck"/>
    <s v="Production-Production"/>
    <s v=""/>
    <d v="2025-10-06T16:11:37"/>
    <d v="2025-10-03T16:15:00"/>
    <d v="2025-10-03T17:26:00"/>
    <d v="1899-12-30T01:10:00"/>
    <s v="CRESPI UNIT 1 2M (WP1)"/>
    <s v=""/>
    <s v="Ruger Ranger #1 SWD"/>
    <s v="Produced Water"/>
    <s v=""/>
    <s v=""/>
    <s v=""/>
    <s v=""/>
    <s v=""/>
    <s v=""/>
    <s v=""/>
    <s v=""/>
    <n v="0"/>
    <n v="0"/>
    <n v="0"/>
    <n v="0"/>
    <s v=""/>
    <s v=""/>
    <s v=""/>
    <s v=""/>
    <s v="ft"/>
    <n v="110"/>
    <s v="bbl"/>
    <s v=""/>
    <s v=""/>
    <s v=""/>
    <s v=""/>
    <s v="8300092400"/>
    <s v="CRESPI UNIT 1 2M BATTERY"/>
    <s v="Upstream"/>
    <s v="1046"/>
    <s v=""/>
    <s v=""/>
    <s v=""/>
    <s v=""/>
    <s v=""/>
    <s v=""/>
    <s v="Other"/>
    <n v="1.18"/>
    <s v="HR"/>
    <n v="88"/>
    <s v=""/>
    <n v="103.84"/>
    <s v="--multiple--"/>
    <s v="703517"/>
    <d v="2025-10-13T08:58:41"/>
    <s v=""/>
    <s v=""/>
    <s v=""/>
    <s v=""/>
  </r>
  <r>
    <s v="51729"/>
    <s v="Basin Trucking LLC"/>
    <x v="12"/>
    <s v="Clayton Marburger"/>
    <s v="Gary Cain"/>
    <s v="Hauled 110 barrels of produce water from Branch 102 to Overflow Energy 715."/>
    <s v="5051054"/>
    <s v="Upstream"/>
    <s v=""/>
    <s v="USD"/>
    <n v="236.5"/>
    <s v="Direct Entry"/>
    <s v="1"/>
    <s v="Vac Truck"/>
    <s v="Vac Truck"/>
    <s v=""/>
    <d v="2025-10-13T07:27:11"/>
    <d v="2025-10-04T12:00:00"/>
    <d v="2025-10-04T13:45:00"/>
    <d v="1899-12-30T01:45:00"/>
    <s v="BRANCH 102 BATTERY"/>
    <s v=""/>
    <s v=""/>
    <s v="vacuum"/>
    <s v=""/>
    <s v=""/>
    <s v=""/>
    <s v=""/>
    <s v=""/>
    <s v=""/>
    <s v=""/>
    <s v=""/>
    <s v=""/>
    <s v=""/>
    <s v=""/>
    <s v=""/>
    <s v=""/>
    <s v=""/>
    <s v=""/>
    <s v=""/>
    <s v=""/>
    <n v="0"/>
    <s v="bbl"/>
    <s v=""/>
    <s v=""/>
    <s v=""/>
    <s v=""/>
    <s v="8300083300"/>
    <s v="BRANCH 102 BATTERY"/>
    <s v="Upstream"/>
    <s v="1046"/>
    <s v=""/>
    <s v=""/>
    <s v=""/>
    <s v=""/>
    <s v=""/>
    <s v=""/>
    <s v="Hours Worked"/>
    <n v="1.75"/>
    <s v="hour"/>
    <n v="88"/>
    <s v=""/>
    <n v="154"/>
    <s v="--multiple--"/>
    <s v="703517"/>
    <d v="2025-10-13T07:30:24"/>
    <s v=""/>
    <s v=""/>
    <s v=""/>
    <s v=""/>
  </r>
  <r>
    <s v="51731"/>
    <s v="Basin Trucking LLC"/>
    <x v="12"/>
    <s v="Clayton Marburger"/>
    <s v="Gary Cain"/>
    <s v="Hauled 110 barrels of produce water from Branch 102 to Overflow Energy 715."/>
    <s v="5051054"/>
    <s v="Upstream"/>
    <s v=""/>
    <s v="USD"/>
    <n v="170.5"/>
    <s v="Direct Entry"/>
    <s v="1"/>
    <s v="Vac Truck"/>
    <s v="Vac Truck"/>
    <s v=""/>
    <d v="2025-10-13T07:30:52"/>
    <d v="2025-10-04T14:45:00"/>
    <d v="2025-10-04T15:45:00"/>
    <d v="1899-12-30T01:00:00"/>
    <s v="BRANCH 102 BATTERY"/>
    <s v=""/>
    <s v=""/>
    <s v="vacuum"/>
    <s v=""/>
    <s v=""/>
    <s v=""/>
    <s v=""/>
    <s v=""/>
    <s v=""/>
    <s v=""/>
    <s v=""/>
    <s v=""/>
    <s v=""/>
    <s v=""/>
    <s v=""/>
    <s v=""/>
    <s v=""/>
    <s v=""/>
    <s v=""/>
    <s v=""/>
    <n v="0"/>
    <s v="bbl"/>
    <s v=""/>
    <s v=""/>
    <s v=""/>
    <s v=""/>
    <s v="8300083300"/>
    <s v="BRANCH 102 BATTERY"/>
    <s v="Upstream"/>
    <s v="1046"/>
    <s v=""/>
    <s v=""/>
    <s v=""/>
    <s v=""/>
    <s v=""/>
    <s v=""/>
    <s v="Hours Worked"/>
    <n v="1"/>
    <s v="hour"/>
    <n v="88"/>
    <s v=""/>
    <n v="88"/>
    <s v="--multiple--"/>
    <s v="703517"/>
    <d v="2025-10-13T07:32:25"/>
    <s v=""/>
    <s v=""/>
    <s v=""/>
    <s v=""/>
  </r>
  <r>
    <s v="80323"/>
    <s v="DTM Trucking Inc."/>
    <x v="6"/>
    <s v="Clayton Marburger"/>
    <s v="Gary Cain"/>
    <s v="Haul 110bbls of p/w from location to 715"/>
    <s v="5051054"/>
    <s v="Upstream"/>
    <s v=""/>
    <s v="USD"/>
    <n v="273"/>
    <s v="Direct Entry"/>
    <s v="1"/>
    <s v="Vacuum Truck"/>
    <s v="Vacuum Truck"/>
    <s v=""/>
    <d v="2025-10-08T12:16:15"/>
    <d v="2025-10-06T15:45:00"/>
    <d v="2025-10-06T18:15:00"/>
    <d v="1899-12-30T02:30:00"/>
    <s v="Nail 34"/>
    <s v="NA"/>
    <s v="NA"/>
    <s v="NA"/>
    <s v=""/>
    <s v=""/>
    <s v=""/>
    <s v=""/>
    <s v=""/>
    <s v=""/>
    <s v=""/>
    <s v=""/>
    <s v=""/>
    <s v=""/>
    <s v=""/>
    <s v=""/>
    <s v=""/>
    <s v=""/>
    <s v=""/>
    <s v=""/>
    <s v=""/>
    <n v="0"/>
    <s v="bbl"/>
    <s v=""/>
    <s v=""/>
    <s v=""/>
    <s v=""/>
    <s v="8300129200"/>
    <s v="NAIL 34 BATTERY"/>
    <s v="Upstream"/>
    <s v="1046"/>
    <s v=""/>
    <s v=""/>
    <s v=""/>
    <s v=""/>
    <s v=""/>
    <s v=""/>
    <s v="Hours Worked"/>
    <n v="2.5"/>
    <s v="hour"/>
    <n v="85"/>
    <s v=""/>
    <n v="212.5"/>
    <s v="Pricebook"/>
    <s v="712980"/>
    <d v="2025-10-08T13:34:54"/>
    <s v=""/>
    <s v=""/>
    <s v=""/>
    <s v=""/>
  </r>
  <r>
    <s v="51867"/>
    <s v="Basin Trucking LLC"/>
    <x v="12"/>
    <s v="Clayton Marburger"/>
    <s v="Richard Onzures"/>
    <s v="Hauled 110 bbls of PW from Koonce 2 to Graham SWD."/>
    <s v="5051054"/>
    <s v="Upstream"/>
    <s v=""/>
    <s v="USD"/>
    <n v="236.5"/>
    <s v="Direct Entry"/>
    <s v="1"/>
    <s v="Vac Truck"/>
    <s v="Vac Truck"/>
    <s v=""/>
    <d v="2025-10-07T14:46:32"/>
    <d v="2025-09-30T13:00:00"/>
    <d v="2025-09-30T14:45:00"/>
    <d v="1899-12-30T01:45:00"/>
    <s v="Koonce 2"/>
    <s v=""/>
    <s v=""/>
    <s v="vacuum"/>
    <s v=""/>
    <s v=""/>
    <s v=""/>
    <s v=""/>
    <s v=""/>
    <s v=""/>
    <s v=""/>
    <s v=""/>
    <s v=""/>
    <s v=""/>
    <s v=""/>
    <s v=""/>
    <s v=""/>
    <s v=""/>
    <s v=""/>
    <s v=""/>
    <s v=""/>
    <n v="0"/>
    <s v="bbl"/>
    <s v=""/>
    <s v=""/>
    <s v=""/>
    <s v=""/>
    <s v="8300118200"/>
    <s v="KOONCE 2 BATTERY"/>
    <s v="Upstream"/>
    <s v="1046"/>
    <s v=""/>
    <s v=""/>
    <s v=""/>
    <s v=""/>
    <s v=""/>
    <s v=""/>
    <s v="Other"/>
    <n v="1.75"/>
    <s v="HR"/>
    <n v="88"/>
    <s v=""/>
    <n v="154"/>
    <s v="--multiple--"/>
    <s v="703517"/>
    <d v="2025-10-13T12:44:52"/>
    <s v=""/>
    <s v=""/>
    <s v="Requisitioner Error"/>
    <s v=""/>
  </r>
  <r>
    <s v="51790"/>
    <s v="Basin Trucking LLC"/>
    <x v="9"/>
    <s v="Clayton Marburger"/>
    <s v="Richard Onzures"/>
    <s v="Hauled 110bbls of p/w from Koonce 2 to Graham SWD"/>
    <s v="5051054"/>
    <s v="Upstream"/>
    <s v=""/>
    <s v="USD"/>
    <n v="236.5"/>
    <s v="Direct Entry"/>
    <s v="1"/>
    <s v="Vac Truck"/>
    <s v="Vac Truck"/>
    <s v=""/>
    <d v="2025-10-09T10:14:31"/>
    <d v="2025-10-01T17:45:00"/>
    <d v="2025-10-01T19:30:00"/>
    <d v="1899-12-30T01:45:00"/>
    <s v="Koonce 2"/>
    <s v=""/>
    <s v=""/>
    <s v="vacuum"/>
    <s v=""/>
    <s v=""/>
    <s v=""/>
    <s v=""/>
    <s v=""/>
    <s v=""/>
    <s v=""/>
    <s v=""/>
    <s v=""/>
    <s v=""/>
    <s v=""/>
    <s v=""/>
    <s v=""/>
    <s v=""/>
    <s v=""/>
    <s v=""/>
    <s v=""/>
    <n v="0"/>
    <s v="bbl"/>
    <s v=""/>
    <s v=""/>
    <s v=""/>
    <s v=""/>
    <s v="8300118200"/>
    <s v="KOONCE 2 BATTERY"/>
    <s v="Upstream"/>
    <s v="1046"/>
    <s v=""/>
    <s v=""/>
    <s v=""/>
    <s v=""/>
    <s v=""/>
    <s v=""/>
    <s v="Other"/>
    <n v="1.75"/>
    <s v="HR"/>
    <n v="88"/>
    <s v=""/>
    <n v="154"/>
    <s v="--multiple--"/>
    <s v="703517"/>
    <d v="2025-10-14T04:52:26"/>
    <s v=""/>
    <s v=""/>
    <s v="Electronic Field Ticket Issue"/>
    <s v=""/>
  </r>
  <r>
    <s v="G5859297"/>
    <s v="Basin Trucking LLC"/>
    <x v="12"/>
    <s v="Clayton Marburger"/>
    <s v="Richard Onzures"/>
    <s v="Production-Production_x000a_Hauled 110 barrels of produce water from Koonce 2 to Graham SWD."/>
    <s v="5051054"/>
    <s v="Upstream"/>
    <s v=""/>
    <s v="USD"/>
    <n v="217.14"/>
    <s v="API"/>
    <s v="1"/>
    <s v="Vac Truck"/>
    <s v="Production-Production"/>
    <s v=""/>
    <d v="2025-10-06T16:17:38"/>
    <d v="2025-10-03T13:55:00"/>
    <d v="2025-10-03T15:27:00"/>
    <d v="1899-12-30T01:32:00"/>
    <s v="KOONCE 2 1 (WP1)"/>
    <s v=""/>
    <s v="Graham SWD"/>
    <s v="Produced Water"/>
    <s v=""/>
    <s v=""/>
    <s v=""/>
    <s v=""/>
    <s v=""/>
    <s v=""/>
    <s v=""/>
    <s v=""/>
    <n v="0"/>
    <n v="0"/>
    <n v="0"/>
    <n v="0"/>
    <s v=""/>
    <s v=""/>
    <s v=""/>
    <s v=""/>
    <s v="ft"/>
    <n v="110"/>
    <s v="bbl"/>
    <s v=""/>
    <s v=""/>
    <s v=""/>
    <s v=""/>
    <s v="8300118200"/>
    <s v="KOONCE 2 BATTERY"/>
    <s v="Upstream"/>
    <s v="1046"/>
    <s v=""/>
    <s v=""/>
    <s v=""/>
    <s v=""/>
    <s v=""/>
    <s v=""/>
    <s v="Other"/>
    <n v="1.53"/>
    <s v="HR"/>
    <n v="88"/>
    <s v=""/>
    <n v="134.63999999999999"/>
    <s v="--multiple--"/>
    <s v="703517"/>
    <d v="2025-10-13T09:08:45"/>
    <s v=""/>
    <s v=""/>
    <s v=""/>
    <s v=""/>
  </r>
  <r>
    <s v="52027"/>
    <s v="Basin Trucking LLC"/>
    <x v="12"/>
    <s v="Clayton Marburger"/>
    <s v="Richard Onzures"/>
    <s v="Hauled 110 barrels of produce water from My True Love LCX to Graham SWD."/>
    <s v="5051054"/>
    <s v="Upstream"/>
    <s v=""/>
    <s v="USD"/>
    <n v="214.5"/>
    <s v="Direct Entry"/>
    <s v="1"/>
    <s v="Vac Truck"/>
    <s v="Vac Truck"/>
    <s v=""/>
    <d v="2025-10-13T08:03:39"/>
    <d v="2025-10-04T06:15:00"/>
    <d v="2025-10-04T07:45:00"/>
    <d v="1899-12-30T01:30:00"/>
    <s v="MY TRUE LOVE LCX"/>
    <s v=""/>
    <s v=""/>
    <s v="vacuum"/>
    <s v=""/>
    <s v=""/>
    <s v=""/>
    <s v=""/>
    <s v=""/>
    <s v=""/>
    <s v=""/>
    <s v=""/>
    <s v=""/>
    <s v=""/>
    <s v=""/>
    <s v=""/>
    <s v=""/>
    <s v=""/>
    <s v=""/>
    <s v=""/>
    <s v=""/>
    <n v="0"/>
    <s v="bbl"/>
    <s v=""/>
    <s v=""/>
    <s v=""/>
    <s v=""/>
    <s v="8300128500"/>
    <s v="MY TRUE LOVE LCX BATTERY"/>
    <s v="Upstream"/>
    <s v="1046"/>
    <s v=""/>
    <s v=""/>
    <s v=""/>
    <s v=""/>
    <s v=""/>
    <s v=""/>
    <s v="Hours Worked"/>
    <n v="1.5"/>
    <s v="hour"/>
    <n v="88"/>
    <s v=""/>
    <n v="132"/>
    <s v="--multiple--"/>
    <s v="703517"/>
    <d v="2025-10-13T08:07:19"/>
    <s v=""/>
    <s v=""/>
    <s v=""/>
    <s v=""/>
  </r>
  <r>
    <s v="52028"/>
    <s v="Basin Trucking LLC"/>
    <x v="12"/>
    <s v="Clayton Marburger"/>
    <s v="Richard Onzures"/>
    <s v="Hauled 110 barrels of produce water from My True Love LCX to Graham SWD."/>
    <s v="5051054"/>
    <s v="Upstream"/>
    <s v=""/>
    <s v="USD"/>
    <n v="236.5"/>
    <s v="Direct Entry"/>
    <s v="1"/>
    <s v="Vac Truck"/>
    <s v="Vac Truck"/>
    <s v=""/>
    <d v="2025-10-13T08:07:57"/>
    <d v="2025-10-04T07:45:00"/>
    <d v="2025-10-04T09:30:00"/>
    <d v="1899-12-30T01:45:00"/>
    <s v="MY TRUE LOVE LCX"/>
    <s v=""/>
    <s v=""/>
    <s v="vacuum"/>
    <s v=""/>
    <s v=""/>
    <s v=""/>
    <s v=""/>
    <s v=""/>
    <s v=""/>
    <s v=""/>
    <s v=""/>
    <s v=""/>
    <s v=""/>
    <s v=""/>
    <s v=""/>
    <s v=""/>
    <s v=""/>
    <s v=""/>
    <s v=""/>
    <s v=""/>
    <n v="0"/>
    <s v="bbl"/>
    <s v=""/>
    <s v=""/>
    <s v=""/>
    <s v=""/>
    <s v="8300128500"/>
    <s v="MY TRUE LOVE LCX BATTERY"/>
    <s v="Upstream"/>
    <s v="1046"/>
    <s v=""/>
    <s v=""/>
    <s v=""/>
    <s v=""/>
    <s v=""/>
    <s v=""/>
    <s v="Hours Worked"/>
    <n v="1.75"/>
    <s v="hour"/>
    <n v="88"/>
    <s v=""/>
    <n v="154"/>
    <s v="--multiple--"/>
    <s v="703517"/>
    <d v="2025-10-13T08:08:50"/>
    <s v=""/>
    <s v=""/>
    <s v=""/>
    <s v=""/>
  </r>
  <r>
    <s v="52029"/>
    <s v="Basin Trucking LLC"/>
    <x v="12"/>
    <s v="Clayton Marburger"/>
    <s v="Richard Onzures"/>
    <s v="Hauled 110 barrels of produce water from Sandefur RJ 37 to Graham SWD."/>
    <s v="5051054"/>
    <s v="Upstream"/>
    <s v=""/>
    <s v="USD"/>
    <n v="214.5"/>
    <s v="Direct Entry"/>
    <s v="1"/>
    <s v="Vac Truck"/>
    <s v="Vac Truck"/>
    <s v=""/>
    <d v="2025-10-13T08:09:48"/>
    <d v="2025-10-04T09:30:00"/>
    <d v="2025-10-04T11:00:00"/>
    <d v="1899-12-30T01:30:00"/>
    <s v="Sandefur RJ 37-1"/>
    <s v=""/>
    <s v=""/>
    <s v="vacuum"/>
    <s v=""/>
    <s v=""/>
    <s v=""/>
    <s v=""/>
    <s v=""/>
    <s v=""/>
    <s v=""/>
    <s v=""/>
    <s v=""/>
    <s v=""/>
    <s v=""/>
    <s v=""/>
    <s v=""/>
    <s v=""/>
    <s v=""/>
    <s v=""/>
    <s v=""/>
    <n v="110"/>
    <s v="bbl"/>
    <s v=""/>
    <s v=""/>
    <s v=""/>
    <s v=""/>
    <s v="8300150500"/>
    <s v="SANDEFUR RJ 37 1 BATTERY"/>
    <s v="Upstream"/>
    <s v="1046"/>
    <s v=""/>
    <s v=""/>
    <s v=""/>
    <s v=""/>
    <s v=""/>
    <s v=""/>
    <s v="Hours Worked"/>
    <n v="1.5"/>
    <s v="hour"/>
    <n v="88"/>
    <s v=""/>
    <n v="132"/>
    <s v="--multiple--"/>
    <s v="703517"/>
    <d v="2025-10-13T08:12:10"/>
    <s v=""/>
    <s v=""/>
    <s v=""/>
    <s v=""/>
  </r>
  <r>
    <s v="52032"/>
    <s v="Basin Trucking LLC"/>
    <x v="12"/>
    <s v="Clayton Marburger"/>
    <s v="Richard Onzures"/>
    <s v="Hauled 110 barrels of produce water from My True Love LCX to Ranger SWD 1"/>
    <s v="5051054"/>
    <s v="Upstream"/>
    <s v=""/>
    <s v="USD"/>
    <n v="214.5"/>
    <s v="Direct Entry"/>
    <s v="1"/>
    <s v="Vac Truck"/>
    <s v="Vac Truck"/>
    <s v=""/>
    <d v="2025-10-13T07:55:54"/>
    <d v="2025-10-04T15:15:00"/>
    <d v="2025-10-04T16:45:00"/>
    <d v="1899-12-30T01:30:00"/>
    <s v="MY TRUE LOVE LCX"/>
    <s v=""/>
    <s v=""/>
    <s v="vacuum"/>
    <s v=""/>
    <s v=""/>
    <s v=""/>
    <s v=""/>
    <s v=""/>
    <s v=""/>
    <s v=""/>
    <s v=""/>
    <s v=""/>
    <s v=""/>
    <s v=""/>
    <s v=""/>
    <s v=""/>
    <s v=""/>
    <s v=""/>
    <s v=""/>
    <s v=""/>
    <n v="0"/>
    <s v="bbl"/>
    <s v=""/>
    <s v=""/>
    <s v=""/>
    <s v=""/>
    <s v="8300128500"/>
    <s v="MY TRUE LOVE LCX BATTERY"/>
    <s v="Upstream"/>
    <s v="1046"/>
    <s v=""/>
    <s v=""/>
    <s v=""/>
    <s v=""/>
    <s v=""/>
    <s v=""/>
    <s v="Hours Worked"/>
    <n v="1.5"/>
    <s v="hour"/>
    <n v="88"/>
    <s v=""/>
    <n v="132"/>
    <s v="--multiple--"/>
    <s v="703517"/>
    <d v="2025-10-13T07:58:17"/>
    <s v=""/>
    <s v=""/>
    <s v=""/>
    <s v=""/>
  </r>
  <r>
    <s v="51732"/>
    <s v="Basin Trucking LLC"/>
    <x v="12"/>
    <s v="Clayton Marburger"/>
    <s v="Richard Onzures"/>
    <s v="Hauled 110 barrels of produce water from Spinks 11 to Graham SWD."/>
    <s v="5051054"/>
    <s v="Upstream"/>
    <s v=""/>
    <s v="USD"/>
    <n v="236.5"/>
    <s v="Direct Entry"/>
    <s v="1"/>
    <s v="Vac Truck"/>
    <s v="Vac Truck"/>
    <s v=""/>
    <d v="2025-10-13T07:33:22"/>
    <d v="2025-10-04T15:45:00"/>
    <d v="2025-10-04T17:30:00"/>
    <d v="1899-12-30T01:45:00"/>
    <s v="SPINKS 11 BATTERY"/>
    <s v=""/>
    <s v=""/>
    <s v="vacuum"/>
    <s v=""/>
    <s v=""/>
    <s v=""/>
    <s v=""/>
    <s v=""/>
    <s v=""/>
    <s v=""/>
    <s v=""/>
    <s v=""/>
    <s v=""/>
    <s v=""/>
    <s v=""/>
    <s v=""/>
    <s v=""/>
    <s v=""/>
    <s v=""/>
    <s v=""/>
    <n v="0"/>
    <s v="bbl"/>
    <s v=""/>
    <s v=""/>
    <s v=""/>
    <s v=""/>
    <s v="8300153600"/>
    <s v="SPINKS 11 BATTERY"/>
    <s v="Upstream"/>
    <s v="1046"/>
    <s v=""/>
    <s v=""/>
    <s v=""/>
    <s v=""/>
    <s v=""/>
    <s v=""/>
    <s v="Hours Worked"/>
    <n v="1.75"/>
    <s v="hour"/>
    <n v="88"/>
    <s v=""/>
    <n v="154"/>
    <s v="--multiple--"/>
    <s v="703517"/>
    <d v="2025-10-13T07:35:13"/>
    <s v=""/>
    <s v=""/>
    <s v=""/>
    <s v=""/>
  </r>
  <r>
    <s v="52033"/>
    <s v="Basin Trucking LLC"/>
    <x v="12"/>
    <s v="Clayton Marburger"/>
    <s v="Richard Onzures"/>
    <s v="Hauled 110 barrels of produce water from Koonce 2 to Graham SWD."/>
    <s v="5051054"/>
    <s v="Upstream"/>
    <s v=""/>
    <s v="USD"/>
    <n v="258.5"/>
    <s v="Direct Entry"/>
    <s v="1"/>
    <s v="Vac Truck"/>
    <s v="Vac Truck"/>
    <s v=""/>
    <d v="2025-10-13T08:13:13"/>
    <d v="2025-10-04T16:45:00"/>
    <d v="2025-10-04T18:45:00"/>
    <d v="1899-12-30T02:00:00"/>
    <s v="KOONCE 2"/>
    <s v=""/>
    <s v=""/>
    <s v="vacuum"/>
    <s v=""/>
    <s v=""/>
    <s v=""/>
    <s v=""/>
    <s v=""/>
    <s v=""/>
    <s v=""/>
    <s v=""/>
    <s v=""/>
    <s v=""/>
    <s v=""/>
    <s v=""/>
    <s v=""/>
    <s v=""/>
    <s v=""/>
    <s v=""/>
    <s v=""/>
    <n v="0"/>
    <s v="bbl"/>
    <s v=""/>
    <s v=""/>
    <s v=""/>
    <s v=""/>
    <s v="8300118200"/>
    <s v="KOONCE 2 BATTERY"/>
    <s v="Upstream"/>
    <s v="1046"/>
    <s v=""/>
    <s v=""/>
    <s v=""/>
    <s v=""/>
    <s v=""/>
    <s v=""/>
    <s v="Hours Worked"/>
    <n v="2"/>
    <s v="hour"/>
    <n v="88"/>
    <s v=""/>
    <n v="176"/>
    <s v="--multiple--"/>
    <s v="703517"/>
    <d v="2025-10-13T08:17:49"/>
    <s v=""/>
    <s v=""/>
    <s v=""/>
    <s v=""/>
  </r>
  <r>
    <s v="52034"/>
    <s v="Basin Trucking LLC"/>
    <x v="12"/>
    <s v="Clayton Marburger"/>
    <s v="Richard Onzures"/>
    <s v="Hauled 110 barrels of produce water from My True Love LCX to Graham SWD."/>
    <s v="5051054"/>
    <s v="Upstream"/>
    <s v=""/>
    <s v="USD"/>
    <n v="214.5"/>
    <s v="Direct Entry"/>
    <s v="1"/>
    <s v="Vac Truck"/>
    <s v="Vac Truck"/>
    <s v=""/>
    <d v="2025-10-13T07:47:42"/>
    <d v="2025-10-05T06:15:00"/>
    <d v="2025-10-05T07:45:00"/>
    <d v="1899-12-30T01:30:00"/>
    <s v="MY TRUE LOVE LCX"/>
    <s v=""/>
    <s v=""/>
    <s v="vacuum"/>
    <s v=""/>
    <s v=""/>
    <s v=""/>
    <s v=""/>
    <s v=""/>
    <s v=""/>
    <s v=""/>
    <s v=""/>
    <s v=""/>
    <s v=""/>
    <s v=""/>
    <s v=""/>
    <s v=""/>
    <s v=""/>
    <s v=""/>
    <s v=""/>
    <s v=""/>
    <n v="0"/>
    <s v="bbl"/>
    <s v=""/>
    <s v=""/>
    <s v=""/>
    <s v=""/>
    <s v="8300128500"/>
    <s v="MY TRUE LOVE LCX BATTERY"/>
    <s v="Upstream"/>
    <s v="1046"/>
    <s v=""/>
    <s v=""/>
    <s v=""/>
    <s v=""/>
    <s v=""/>
    <s v=""/>
    <s v="Hours Worked"/>
    <n v="1.5"/>
    <s v="hour"/>
    <n v="88"/>
    <s v=""/>
    <n v="132"/>
    <s v="--multiple--"/>
    <s v="703517"/>
    <d v="2025-10-13T07:50:44"/>
    <s v=""/>
    <s v=""/>
    <s v=""/>
    <s v=""/>
  </r>
  <r>
    <s v="241308"/>
    <s v="Royal Oilfield Services LLC"/>
    <x v="0"/>
    <s v="Cody Flarity"/>
    <s v="Britt Gunnels"/>
    <s v="CF, hauled 120bbls of p/w from water tank on loc to select water, fannie-boyd swd. Royal Ticket #15775"/>
    <s v="5051054"/>
    <s v="Upstream"/>
    <s v=""/>
    <s v="USD"/>
    <n v="427.5"/>
    <s v="Direct Entry"/>
    <s v="1"/>
    <s v="100001"/>
    <s v="Vacuum Truck"/>
    <s v="Vacuum Truck"/>
    <d v="2025-09-19T12:48:31"/>
    <d v="2025-09-13T12:45:00"/>
    <d v="2025-09-13T16:30:00"/>
    <d v="1899-12-30T03:45:00"/>
    <s v="Enserch-Frysak Battery"/>
    <s v=""/>
    <s v=""/>
    <s v="Produced Water"/>
    <s v=""/>
    <s v=""/>
    <s v=""/>
    <s v=""/>
    <s v=""/>
    <s v=""/>
    <s v=""/>
    <s v=""/>
    <s v=""/>
    <s v=""/>
    <s v=""/>
    <s v=""/>
    <s v=""/>
    <s v=""/>
    <s v=""/>
    <s v=""/>
    <s v=""/>
    <n v="0"/>
    <s v="bbl"/>
    <s v=""/>
    <s v=""/>
    <s v=""/>
    <s v=""/>
    <s v="8000050800"/>
    <s v="ENSERCH-FRYSAK (200) BATTERY"/>
    <s v="Upstream"/>
    <s v="1046"/>
    <s v=""/>
    <s v=""/>
    <s v=""/>
    <s v=""/>
    <s v=""/>
    <s v=""/>
    <s v="Hours Worked"/>
    <n v="3.75"/>
    <s v="hour"/>
    <n v="90"/>
    <s v=""/>
    <n v="337.5"/>
    <s v="Pricebook"/>
    <s v="703639"/>
    <d v="2025-09-30T09:26:05"/>
    <s v=""/>
    <s v=""/>
    <s v=""/>
    <s v=""/>
  </r>
  <r>
    <s v="242463"/>
    <s v="Royal Oilfield Services LLC"/>
    <x v="0"/>
    <s v="Cody Flarity"/>
    <s v="Britt Gunnels"/>
    <s v="CF - Hauled 120 bbls of produce water and unloaded at Pilot 137 SWD royal ticket # 173265"/>
    <s v="5051054"/>
    <s v="Upstream"/>
    <s v=""/>
    <s v="USD"/>
    <n v="405"/>
    <s v="Direct Entry"/>
    <s v="1"/>
    <s v="100001"/>
    <s v="Vacuum Truck"/>
    <s v="Vacuum Truck"/>
    <d v="2025-09-24T10:58:33"/>
    <d v="2025-09-13T13:15:00"/>
    <d v="2025-09-13T16:45:00"/>
    <d v="1899-12-30T03:30:00"/>
    <s v="DANIEL -28- (158) BATTERY"/>
    <s v=""/>
    <s v=""/>
    <s v="Produced Water"/>
    <s v=""/>
    <s v=""/>
    <s v=""/>
    <s v=""/>
    <s v=""/>
    <s v=""/>
    <s v=""/>
    <s v=""/>
    <s v=""/>
    <s v=""/>
    <s v=""/>
    <s v=""/>
    <s v=""/>
    <s v=""/>
    <s v=""/>
    <s v=""/>
    <s v=""/>
    <n v="0"/>
    <s v="bbl"/>
    <s v=""/>
    <s v=""/>
    <s v=""/>
    <s v=""/>
    <s v="8000051600"/>
    <s v="DANIEL -28- (158) BATTERY"/>
    <s v="Upstream"/>
    <s v="1046"/>
    <s v=""/>
    <s v=""/>
    <s v=""/>
    <s v=""/>
    <s v=""/>
    <s v=""/>
    <s v="Hours Worked"/>
    <n v="3.5"/>
    <s v="hour"/>
    <n v="90"/>
    <s v=""/>
    <n v="315"/>
    <s v="Pricebook"/>
    <s v="703639"/>
    <d v="2025-09-30T09:26:04"/>
    <s v=""/>
    <s v=""/>
    <s v=""/>
    <s v=""/>
  </r>
  <r>
    <s v="242464"/>
    <s v="Royal Oilfield Services LLC"/>
    <x v="0"/>
    <s v="Cody Flarity"/>
    <s v="Britt Gunnels"/>
    <s v="CF - Hauled 120 bbls of produced water to disposal at pilot 137 SWD royal ticket # 173267"/>
    <s v="5051054"/>
    <s v="Upstream"/>
    <s v=""/>
    <s v="USD"/>
    <n v="360"/>
    <s v="Direct Entry"/>
    <s v="1"/>
    <s v="100001"/>
    <s v="Vacuum Truck"/>
    <s v="Vacuum Truck"/>
    <d v="2025-09-24T10:41:01"/>
    <d v="2025-09-13T16:45:00"/>
    <d v="2025-09-13T19:45:00"/>
    <d v="1899-12-30T03:00:00"/>
    <s v="DANIEL -27- (157) BATTERY"/>
    <s v=""/>
    <s v=""/>
    <s v="Produced Water"/>
    <s v=""/>
    <s v=""/>
    <s v=""/>
    <s v=""/>
    <s v=""/>
    <s v=""/>
    <s v=""/>
    <s v=""/>
    <s v=""/>
    <s v=""/>
    <s v=""/>
    <s v=""/>
    <s v=""/>
    <s v=""/>
    <s v=""/>
    <s v=""/>
    <s v=""/>
    <n v="0"/>
    <s v="bbl"/>
    <s v=""/>
    <s v=""/>
    <s v=""/>
    <s v=""/>
    <s v="8000051400"/>
    <s v="DANIEL -27- (157) BATTERY"/>
    <s v="Upstream"/>
    <s v="1046"/>
    <s v=""/>
    <s v=""/>
    <s v=""/>
    <s v=""/>
    <s v=""/>
    <s v=""/>
    <s v="Hours Worked"/>
    <n v="3"/>
    <s v="hour"/>
    <n v="90"/>
    <s v=""/>
    <n v="270"/>
    <s v="Pricebook"/>
    <s v="703639"/>
    <d v="2025-09-30T09:26:03"/>
    <s v=""/>
    <s v=""/>
    <s v=""/>
    <s v=""/>
  </r>
  <r>
    <s v="241600"/>
    <s v="Royal Oilfield Services LLC"/>
    <x v="0"/>
    <s v="Cody Flarity"/>
    <s v="Britt Gunnels"/>
    <s v="CF - Hauled 80 bbls of produced water from water tank Jureck B to Pilot  137 swd. Royal Ticket # 173987"/>
    <s v="5051054"/>
    <s v="Upstream"/>
    <s v=""/>
    <s v="USD"/>
    <n v="262.5"/>
    <s v="Direct Entry"/>
    <s v="1"/>
    <s v="100001"/>
    <s v="Vacuum Truck"/>
    <s v="Vacuum Truck"/>
    <d v="2025-09-24T11:49:20"/>
    <d v="2025-09-15T06:45:00"/>
    <d v="2025-09-15T09:00:00"/>
    <d v="1899-12-30T02:15:00"/>
    <s v="JURECEK -B- 1 (377) BATTERY"/>
    <s v=""/>
    <s v=""/>
    <s v="Produced Water"/>
    <s v=""/>
    <s v=""/>
    <s v=""/>
    <s v=""/>
    <s v=""/>
    <s v=""/>
    <s v=""/>
    <s v=""/>
    <s v=""/>
    <s v=""/>
    <s v=""/>
    <s v=""/>
    <s v=""/>
    <s v=""/>
    <s v=""/>
    <s v=""/>
    <s v=""/>
    <n v="0"/>
    <s v="bbl"/>
    <s v=""/>
    <s v=""/>
    <s v=""/>
    <s v=""/>
    <s v="8000052100"/>
    <s v="JURECEK -B- 1 (377) BATTERY"/>
    <s v="Upstream"/>
    <s v="1046"/>
    <s v=""/>
    <s v=""/>
    <s v=""/>
    <s v=""/>
    <s v=""/>
    <s v=""/>
    <s v="Hours Worked"/>
    <n v="2.25"/>
    <s v="hour"/>
    <n v="90"/>
    <s v=""/>
    <n v="202.5"/>
    <s v="Pricebook"/>
    <s v="703639"/>
    <d v="2025-09-30T07:40:34"/>
    <s v=""/>
    <s v=""/>
    <s v=""/>
    <s v=""/>
  </r>
  <r>
    <s v="30261"/>
    <s v="Well Solutions LLC"/>
    <x v="10"/>
    <s v="Cody Flarity"/>
    <s v="Britt Gunnels"/>
    <s v="LOAD 70 BBL PW PUMPED 70 BBL DOWN TUBING TUBING WENT INTO VAC. HOLE IN TUBING"/>
    <s v="5051057"/>
    <s v="Upstream"/>
    <s v=""/>
    <s v="USD"/>
    <n v="360.5"/>
    <s v="Direct Entry"/>
    <s v="1"/>
    <s v="10000020"/>
    <s v="Scheduled Program Hot Oil per BBL"/>
    <s v="Hot OIl"/>
    <d v="2025-10-07T13:07:48"/>
    <d v="2025-10-06T13:15:00"/>
    <d v="2025-10-06T14:45:00"/>
    <s v=""/>
    <s v=""/>
    <s v=""/>
    <s v=""/>
    <s v=""/>
    <s v=""/>
    <s v=""/>
    <s v=""/>
    <s v=""/>
    <s v=""/>
    <s v=""/>
    <s v=""/>
    <s v=""/>
    <s v=""/>
    <s v=""/>
    <s v=""/>
    <s v=""/>
    <s v=""/>
    <s v=""/>
    <s v=""/>
    <s v=""/>
    <s v=""/>
    <s v=""/>
    <s v=""/>
    <s v="Labor"/>
    <s v=""/>
    <s v=""/>
    <s v=""/>
    <s v="1000065700"/>
    <s v="DANIEL 2 3"/>
    <s v="Upstream"/>
    <s v="1046"/>
    <s v=""/>
    <s v=""/>
    <s v=""/>
    <s v=""/>
    <s v=""/>
    <s v=""/>
    <s v=""/>
    <n v="70"/>
    <s v="BBL"/>
    <n v="5.15"/>
    <s v=""/>
    <n v="360.5"/>
    <s v="--multiple--"/>
    <s v="702744"/>
    <d v="2025-10-07T13:08:56"/>
    <s v=""/>
    <s v=""/>
    <s v=""/>
    <s v=""/>
  </r>
  <r>
    <s v="N51000251238"/>
    <s v="SES Holdings, LLC"/>
    <x v="5"/>
    <s v="Connor Gesell"/>
    <s v="Mark Ramos"/>
    <s v="SIMMS 30-18 H 8WA; Pressure Services; Mark Ramos"/>
    <s v="5051057"/>
    <s v="Upstream"/>
    <s v=""/>
    <s v="USD"/>
    <n v="425"/>
    <s v=""/>
    <s v="1"/>
    <s v="11-1327HRS"/>
    <s v="TPP-Pressure Truck-Well Control (101)"/>
    <s v="Other"/>
    <d v="2025-10-08T17:10:19"/>
    <d v="2025-09-16T11:00:00"/>
    <d v="2025-09-16T14:00:00"/>
    <d v="1899-12-30T03:00:00"/>
    <s v="SIMMS 30-18 H 8WA"/>
    <s v=""/>
    <s v=""/>
    <s v="Fresh Water"/>
    <s v=""/>
    <s v=""/>
    <s v=""/>
    <s v=""/>
    <n v="0"/>
    <n v="0"/>
    <n v="0"/>
    <n v="0"/>
    <s v=""/>
    <s v=""/>
    <s v=""/>
    <s v=""/>
    <s v=""/>
    <s v=""/>
    <s v=""/>
    <s v=""/>
    <s v=""/>
    <n v="0"/>
    <s v="bbl"/>
    <s v=""/>
    <s v=""/>
    <s v=""/>
    <s v=""/>
    <s v="1000684000"/>
    <s v="SIMMS 30-18 H 8WA"/>
    <s v="Upstream"/>
    <s v="1046"/>
    <s v=""/>
    <s v=""/>
    <s v=""/>
    <s v=""/>
    <s v=""/>
    <s v=""/>
    <s v="Other"/>
    <n v="3"/>
    <s v="HRS"/>
    <n v="115"/>
    <s v=""/>
    <n v="345"/>
    <s v="--multiple--"/>
    <s v="700224"/>
    <d v="2025-10-08T17:10:19"/>
    <s v=""/>
    <s v=""/>
    <s v=""/>
    <s v=""/>
  </r>
  <r>
    <s v="N51000250558"/>
    <s v="SES Holdings, LLC"/>
    <x v="0"/>
    <s v="Connor Gesell"/>
    <s v="Mark Ramos"/>
    <s v="SIMMS 30-18 K 12WA; HOURLY; Mark Ramos"/>
    <s v="5051057"/>
    <s v="Upstream"/>
    <s v=""/>
    <s v="USD"/>
    <n v="597.5"/>
    <s v=""/>
    <s v="1"/>
    <s v="11-4108HRS"/>
    <s v="TPP-Pump Fluid Down Tubing/Flow Line"/>
    <s v="Other"/>
    <d v="2025-09-29T14:31:15"/>
    <d v="2025-09-25T10:30:00"/>
    <d v="2025-09-25T15:00:00"/>
    <d v="1899-12-30T04:30:00"/>
    <s v="SIMMS 30-18 K 12WA"/>
    <s v="33635"/>
    <s v=""/>
    <s v="Fresh Water"/>
    <s v=""/>
    <s v=""/>
    <s v=""/>
    <s v=""/>
    <n v="0"/>
    <n v="0"/>
    <n v="0"/>
    <n v="0"/>
    <s v=""/>
    <s v=""/>
    <s v=""/>
    <s v=""/>
    <s v=""/>
    <s v=""/>
    <s v=""/>
    <s v=""/>
    <s v=""/>
    <n v="0"/>
    <s v="bbl"/>
    <s v=""/>
    <s v=""/>
    <s v=""/>
    <s v=""/>
    <s v="1000684300"/>
    <s v="SIMMS 30-18 K 12WA"/>
    <s v="Upstream"/>
    <s v="1046"/>
    <s v=""/>
    <s v=""/>
    <s v=""/>
    <s v=""/>
    <s v=""/>
    <s v=""/>
    <s v="Other"/>
    <n v="4.5"/>
    <s v="HRS"/>
    <n v="115"/>
    <s v=""/>
    <n v="517.5"/>
    <s v="--multiple--"/>
    <s v="700224"/>
    <d v="2025-09-29T14:31:15"/>
    <s v=""/>
    <s v=""/>
    <s v=""/>
    <s v=""/>
  </r>
  <r>
    <s v="G5565132"/>
    <s v="Unbridled Oil Field Services LLC"/>
    <x v="1"/>
    <s v="Daniel Flores"/>
    <s v="Joshua Bales"/>
    <s v="provided vac truck to haul 120.4bbls from Schuelke 28 to robinson swd"/>
    <s v="5051054"/>
    <s v="Upstream"/>
    <s v=""/>
    <s v="USD"/>
    <n v="198.66"/>
    <s v="API"/>
    <s v="1"/>
    <s v="Produced Water"/>
    <s v="Production-Production"/>
    <s v=""/>
    <d v="2025-08-28T04:34:58"/>
    <d v="2025-08-22T07:11:00"/>
    <d v="2025-08-22T09:02:00"/>
    <d v="1899-12-30T01:50:00"/>
    <s v="SCHUELKE 28 BATTERY"/>
    <s v="016726"/>
    <s v="ROBINSON 6 1D SWD BATTERY"/>
    <s v="Produced Water"/>
    <s v=""/>
    <s v=""/>
    <s v=""/>
    <s v=""/>
    <s v=""/>
    <s v=""/>
    <s v=""/>
    <s v=""/>
    <n v="0"/>
    <n v="0"/>
    <n v="0"/>
    <n v="0"/>
    <s v=""/>
    <s v=""/>
    <s v=""/>
    <s v=""/>
    <s v="ft"/>
    <n v="120.4"/>
    <s v="bbl"/>
    <s v=""/>
    <s v=""/>
    <s v=""/>
    <s v=""/>
    <s v="8000036000"/>
    <s v="SCHUELKE 28 BATTERY"/>
    <s v="Upstream"/>
    <s v="1046"/>
    <s v=""/>
    <s v=""/>
    <s v=""/>
    <s v=""/>
    <s v=""/>
    <s v=""/>
    <s v="Other"/>
    <n v="120.4"/>
    <s v="BBL"/>
    <n v="1.65"/>
    <s v=""/>
    <n v="198.66"/>
    <s v="--multiple--"/>
    <s v="702964"/>
    <d v="2025-10-07T13:14:06"/>
    <s v=""/>
    <s v=""/>
    <s v=""/>
    <s v=""/>
  </r>
  <r>
    <s v="282306"/>
    <s v="LONG STAR TRUCKING &amp; FIELD SERVICES"/>
    <x v="7"/>
    <s v="Daniel Flores"/>
    <s v="Joshua Bales"/>
    <s v="ADAMS UNIT 1-----DRIVE TO LOCATION TO HAUL PRODUCE WATER TO SWD IN THE FIRST LOAD BEFORE I GO TO SWD. I WENT TO BATTERY TO HELP A CREW TO EMPTY OUT A LINE, IT JUST TOOK ME 15 MINUTES"/>
    <s v="5051057"/>
    <s v="Upstream"/>
    <s v=""/>
    <s v="USD"/>
    <n v="1044.1500000000001"/>
    <s v="Direct Entry"/>
    <s v="1"/>
    <s v="vac w dr"/>
    <s v="Vacuum truck with driver"/>
    <s v=""/>
    <d v="2025-10-04T08:14:57"/>
    <d v="2025-09-22T06:30:00"/>
    <d v="2025-09-22T14:15:00"/>
    <d v="1899-12-30T07:45:00"/>
    <s v="ADAMS UNIT 1"/>
    <s v=""/>
    <s v=""/>
    <s v="DISPOSAL"/>
    <s v=""/>
    <s v=""/>
    <s v=""/>
    <s v=""/>
    <s v=""/>
    <s v=""/>
    <s v=""/>
    <s v=""/>
    <s v=""/>
    <s v=""/>
    <s v=""/>
    <s v=""/>
    <s v=""/>
    <s v=""/>
    <s v=""/>
    <s v=""/>
    <s v=""/>
    <n v="0"/>
    <s v="bbl"/>
    <s v=""/>
    <s v=""/>
    <s v=""/>
    <s v=""/>
    <s v="1000535700"/>
    <s v="ADAMS UNIT 1"/>
    <s v="Upstream"/>
    <s v="1046"/>
    <s v=""/>
    <s v=""/>
    <s v=""/>
    <s v=""/>
    <s v=""/>
    <s v=""/>
    <s v="Other"/>
    <n v="7.75"/>
    <s v="HR"/>
    <n v="93"/>
    <s v=""/>
    <n v="720.75"/>
    <s v="Pricebook"/>
    <s v="708304"/>
    <d v="2025-10-09T07:43:18"/>
    <s v=""/>
    <s v=""/>
    <s v="Electronic Field Ticket Issue"/>
    <s v=""/>
  </r>
  <r>
    <s v="282307"/>
    <s v="LONG STAR TRUCKING &amp; FIELD SERVICES"/>
    <x v="1"/>
    <s v="Daniel Flores"/>
    <s v="Joshua Bales"/>
    <s v="REED UNIT H BATTERY---drive to location to pick up a water spill around transfer pumps. Drive back to yard"/>
    <s v="5051057"/>
    <s v="Upstream"/>
    <s v=""/>
    <s v="USD"/>
    <n v="395.25"/>
    <s v="Direct Entry"/>
    <s v="1"/>
    <s v="vac w dr"/>
    <s v="Vacuum truck with driver"/>
    <s v=""/>
    <d v="2025-10-04T08:28:02"/>
    <d v="2025-09-22T14:15:00"/>
    <d v="2025-09-22T18:30:00"/>
    <d v="1899-12-30T04:15:00"/>
    <s v="REED UNIT H BATTERY"/>
    <s v=""/>
    <s v=""/>
    <s v="DISPOSAL"/>
    <s v=""/>
    <s v=""/>
    <s v=""/>
    <s v=""/>
    <s v=""/>
    <s v=""/>
    <s v=""/>
    <s v=""/>
    <s v=""/>
    <s v=""/>
    <s v=""/>
    <s v=""/>
    <s v=""/>
    <s v=""/>
    <s v=""/>
    <s v=""/>
    <s v=""/>
    <n v="0"/>
    <s v="bbl"/>
    <s v=""/>
    <s v=""/>
    <s v=""/>
    <s v=""/>
    <s v="8000028100"/>
    <s v="REED UNIT H BATTERY"/>
    <s v="Upstream"/>
    <s v="1046"/>
    <s v=""/>
    <s v=""/>
    <s v=""/>
    <s v=""/>
    <s v=""/>
    <s v=""/>
    <s v="Other"/>
    <n v="4.25"/>
    <s v="HR"/>
    <n v="93"/>
    <s v=""/>
    <n v="395.25"/>
    <s v="Pricebook"/>
    <s v="708304"/>
    <d v="2025-10-07T11:22:03"/>
    <s v=""/>
    <s v=""/>
    <s v=""/>
    <s v=""/>
  </r>
  <r>
    <s v="282309"/>
    <s v="LONG STAR TRUCKING &amp; FIELD SERVICES"/>
    <x v="7"/>
    <s v="Daniel Flores"/>
    <s v="Joshua Bales"/>
    <s v="GRANTHAM 12 B BATTERY----DROVE TO LOCATION TO PULL BOTTOMS FRO OIL TANK #1 AND HAUL THE FLUID TO SWD"/>
    <s v="5051054"/>
    <s v="Upstream"/>
    <s v=""/>
    <s v="USD"/>
    <n v="268.05"/>
    <s v="Direct Entry"/>
    <s v="1"/>
    <s v="vac w dr"/>
    <s v="Vacuum truck with driver"/>
    <s v=""/>
    <d v="2025-10-08T07:04:58"/>
    <d v="2025-09-23T08:45:00"/>
    <d v="2025-09-23T11:00:00"/>
    <d v="1899-12-30T02:15:00"/>
    <s v="GRANTHAM 12 B BATTERY"/>
    <s v=""/>
    <s v=""/>
    <s v="DISPOSAL"/>
    <s v=""/>
    <s v=""/>
    <s v=""/>
    <s v=""/>
    <s v=""/>
    <s v=""/>
    <s v=""/>
    <s v=""/>
    <s v=""/>
    <s v=""/>
    <s v=""/>
    <s v=""/>
    <s v=""/>
    <s v=""/>
    <s v=""/>
    <s v=""/>
    <s v=""/>
    <n v="0"/>
    <s v="bbl"/>
    <s v=""/>
    <s v=""/>
    <s v=""/>
    <s v=""/>
    <s v="8000027300"/>
    <s v="GRANTHAM 12 B BATTERY"/>
    <s v="Upstream"/>
    <s v="1046"/>
    <s v=""/>
    <s v=""/>
    <s v=""/>
    <s v=""/>
    <s v=""/>
    <s v=""/>
    <s v="Other"/>
    <n v="2.25"/>
    <s v="HR"/>
    <n v="93"/>
    <s v=""/>
    <n v="209.25"/>
    <s v="Pricebook"/>
    <s v="708304"/>
    <d v="2025-10-14T08:10:48"/>
    <s v=""/>
    <s v=""/>
    <s v="Ticket Header Error"/>
    <s v=""/>
  </r>
  <r>
    <s v="282284"/>
    <s v="LONG STAR TRUCKING &amp; FIELD SERVICES"/>
    <x v="7"/>
    <s v="Daniel Flores"/>
    <s v="Joshua Bales"/>
    <s v="WH 48 NORTH BATTERY----DROVE TO LOCATION TO PICK UP RAIN WATER AND HAUL IT TO DISPOSAL. DROVE BACK TO YARD"/>
    <s v="5051054"/>
    <s v="Upstream"/>
    <s v=""/>
    <s v="USD"/>
    <n v="456.55"/>
    <s v="Direct Entry"/>
    <s v="1"/>
    <s v="vac w dr"/>
    <s v="Vacuum truck with driver"/>
    <s v=""/>
    <d v="2025-10-08T13:51:39"/>
    <d v="2025-09-27T15:00:00"/>
    <d v="2025-09-27T18:45:00"/>
    <d v="1899-12-30T03:45:00"/>
    <s v="WH 48 NORTH BATTERY"/>
    <s v=""/>
    <s v=""/>
    <s v="DISPOSAL"/>
    <s v=""/>
    <s v=""/>
    <s v=""/>
    <s v=""/>
    <s v=""/>
    <s v=""/>
    <s v=""/>
    <s v=""/>
    <s v=""/>
    <s v=""/>
    <s v=""/>
    <s v=""/>
    <s v=""/>
    <s v=""/>
    <s v=""/>
    <s v=""/>
    <s v=""/>
    <n v="0"/>
    <s v="bbl"/>
    <s v=""/>
    <s v=""/>
    <s v=""/>
    <s v=""/>
    <s v="8000027200"/>
    <s v="W H 48 BATTERY"/>
    <s v="Upstream"/>
    <s v="1046"/>
    <s v=""/>
    <s v=""/>
    <s v=""/>
    <s v=""/>
    <s v=""/>
    <s v=""/>
    <s v="Other"/>
    <n v="3.75"/>
    <s v="HR"/>
    <n v="93"/>
    <s v=""/>
    <n v="348.75"/>
    <s v="Pricebook"/>
    <s v="708304"/>
    <d v="2025-10-14T08:17:15"/>
    <s v=""/>
    <s v=""/>
    <s v="Altered or Handwritten"/>
    <s v=""/>
  </r>
  <r>
    <s v="282285"/>
    <s v="LONG STAR TRUCKING &amp; FIELD SERVICES"/>
    <x v="7"/>
    <s v="Daniel Flores"/>
    <s v="Joshua Bales"/>
    <s v="HORNED FROG H BATTERY----PRE TRIP INSPECTION AT YARD DROVE TO LOCATION TO PICK UP RAIN WATER"/>
    <s v="5051057"/>
    <s v="Upstream"/>
    <s v=""/>
    <s v="USD"/>
    <n v="395.25"/>
    <s v="Direct Entry"/>
    <s v="1"/>
    <s v="vac w dr"/>
    <s v="Vacuum truck with driver"/>
    <s v=""/>
    <d v="2025-10-13T13:05:14"/>
    <d v="2025-09-29T06:00:00"/>
    <d v="2025-09-29T10:15:00"/>
    <d v="1899-12-30T04:15:00"/>
    <s v="HORNED FROG H BATTERY"/>
    <s v=""/>
    <s v=""/>
    <s v="DISPOSAL"/>
    <s v=""/>
    <s v=""/>
    <s v=""/>
    <s v=""/>
    <s v=""/>
    <s v=""/>
    <s v=""/>
    <s v=""/>
    <s v=""/>
    <s v=""/>
    <s v=""/>
    <s v=""/>
    <s v=""/>
    <s v=""/>
    <s v=""/>
    <s v=""/>
    <s v=""/>
    <n v="0"/>
    <s v="bbl"/>
    <s v=""/>
    <s v=""/>
    <s v=""/>
    <s v=""/>
    <s v="8000119000"/>
    <s v="HORNED FROG H BATTERY"/>
    <s v="Upstream"/>
    <s v="1046"/>
    <s v=""/>
    <s v=""/>
    <s v=""/>
    <s v=""/>
    <s v=""/>
    <s v=""/>
    <s v="Other"/>
    <n v="4.25"/>
    <s v="HR"/>
    <n v="93"/>
    <s v=""/>
    <n v="395.25"/>
    <s v="Pricebook"/>
    <s v="708304"/>
    <d v="2025-10-13T14:39:58"/>
    <s v=""/>
    <s v=""/>
    <s v=""/>
    <s v=""/>
  </r>
  <r>
    <s v="282286"/>
    <s v="LONG STAR TRUCKING &amp; FIELD SERVICES"/>
    <x v="7"/>
    <s v="Daniel Flores"/>
    <s v="Joshua Bales"/>
    <s v="PHILLIPS 39 -------DROVE TO LOCATION TO UNPLUG THE OIL LINE FROM THE OIL TANK ON THE BATTERY"/>
    <s v="5051057"/>
    <s v="Upstream"/>
    <s v=""/>
    <s v="USD"/>
    <n v="186"/>
    <s v="Direct Entry"/>
    <s v="1"/>
    <s v="vac w dr"/>
    <s v="Vacuum truck with driver"/>
    <s v=""/>
    <d v="2025-10-13T13:07:52"/>
    <d v="2025-09-29T10:15:00"/>
    <d v="2025-09-29T12:15:00"/>
    <d v="1899-12-30T02:00:00"/>
    <s v="HORNED FROG H BATTERY"/>
    <s v=""/>
    <s v=""/>
    <s v="DISPOSAL"/>
    <s v=""/>
    <s v=""/>
    <s v=""/>
    <s v=""/>
    <s v=""/>
    <s v=""/>
    <s v=""/>
    <s v=""/>
    <s v=""/>
    <s v=""/>
    <s v=""/>
    <s v=""/>
    <s v=""/>
    <s v=""/>
    <s v=""/>
    <s v=""/>
    <s v=""/>
    <n v="0"/>
    <s v="bbl"/>
    <s v=""/>
    <s v=""/>
    <s v=""/>
    <s v=""/>
    <s v="1000559500"/>
    <s v="PHILLIPS 39 2"/>
    <s v="Upstream"/>
    <s v="1046"/>
    <s v=""/>
    <s v=""/>
    <s v=""/>
    <s v=""/>
    <s v=""/>
    <s v=""/>
    <s v="Other"/>
    <n v="2"/>
    <s v="HR"/>
    <n v="93"/>
    <s v=""/>
    <n v="186"/>
    <s v="Pricebook"/>
    <s v="708304"/>
    <d v="2025-10-13T13:09:17"/>
    <s v=""/>
    <s v=""/>
    <s v=""/>
    <s v=""/>
  </r>
  <r>
    <s v="282287"/>
    <s v="LONG STAR TRUCKING &amp; FIELD SERVICES"/>
    <x v="7"/>
    <s v="Daniel Flores"/>
    <s v="Joshua Bales"/>
    <s v="BLACK PERAL 11-14 UNIT 1 231--DROVE TO LOCATION TO PICK UP A SPILL"/>
    <s v="5051057"/>
    <s v="Upstream"/>
    <s v=""/>
    <s v="USD"/>
    <n v="93"/>
    <s v="Direct Entry"/>
    <s v="1"/>
    <s v="vac w dr"/>
    <s v="Vacuum truck with driver"/>
    <s v=""/>
    <d v="2025-10-13T11:26:39"/>
    <d v="2025-09-29T12:15:00"/>
    <d v="2025-09-29T13:15:00"/>
    <d v="1899-12-30T01:00:00"/>
    <s v="BLACK PERAL 11-14 UNIT 1 231"/>
    <s v=""/>
    <s v=""/>
    <s v="DISPOSAL"/>
    <s v=""/>
    <s v=""/>
    <s v=""/>
    <s v=""/>
    <s v=""/>
    <s v=""/>
    <s v=""/>
    <s v=""/>
    <s v=""/>
    <s v=""/>
    <s v=""/>
    <s v=""/>
    <s v=""/>
    <s v=""/>
    <s v=""/>
    <s v=""/>
    <s v=""/>
    <n v="0"/>
    <s v="bbl"/>
    <s v=""/>
    <s v=""/>
    <s v=""/>
    <s v=""/>
    <s v="1001418200"/>
    <s v="BLACK PEARL 11-14 UNIT 1 231"/>
    <s v="Upstream"/>
    <s v="1046"/>
    <s v=""/>
    <s v=""/>
    <s v=""/>
    <s v=""/>
    <s v=""/>
    <s v=""/>
    <s v="Other"/>
    <n v="1"/>
    <s v="HR"/>
    <n v="93"/>
    <s v=""/>
    <n v="93"/>
    <s v="Pricebook"/>
    <s v="708304"/>
    <d v="2025-10-13T12:59:55"/>
    <s v=""/>
    <s v=""/>
    <s v=""/>
    <s v=""/>
  </r>
  <r>
    <s v="282296"/>
    <s v="LONG STAR TRUCKING &amp; FIELD SERVICES"/>
    <x v="7"/>
    <s v="Daniel Flores"/>
    <s v="Joshua Bales"/>
    <s v="COBRA NORTH H BATTERY----DROVE TO LOCATION TO HELP WASH. DRIVE TO PICK UP THE WATER."/>
    <s v="5051057"/>
    <s v="Upstream"/>
    <s v=""/>
    <s v="USD"/>
    <n v="279"/>
    <s v="Direct Entry"/>
    <s v="1"/>
    <s v="vac w dr"/>
    <s v="Vacuum truck with driver"/>
    <s v=""/>
    <d v="2025-10-13T13:48:25"/>
    <d v="2025-10-02T11:15:00"/>
    <d v="2025-10-02T14:15:00"/>
    <d v="1899-12-30T03:00:00"/>
    <s v="COBRA NORTH H BATTERY"/>
    <s v=""/>
    <s v=""/>
    <s v="DISPOSAL"/>
    <s v=""/>
    <s v=""/>
    <s v=""/>
    <s v=""/>
    <s v=""/>
    <s v=""/>
    <s v=""/>
    <s v=""/>
    <s v=""/>
    <s v=""/>
    <s v=""/>
    <s v=""/>
    <s v=""/>
    <s v=""/>
    <s v=""/>
    <s v=""/>
    <s v=""/>
    <n v="0"/>
    <s v="bbl"/>
    <s v=""/>
    <s v=""/>
    <s v=""/>
    <s v=""/>
    <s v="8000027100"/>
    <s v="COBRA NORTH H BATTERY"/>
    <s v="Upstream"/>
    <s v="1046"/>
    <s v=""/>
    <s v=""/>
    <s v=""/>
    <s v=""/>
    <s v=""/>
    <s v=""/>
    <s v="Other"/>
    <n v="3"/>
    <s v="HR"/>
    <n v="93"/>
    <s v=""/>
    <n v="279"/>
    <s v="Pricebook"/>
    <s v="708304"/>
    <d v="2025-10-13T13:55:09"/>
    <s v=""/>
    <s v=""/>
    <s v=""/>
    <s v=""/>
  </r>
  <r>
    <s v="282297"/>
    <s v="LONG STAR TRUCKING &amp; FIELD SERVICES"/>
    <x v="7"/>
    <s v="Daniel Flores"/>
    <s v="Joshua Bales"/>
    <s v="BROWN 23  #1----DROVE TO LOCATION TO PULL BOTTOMS FROM OIL TANK. HAUL FLUID TO DISPOSAL. DROVE BACK TO YARD."/>
    <s v="5051054"/>
    <s v="Upstream"/>
    <s v=""/>
    <s v="USD"/>
    <n v="465"/>
    <s v="Direct Entry"/>
    <s v="1"/>
    <s v="vac w dr"/>
    <s v="Vacuum truck with driver"/>
    <s v=""/>
    <d v="2025-10-13T13:40:25"/>
    <d v="2025-10-02T14:15:00"/>
    <d v="2025-10-02T19:15:00"/>
    <d v="1899-12-30T05:00:00"/>
    <s v="BROWN 23  #1"/>
    <s v=""/>
    <s v=""/>
    <s v="DISPOSAL"/>
    <s v=""/>
    <s v=""/>
    <s v=""/>
    <s v=""/>
    <s v=""/>
    <s v=""/>
    <s v=""/>
    <s v=""/>
    <s v=""/>
    <s v=""/>
    <s v=""/>
    <s v=""/>
    <s v=""/>
    <s v=""/>
    <s v=""/>
    <s v=""/>
    <s v=""/>
    <n v="0"/>
    <s v="bbl"/>
    <s v=""/>
    <s v=""/>
    <s v=""/>
    <s v=""/>
    <s v="1000555100"/>
    <s v="BROWN 23 1"/>
    <s v="Upstream"/>
    <s v="1046"/>
    <s v=""/>
    <s v=""/>
    <s v=""/>
    <s v=""/>
    <s v=""/>
    <s v=""/>
    <s v="Other"/>
    <n v="5"/>
    <s v="HR"/>
    <n v="93"/>
    <s v=""/>
    <n v="465"/>
    <s v="Pricebook"/>
    <s v="708304"/>
    <d v="2025-10-13T13:42:14"/>
    <s v=""/>
    <s v=""/>
    <s v=""/>
    <s v=""/>
  </r>
  <r>
    <s v="282298"/>
    <s v="LONG STAR TRUCKING &amp; FIELD SERVICES"/>
    <x v="7"/>
    <s v="Daniel Flores"/>
    <s v="Joshua Bales"/>
    <s v="COBRA NORTH H BATTERY---PRE TRIP INSPECITON AT YARD. DROVE TO LOCATION TO TRANSFER FLUIDS IN LOCATION"/>
    <s v="5051057"/>
    <s v="Upstream"/>
    <s v=""/>
    <s v="USD"/>
    <n v="372"/>
    <s v="Direct Entry"/>
    <s v="1"/>
    <s v="vac w dr"/>
    <s v="Vacuum truck with driver"/>
    <s v=""/>
    <d v="2025-10-13T15:30:40"/>
    <d v="2025-10-03T06:00:00"/>
    <d v="2025-10-03T10:00:00"/>
    <d v="1899-12-30T04:00:00"/>
    <s v="COBRA NORTH H BATTERY"/>
    <s v=""/>
    <s v=""/>
    <s v="DISPOSAL"/>
    <s v=""/>
    <s v=""/>
    <s v=""/>
    <s v=""/>
    <s v=""/>
    <s v=""/>
    <s v=""/>
    <s v=""/>
    <s v=""/>
    <s v=""/>
    <s v=""/>
    <s v=""/>
    <s v=""/>
    <s v=""/>
    <s v=""/>
    <s v=""/>
    <s v=""/>
    <n v="0"/>
    <s v="bbl"/>
    <s v=""/>
    <s v=""/>
    <s v=""/>
    <s v=""/>
    <s v="8000027100"/>
    <s v="COBRA NORTH H BATTERY"/>
    <s v="Upstream"/>
    <s v="1046"/>
    <s v=""/>
    <s v=""/>
    <s v=""/>
    <s v=""/>
    <s v=""/>
    <s v=""/>
    <s v="Other"/>
    <n v="4"/>
    <s v="HR"/>
    <n v="93"/>
    <s v=""/>
    <n v="372"/>
    <s v="Pricebook"/>
    <s v="708304"/>
    <d v="2025-10-13T15:32:41"/>
    <s v=""/>
    <s v=""/>
    <s v=""/>
    <s v=""/>
  </r>
  <r>
    <s v="282299"/>
    <s v="LONG STAR TRUCKING &amp; FIELD SERVICES"/>
    <x v="7"/>
    <s v="Daniel Flores"/>
    <s v="Joshua Bales"/>
    <s v="ADAMS UNIT 1-------DROVE TO LOCATION TO HAUL PRODUCE  WATER TO DISPOSAL. NOTE ON MY WAY TO LOCATION I WENT  TO SNELL LEASE TO MEET THE PUMPER AND THEN DROVE TO ADAMS. ON DISPOSAL OVERFLOW COULDNT UNLOAD  BECAUSE HAD HIGH LEVELS. WENT TO VELOCITY RIGHT  NEXT TO IT"/>
    <s v="5051057"/>
    <s v="Upstream"/>
    <s v=""/>
    <s v="USD"/>
    <n v="889.85"/>
    <s v="Direct Entry"/>
    <s v="1"/>
    <s v="vac w dr"/>
    <s v="Vacuum truck with driver"/>
    <s v=""/>
    <d v="2025-10-13T15:06:30"/>
    <d v="2025-10-03T10:00:00"/>
    <d v="2025-10-03T17:15:00"/>
    <d v="1899-12-30T07:15:00"/>
    <s v="ADAMS UNIT 1"/>
    <s v=""/>
    <s v=""/>
    <s v="DISPOSAL"/>
    <s v=""/>
    <s v=""/>
    <s v=""/>
    <s v=""/>
    <s v=""/>
    <s v=""/>
    <s v=""/>
    <s v=""/>
    <s v=""/>
    <s v=""/>
    <s v=""/>
    <s v=""/>
    <s v=""/>
    <s v=""/>
    <s v=""/>
    <s v=""/>
    <s v=""/>
    <n v="0"/>
    <s v="bbl"/>
    <s v=""/>
    <s v=""/>
    <s v=""/>
    <s v=""/>
    <s v="1000535700"/>
    <s v="ADAMS UNIT 1"/>
    <s v="Upstream"/>
    <s v="1046"/>
    <s v=""/>
    <s v=""/>
    <s v=""/>
    <s v=""/>
    <s v=""/>
    <s v=""/>
    <s v="Other"/>
    <n v="7.25"/>
    <s v="HR"/>
    <n v="93"/>
    <s v=""/>
    <n v="674.25"/>
    <s v="Pricebook"/>
    <s v="708304"/>
    <d v="2025-10-13T15:19:18"/>
    <s v=""/>
    <s v=""/>
    <s v=""/>
    <s v=""/>
  </r>
  <r>
    <s v="282126"/>
    <s v="LONG STAR TRUCKING &amp; FIELD SERVICES"/>
    <x v="7"/>
    <s v="Daniel Flores"/>
    <s v="Joshua Bales"/>
    <s v="DROVE TO LOCATION TO TRANSFER FLUID IN LOCATION. DROVE BACK TO THE YARD"/>
    <s v="5051057"/>
    <s v="Upstream"/>
    <s v=""/>
    <s v="USD"/>
    <n v="651"/>
    <s v="Direct Entry"/>
    <s v="1"/>
    <s v="vac w dr"/>
    <s v="Vacuum truck with driver"/>
    <s v=""/>
    <d v="2025-10-13T10:46:28"/>
    <d v="2025-10-04T11:30:00"/>
    <d v="2025-10-04T18:30:00"/>
    <d v="1899-12-30T07:00:00"/>
    <s v="COBRA NORTH H BATTERY"/>
    <s v=""/>
    <s v=""/>
    <s v="DISPOSAL"/>
    <s v=""/>
    <s v=""/>
    <s v=""/>
    <s v=""/>
    <s v=""/>
    <s v=""/>
    <s v=""/>
    <s v=""/>
    <s v=""/>
    <s v=""/>
    <s v=""/>
    <s v=""/>
    <s v=""/>
    <s v=""/>
    <s v=""/>
    <s v=""/>
    <s v=""/>
    <n v="0"/>
    <s v="bbl"/>
    <s v=""/>
    <s v=""/>
    <s v=""/>
    <s v=""/>
    <s v="8000027100"/>
    <s v="COBRA NORTH H BATTERY"/>
    <s v="Upstream"/>
    <s v="1046"/>
    <s v=""/>
    <s v=""/>
    <s v=""/>
    <s v=""/>
    <s v=""/>
    <s v=""/>
    <s v="Other"/>
    <n v="7"/>
    <s v="HR"/>
    <n v="93"/>
    <s v=""/>
    <n v="651"/>
    <s v="Pricebook"/>
    <s v="708304"/>
    <d v="2025-10-13T10:48:13"/>
    <s v=""/>
    <s v=""/>
    <s v=""/>
    <s v=""/>
  </r>
  <r>
    <s v="125735"/>
    <s v="Jody's Oilfield Service, Inc."/>
    <x v="7"/>
    <s v="Daniel Flores"/>
    <s v="Joshua Bales"/>
    <s v="DANIEL FLORES_x000a_PUMPED 65 GAL OF CHEM &amp; 40 BBLS COLD_x000a_WATER DOWN TBG AND SHUT WELL IN"/>
    <s v="5051057"/>
    <s v="Upstream"/>
    <s v=""/>
    <s v="USD"/>
    <n v="135"/>
    <s v="Direct Entry"/>
    <s v="1"/>
    <s v=".HOURLY"/>
    <s v="HOURLY WORK (HOT OIL)"/>
    <s v="Drilling Services, Exploration, &amp; Wellwork"/>
    <d v="2025-10-10T12:00:27"/>
    <d v="2025-10-09T14:00:00"/>
    <d v="2025-10-09T15:00:00"/>
    <s v=""/>
    <s v="WILLIAMS 21B 3WA"/>
    <s v=""/>
    <s v=""/>
    <s v=""/>
    <s v=""/>
    <s v=""/>
    <s v=""/>
    <s v=""/>
    <s v=""/>
    <s v=""/>
    <s v=""/>
    <s v=""/>
    <s v=""/>
    <s v=""/>
    <s v=""/>
    <s v=""/>
    <s v=""/>
    <s v=""/>
    <s v=""/>
    <s v=""/>
    <s v=""/>
    <s v=""/>
    <s v=""/>
    <s v="Material"/>
    <s v=""/>
    <s v=""/>
    <s v=""/>
    <s v="1000560100"/>
    <s v="WILLIAMS 21 B 3WA"/>
    <s v="Upstream"/>
    <s v="1046"/>
    <s v=""/>
    <s v=""/>
    <s v=""/>
    <s v=""/>
    <s v=""/>
    <s v=""/>
    <s v=""/>
    <n v="1"/>
    <s v="HR"/>
    <n v="135"/>
    <s v=""/>
    <n v="135"/>
    <s v="--multiple--"/>
    <s v="708030"/>
    <d v="2025-10-10T12:01:57"/>
    <s v=""/>
    <s v=""/>
    <s v=""/>
    <s v=""/>
  </r>
  <r>
    <s v="125740"/>
    <s v="Jody's Oilfield Service, Inc."/>
    <x v="7"/>
    <s v="Daniel Flores"/>
    <s v="Joshua Bales"/>
    <s v="DANIEL FLORES_x000a_PUMPED 65 GAL OF CHEM &amp; 40 BBLS COLD_x000a_WATER DOWN TBG AND SHUT WELL IN"/>
    <s v="5051057"/>
    <s v="Upstream"/>
    <s v=""/>
    <s v="USD"/>
    <n v="202.5"/>
    <s v="Direct Entry"/>
    <s v="1"/>
    <s v=".HOURLY"/>
    <s v="HOURLY WORK (HOT OIL)"/>
    <s v="Drilling Services, Exploration, &amp; Wellwork"/>
    <d v="2025-10-10T12:09:55"/>
    <d v="2025-10-09T18:00:00"/>
    <d v="2025-10-09T19:30:00"/>
    <s v=""/>
    <s v="WARE 30 2"/>
    <s v=""/>
    <s v=""/>
    <s v=""/>
    <s v=""/>
    <s v=""/>
    <s v=""/>
    <s v=""/>
    <s v=""/>
    <s v=""/>
    <s v=""/>
    <s v=""/>
    <s v=""/>
    <s v=""/>
    <s v=""/>
    <s v=""/>
    <s v=""/>
    <s v=""/>
    <s v=""/>
    <s v=""/>
    <s v=""/>
    <s v=""/>
    <s v=""/>
    <s v="Material"/>
    <s v=""/>
    <s v=""/>
    <s v=""/>
    <s v="1000178400"/>
    <s v="WARE 30 2"/>
    <s v="Upstream"/>
    <s v="1046"/>
    <s v=""/>
    <s v=""/>
    <s v=""/>
    <s v=""/>
    <s v=""/>
    <s v=""/>
    <s v=""/>
    <n v="1.5"/>
    <s v="HR"/>
    <n v="135"/>
    <s v=""/>
    <n v="202.5"/>
    <s v="--multiple--"/>
    <s v="708030"/>
    <d v="2025-10-10T12:11:05"/>
    <s v=""/>
    <s v=""/>
    <s v=""/>
    <s v=""/>
  </r>
  <r>
    <s v="25092783"/>
    <s v="Lone Star Instrumentation &amp; Electric Corp"/>
    <x v="10"/>
    <s v="David Castaneda"/>
    <s v="Steven Kincheloe"/>
    <s v="WORK DESCRIPTION: Drove to location and set up truck, began to verify panel and controller were de_x000d__x000a_energized. Once verified we began to disconnect all services inside of panel and controller to pull all flex to free controller. Next removed straps holding end devices and radio pole, removed radio pole and began to break free controller and pole from ground, removed all end devices and j box and loaded up all equipment onto truck and cleaned up trash"/>
    <s v="5051044"/>
    <s v="Upstream"/>
    <s v=""/>
    <s v="USD"/>
    <n v="340"/>
    <s v="B2B"/>
    <s v="1"/>
    <s v=""/>
    <s v="TECHNICIAN III"/>
    <s v=""/>
    <d v="2025-09-10T08:53:28"/>
    <d v="2025-08-26T07:00:00"/>
    <d v="2025-08-26T09:00:00"/>
    <s v=""/>
    <s v="ENDICOTT 810"/>
    <s v=""/>
    <s v=""/>
    <s v=""/>
    <s v=""/>
    <s v=""/>
    <s v=""/>
    <s v=""/>
    <s v=""/>
    <s v=""/>
    <s v=""/>
    <s v=""/>
    <s v=""/>
    <s v=""/>
    <s v=""/>
    <s v=""/>
    <s v=""/>
    <s v=""/>
    <s v=""/>
    <s v=""/>
    <s v=""/>
    <s v=""/>
    <s v=""/>
    <s v="Labor"/>
    <s v=""/>
    <s v=""/>
    <s v=""/>
    <s v="1001729900"/>
    <s v="ENDICOTT 810"/>
    <s v="Upstream"/>
    <s v="1046"/>
    <s v=""/>
    <s v=""/>
    <s v=""/>
    <s v=""/>
    <s v=""/>
    <s v=""/>
    <s v=""/>
    <n v="2"/>
    <s v="HR"/>
    <n v="80"/>
    <s v=""/>
    <n v="160"/>
    <s v="--multiple--"/>
    <s v="708305"/>
    <d v="2025-10-14T13:08:02"/>
    <s v=""/>
    <s v=""/>
    <s v="Requisitioner Error | Requisitioner Error | Requisitioner Error"/>
    <s v=""/>
  </r>
  <r>
    <s v="25092790"/>
    <s v="Lone Star Instrumentation &amp; Electric Corp"/>
    <x v="10"/>
    <s v="David Castaneda"/>
    <s v="Steven Kincheloe"/>
    <s v="WORK DESCRIPTION: Drove to location and set up truck, began to verify all equipment on location was de energized to begin wrecking out equipment. Began to remove flex and disconnect all services coming into controller, pulled out all and began to loosen and remove radio straps and pulled off radio and pole, next began to hook up crane to controller to begin pulling pole from ground, broke loose controller and removed pole, next began to loosen all straps holding end devices and remove end devices and straps, loaded up all equipment to take to next install and cleaned up and closed up all equipment."/>
    <s v="5051044"/>
    <s v="Upstream"/>
    <s v=""/>
    <s v="USD"/>
    <n v="340"/>
    <s v="B2B"/>
    <s v="1"/>
    <s v=""/>
    <s v="TECHNICIAN III"/>
    <s v=""/>
    <d v="2025-09-10T08:53:32"/>
    <d v="2025-08-26T09:00:00"/>
    <d v="2025-08-26T11:00:00"/>
    <s v=""/>
    <s v="ENDICOTT 809"/>
    <s v=""/>
    <s v=""/>
    <s v=""/>
    <s v=""/>
    <s v=""/>
    <s v=""/>
    <s v=""/>
    <s v=""/>
    <s v=""/>
    <s v=""/>
    <s v=""/>
    <s v=""/>
    <s v=""/>
    <s v=""/>
    <s v=""/>
    <s v=""/>
    <s v=""/>
    <s v=""/>
    <s v=""/>
    <s v=""/>
    <s v=""/>
    <s v=""/>
    <s v="Labor"/>
    <s v=""/>
    <s v=""/>
    <s v=""/>
    <s v="1001723400"/>
    <s v="ENDICOTT 809"/>
    <s v="Upstream"/>
    <s v="1046"/>
    <s v=""/>
    <s v=""/>
    <s v=""/>
    <s v=""/>
    <s v=""/>
    <s v=""/>
    <s v=""/>
    <n v="2"/>
    <s v="HR"/>
    <n v="80"/>
    <s v=""/>
    <n v="160"/>
    <s v="--multiple--"/>
    <s v="708305"/>
    <d v="2025-10-14T13:09:53"/>
    <s v=""/>
    <s v=""/>
    <s v="Requisitioner Error | Requisitioner Error | Requisitioner Error"/>
    <s v=""/>
  </r>
  <r>
    <s v="10454"/>
    <s v="Viper Energy Services &amp; Transport, LLC"/>
    <x v="4"/>
    <s v="Nic Scoughton"/>
    <s v="Elam Tavarez"/>
    <s v="Maintenance Roustabout - Hammered leak on wellhead to stop leak, then went to next location."/>
    <s v="5051062"/>
    <s v="Upstream"/>
    <s v="170588"/>
    <s v="USD"/>
    <n v="270"/>
    <s v="Direct Entry"/>
    <s v="1"/>
    <s v="R17"/>
    <s v="Roustabout"/>
    <s v="Roustabout"/>
    <d v="2025-10-10T12:47:23"/>
    <d v="2025-10-09T06:15:00"/>
    <d v="2025-10-09T08:30:00"/>
    <s v=""/>
    <s v="STANDEFER 30 3"/>
    <s v=""/>
    <s v=""/>
    <s v=""/>
    <s v=""/>
    <s v=""/>
    <s v=""/>
    <s v=""/>
    <s v=""/>
    <s v=""/>
    <s v=""/>
    <s v=""/>
    <s v=""/>
    <s v=""/>
    <s v=""/>
    <s v=""/>
    <s v=""/>
    <s v=""/>
    <s v=""/>
    <s v=""/>
    <s v=""/>
    <s v=""/>
    <s v=""/>
    <s v="Labor"/>
    <s v=""/>
    <s v=""/>
    <s v=""/>
    <s v="1001245000"/>
    <s v="STANDEFER 30 3"/>
    <s v="Upstream"/>
    <s v="1046"/>
    <s v=""/>
    <s v=""/>
    <s v=""/>
    <s v=""/>
    <s v=""/>
    <s v=""/>
    <s v=""/>
    <n v="2.25"/>
    <s v="HR"/>
    <n v="120"/>
    <s v=""/>
    <n v="270"/>
    <s v="--multiple--"/>
    <s v="712296"/>
    <d v="2025-10-10T12:50:02"/>
    <s v=""/>
    <s v=""/>
    <s v=""/>
    <s v=""/>
  </r>
  <r>
    <s v="9180"/>
    <s v="Viper Energy Services &amp; Transport, LLC"/>
    <x v="3"/>
    <s v="Nic Scoughton"/>
    <s v="Elam Tavarez"/>
    <s v="Maintenance Roustabout - Install motor piston valve on well."/>
    <s v="5051062"/>
    <s v="Upstream"/>
    <s v="171334"/>
    <s v="USD"/>
    <n v="240"/>
    <s v="Direct Entry"/>
    <s v="1"/>
    <s v="R17"/>
    <s v="Roustabout"/>
    <s v="Roustabout"/>
    <d v="2025-10-13T13:33:40"/>
    <d v="2025-10-10T07:00:00"/>
    <d v="2025-10-10T09:00:00"/>
    <s v=""/>
    <s v="ACT F 02WA"/>
    <s v=""/>
    <s v=""/>
    <s v=""/>
    <s v=""/>
    <s v=""/>
    <s v=""/>
    <s v=""/>
    <s v=""/>
    <s v=""/>
    <s v=""/>
    <s v=""/>
    <s v=""/>
    <s v=""/>
    <s v=""/>
    <s v=""/>
    <s v=""/>
    <s v=""/>
    <s v=""/>
    <s v=""/>
    <s v=""/>
    <s v=""/>
    <s v=""/>
    <s v="Labor"/>
    <s v=""/>
    <s v=""/>
    <s v=""/>
    <s v="1000316000"/>
    <s v="ACT F 02WA"/>
    <s v="Upstream"/>
    <s v="1046"/>
    <s v=""/>
    <s v=""/>
    <s v=""/>
    <s v=""/>
    <s v=""/>
    <s v=""/>
    <s v=""/>
    <n v="2"/>
    <s v="HR"/>
    <n v="120"/>
    <s v=""/>
    <n v="240"/>
    <s v="--multiple--"/>
    <s v="712296"/>
    <d v="2025-10-13T13:38:09"/>
    <s v=""/>
    <s v=""/>
    <s v=""/>
    <s v=""/>
  </r>
  <r>
    <s v="G5850765"/>
    <s v="NLP Enterprises, LLC"/>
    <x v="6"/>
    <s v="Thomas Ramos"/>
    <s v="Elam Tavarez"/>
    <s v="Drove to location and we tighten the pumpjack bands."/>
    <s v="5051035"/>
    <s v="Upstream"/>
    <s v="169020"/>
    <s v="USD"/>
    <n v="371.25"/>
    <s v="API"/>
    <s v="1"/>
    <s v="D3"/>
    <s v="Production-Pusher and 2 Hands"/>
    <s v=""/>
    <d v="2025-10-10T13:34:23"/>
    <d v="2025-10-02T06:15:00"/>
    <d v="2025-10-02T09:00:00"/>
    <s v=""/>
    <s v=""/>
    <s v=""/>
    <s v="MUSTANG SPRINGS JOHN PAD 1 (3WP)"/>
    <s v=""/>
    <s v=""/>
    <s v=""/>
    <s v=""/>
    <s v=""/>
    <s v=""/>
    <s v=""/>
    <s v=""/>
    <s v=""/>
    <s v=""/>
    <s v=""/>
    <s v=""/>
    <s v=""/>
    <s v=""/>
    <s v=""/>
    <s v=""/>
    <s v=""/>
    <s v=""/>
    <s v=""/>
    <s v=""/>
    <s v="Labor"/>
    <s v="Soto, Juan"/>
    <s v=""/>
    <s v=""/>
    <s v="1000336700"/>
    <s v="JOHN C 06SA"/>
    <s v="Upstream"/>
    <s v="1046"/>
    <s v=""/>
    <s v=""/>
    <s v=""/>
    <s v=""/>
    <s v=""/>
    <s v=""/>
    <s v=""/>
    <n v="2.75"/>
    <s v="HR"/>
    <n v="135"/>
    <s v=""/>
    <n v="371.25"/>
    <s v="--multiple--"/>
    <s v="700289"/>
    <d v="2025-10-13T13:36:57"/>
    <s v=""/>
    <s v=""/>
    <s v=""/>
    <s v=""/>
  </r>
  <r>
    <s v="251313"/>
    <s v="NLP Enterprises, LLC"/>
    <x v="12"/>
    <s v="Kenneth Hall"/>
    <s v="Eric Smith"/>
    <s v="Tester disconnected for repairs"/>
    <s v="5051049"/>
    <s v="Upstream"/>
    <s v="155932"/>
    <s v="USD"/>
    <n v="405"/>
    <s v="Direct Entry"/>
    <s v="1"/>
    <s v="D3"/>
    <s v="Diamondback- Pusher and 2 Hands w/ Truck"/>
    <s v=""/>
    <d v="2025-10-02T10:49:23"/>
    <d v="2025-09-22T06:00:00"/>
    <d v="2025-09-22T09:00:00"/>
    <s v=""/>
    <s v=""/>
    <s v=""/>
    <s v=""/>
    <s v=""/>
    <s v=""/>
    <s v=""/>
    <s v=""/>
    <s v=""/>
    <s v=""/>
    <s v=""/>
    <s v=""/>
    <s v=""/>
    <s v=""/>
    <s v=""/>
    <s v=""/>
    <s v=""/>
    <s v=""/>
    <s v=""/>
    <s v=""/>
    <s v=""/>
    <s v=""/>
    <s v=""/>
    <s v=""/>
    <s v="Labor"/>
    <s v=""/>
    <s v=""/>
    <s v=""/>
    <s v="8000073300"/>
    <s v="ST E 38 H BATTERY"/>
    <s v="Upstream"/>
    <s v="1046"/>
    <s v=""/>
    <s v=""/>
    <s v=""/>
    <s v=""/>
    <s v=""/>
    <s v=""/>
    <s v=""/>
    <n v="3"/>
    <s v="HR"/>
    <n v="135"/>
    <s v=""/>
    <n v="405"/>
    <s v="--multiple--"/>
    <s v="700289"/>
    <d v="2025-10-02T10:51:53"/>
    <s v=""/>
    <s v=""/>
    <s v=""/>
    <s v=""/>
  </r>
  <r>
    <s v="251314"/>
    <s v="NLP Enterprises, LLC"/>
    <x v="12"/>
    <s v="Kenneth Hall"/>
    <s v="Eric Smith"/>
    <s v="Replaced 4&quot; pipe section on FWKO water leg"/>
    <s v="5051049"/>
    <s v="Upstream"/>
    <s v="162908"/>
    <s v="USD"/>
    <n v="270"/>
    <s v="Direct Entry"/>
    <s v="1"/>
    <s v="D3"/>
    <s v="Diamondback- Pusher and 2 Hands w/ Truck"/>
    <s v=""/>
    <d v="2025-10-02T10:53:05"/>
    <d v="2025-09-22T09:00:00"/>
    <d v="2025-09-22T11:00:00"/>
    <s v=""/>
    <s v=""/>
    <s v=""/>
    <s v=""/>
    <s v=""/>
    <s v=""/>
    <s v=""/>
    <s v=""/>
    <s v=""/>
    <s v=""/>
    <s v=""/>
    <s v=""/>
    <s v=""/>
    <s v=""/>
    <s v=""/>
    <s v=""/>
    <s v=""/>
    <s v=""/>
    <s v=""/>
    <s v=""/>
    <s v=""/>
    <s v=""/>
    <s v=""/>
    <s v=""/>
    <s v="Labor"/>
    <s v=""/>
    <s v=""/>
    <s v=""/>
    <s v="8000071600"/>
    <s v="ST W 7H BATTERY"/>
    <s v="Upstream"/>
    <s v="1046"/>
    <s v=""/>
    <s v=""/>
    <s v=""/>
    <s v=""/>
    <s v=""/>
    <s v=""/>
    <s v=""/>
    <n v="2"/>
    <s v="HR"/>
    <n v="135"/>
    <s v=""/>
    <n v="270"/>
    <s v="--multiple--"/>
    <s v="700289"/>
    <d v="2025-10-02T10:55:33"/>
    <s v=""/>
    <s v=""/>
    <s v=""/>
    <s v=""/>
  </r>
  <r>
    <s v="251315"/>
    <s v="NLP Enterprises, LLC"/>
    <x v="12"/>
    <s v="Kenneth Hall"/>
    <s v="Eric Smith"/>
    <s v="Replaced 4&quot; pipe section on NW heater water dump line"/>
    <s v="5051049"/>
    <s v="Upstream"/>
    <s v="162902"/>
    <s v="USD"/>
    <n v="337.5"/>
    <s v="Direct Entry"/>
    <s v="1"/>
    <s v="D3"/>
    <s v="Diamondback- Pusher and 2 Hands w/ Truck"/>
    <s v=""/>
    <d v="2025-10-02T10:56:51"/>
    <d v="2025-09-22T11:00:00"/>
    <d v="2025-09-22T13:30:00"/>
    <s v=""/>
    <s v=""/>
    <s v=""/>
    <s v=""/>
    <s v=""/>
    <s v=""/>
    <s v=""/>
    <s v=""/>
    <s v=""/>
    <s v=""/>
    <s v=""/>
    <s v=""/>
    <s v=""/>
    <s v=""/>
    <s v=""/>
    <s v=""/>
    <s v=""/>
    <s v=""/>
    <s v=""/>
    <s v=""/>
    <s v=""/>
    <s v=""/>
    <s v=""/>
    <s v=""/>
    <s v="Labor"/>
    <s v=""/>
    <s v=""/>
    <s v=""/>
    <s v="8000071700"/>
    <s v="ST NW 25-36 H BATTERY"/>
    <s v="Upstream"/>
    <s v="1046"/>
    <s v=""/>
    <s v=""/>
    <s v=""/>
    <s v=""/>
    <s v=""/>
    <s v=""/>
    <s v=""/>
    <n v="2.5"/>
    <s v="HR"/>
    <n v="135"/>
    <s v=""/>
    <n v="337.5"/>
    <s v="--multiple--"/>
    <s v="700289"/>
    <d v="2025-10-02T10:59:28"/>
    <s v=""/>
    <s v=""/>
    <s v=""/>
    <s v=""/>
  </r>
  <r>
    <s v="251316"/>
    <s v="NLP Enterprises, LLC"/>
    <x v="12"/>
    <s v="Kenneth Hall"/>
    <s v="Eric Smith"/>
    <s v="Replaced 2&quot; pipe section on tester"/>
    <s v="5051049"/>
    <s v="Upstream"/>
    <s v="163293"/>
    <s v="USD"/>
    <n v="270"/>
    <s v="Direct Entry"/>
    <s v="1"/>
    <s v="D3"/>
    <s v="Diamondback- Pusher and 2 Hands w/ Truck"/>
    <s v=""/>
    <d v="2025-10-02T11:00:29"/>
    <d v="2025-09-22T13:30:00"/>
    <d v="2025-09-22T15:30:00"/>
    <s v=""/>
    <s v=""/>
    <s v=""/>
    <s v=""/>
    <s v=""/>
    <s v=""/>
    <s v=""/>
    <s v=""/>
    <s v=""/>
    <s v=""/>
    <s v=""/>
    <s v=""/>
    <s v=""/>
    <s v=""/>
    <s v=""/>
    <s v=""/>
    <s v=""/>
    <s v=""/>
    <s v=""/>
    <s v=""/>
    <s v=""/>
    <s v=""/>
    <s v=""/>
    <s v=""/>
    <s v="Labor"/>
    <s v=""/>
    <s v=""/>
    <s v=""/>
    <s v="8000324700"/>
    <s v="WHL 11 BATTERY"/>
    <s v="Upstream"/>
    <s v="1046"/>
    <s v=""/>
    <s v=""/>
    <s v=""/>
    <s v=""/>
    <s v=""/>
    <s v=""/>
    <s v=""/>
    <n v="2"/>
    <s v="HR"/>
    <n v="135"/>
    <s v=""/>
    <n v="270"/>
    <s v="--multiple--"/>
    <s v="700289"/>
    <d v="2025-10-02T11:02:40"/>
    <s v=""/>
    <s v=""/>
    <s v=""/>
    <s v=""/>
  </r>
  <r>
    <s v="251317"/>
    <s v="NLP Enterprises, LLC"/>
    <x v="12"/>
    <s v="Kenneth Hall"/>
    <s v="Eric Smith"/>
    <s v="Replaced 3&quot; pipe section on tester 5 water leg"/>
    <s v="5051049"/>
    <s v="Upstream"/>
    <s v="163204"/>
    <s v="USD"/>
    <n v="405"/>
    <s v="Direct Entry"/>
    <s v="1"/>
    <s v="D3"/>
    <s v="Diamondback- Pusher and 2 Hands w/ Truck"/>
    <s v=""/>
    <d v="2025-10-02T11:04:11"/>
    <d v="2025-09-22T15:30:00"/>
    <d v="2025-09-22T18:30:00"/>
    <s v=""/>
    <s v=""/>
    <s v=""/>
    <s v=""/>
    <s v=""/>
    <s v=""/>
    <s v=""/>
    <s v=""/>
    <s v=""/>
    <s v=""/>
    <s v=""/>
    <s v=""/>
    <s v=""/>
    <s v=""/>
    <s v=""/>
    <s v=""/>
    <s v=""/>
    <s v=""/>
    <s v=""/>
    <s v=""/>
    <s v=""/>
    <s v=""/>
    <s v=""/>
    <s v=""/>
    <s v="Labor"/>
    <s v=""/>
    <s v=""/>
    <s v=""/>
    <s v="8000073300"/>
    <s v="ST E 38 H BATTERY"/>
    <s v="Upstream"/>
    <s v="1046"/>
    <s v=""/>
    <s v=""/>
    <s v=""/>
    <s v=""/>
    <s v=""/>
    <s v=""/>
    <s v=""/>
    <n v="3"/>
    <s v="HR"/>
    <n v="135"/>
    <s v=""/>
    <n v="405"/>
    <s v="--multiple--"/>
    <s v="700289"/>
    <d v="2025-10-02T11:06:30"/>
    <s v=""/>
    <s v=""/>
    <s v=""/>
    <s v=""/>
  </r>
  <r>
    <s v="251318"/>
    <s v="NLP Enterprises, LLC"/>
    <x v="12"/>
    <s v="Kenneth Hall"/>
    <s v="Eric Smith"/>
    <s v="Support aggie tech in master valve snap took old master to bone yard"/>
    <s v="5051049"/>
    <s v="Upstream"/>
    <s v="159579"/>
    <s v="USD"/>
    <n v="810"/>
    <s v="Direct Entry"/>
    <s v="1"/>
    <s v="D3"/>
    <s v="Diamondback- Pusher and 2 Hands w/ Truck"/>
    <s v=""/>
    <d v="2025-10-02T12:50:29"/>
    <d v="2025-09-23T06:00:00"/>
    <d v="2025-09-23T12:00:00"/>
    <s v=""/>
    <s v=""/>
    <s v=""/>
    <s v=""/>
    <s v=""/>
    <s v=""/>
    <s v=""/>
    <s v=""/>
    <s v=""/>
    <s v=""/>
    <s v=""/>
    <s v=""/>
    <s v=""/>
    <s v=""/>
    <s v=""/>
    <s v=""/>
    <s v=""/>
    <s v=""/>
    <s v=""/>
    <s v=""/>
    <s v=""/>
    <s v=""/>
    <s v=""/>
    <s v=""/>
    <s v="Labor"/>
    <s v=""/>
    <s v=""/>
    <s v=""/>
    <s v="1000572600"/>
    <s v="ST 4047WA"/>
    <s v="Upstream"/>
    <s v="1046"/>
    <s v=""/>
    <s v=""/>
    <s v=""/>
    <s v=""/>
    <s v=""/>
    <s v=""/>
    <s v=""/>
    <n v="6"/>
    <s v="HR"/>
    <n v="135"/>
    <s v=""/>
    <n v="810"/>
    <s v="--multiple--"/>
    <s v="700289"/>
    <d v="2025-10-02T12:53:09"/>
    <s v=""/>
    <s v=""/>
    <s v=""/>
    <s v=""/>
  </r>
  <r>
    <s v="251321"/>
    <s v="NLP Enterprises, LLC"/>
    <x v="12"/>
    <s v="Kenneth Hall"/>
    <s v="Eric Smith"/>
    <s v="Replaced 3&quot; pipe section on tester 1 water dump line pick up old iron and took to boneyard"/>
    <s v="5051049"/>
    <s v="Upstream"/>
    <s v="165860"/>
    <s v="USD"/>
    <n v="540"/>
    <s v="Direct Entry"/>
    <s v="1"/>
    <s v="D3"/>
    <s v="Diamondback- Pusher and 2 Hands w/ Truck"/>
    <s v=""/>
    <d v="2025-10-02T13:53:52"/>
    <d v="2025-09-24T06:00:00"/>
    <d v="2025-09-24T10:00:00"/>
    <s v=""/>
    <s v=""/>
    <s v=""/>
    <s v=""/>
    <s v=""/>
    <s v=""/>
    <s v=""/>
    <s v=""/>
    <s v=""/>
    <s v=""/>
    <s v=""/>
    <s v=""/>
    <s v=""/>
    <s v=""/>
    <s v=""/>
    <s v=""/>
    <s v=""/>
    <s v=""/>
    <s v=""/>
    <s v=""/>
    <s v=""/>
    <s v=""/>
    <s v=""/>
    <s v=""/>
    <s v="Labor"/>
    <s v=""/>
    <s v=""/>
    <s v=""/>
    <s v="8000071800"/>
    <s v="ST 5H-6H WEST BATTERY"/>
    <s v="Upstream"/>
    <s v="1046"/>
    <s v=""/>
    <s v=""/>
    <s v=""/>
    <s v=""/>
    <s v=""/>
    <s v=""/>
    <s v=""/>
    <n v="4"/>
    <s v="HR"/>
    <n v="135"/>
    <s v=""/>
    <n v="540"/>
    <s v="--multiple--"/>
    <s v="700289"/>
    <d v="2025-10-02T13:56:14"/>
    <s v=""/>
    <s v=""/>
    <s v=""/>
    <s v=""/>
  </r>
  <r>
    <s v="251322"/>
    <s v="NLP Enterprises, LLC"/>
    <x v="12"/>
    <s v="Kenneth Hall"/>
    <s v="Eric Smith"/>
    <s v="Finish breaking down FWKA for repairs"/>
    <s v="5051049"/>
    <s v="Upstream"/>
    <s v="159365"/>
    <s v="USD"/>
    <n v="405"/>
    <s v="Direct Entry"/>
    <s v="1"/>
    <s v="D3"/>
    <s v="Diamondback- Pusher and 2 Hands w/ Truck"/>
    <s v=""/>
    <d v="2025-10-02T13:50:07"/>
    <d v="2025-09-24T10:00:00"/>
    <d v="2025-09-24T13:00:00"/>
    <s v=""/>
    <s v=""/>
    <s v=""/>
    <s v=""/>
    <s v=""/>
    <s v=""/>
    <s v=""/>
    <s v=""/>
    <s v=""/>
    <s v=""/>
    <s v=""/>
    <s v=""/>
    <s v=""/>
    <s v=""/>
    <s v=""/>
    <s v=""/>
    <s v=""/>
    <s v=""/>
    <s v=""/>
    <s v=""/>
    <s v=""/>
    <s v=""/>
    <s v=""/>
    <s v=""/>
    <s v="Labor"/>
    <s v=""/>
    <s v=""/>
    <s v=""/>
    <s v="8000324700"/>
    <s v="WHL 11 BATTERY"/>
    <s v="Upstream"/>
    <s v="1046"/>
    <s v=""/>
    <s v=""/>
    <s v=""/>
    <s v=""/>
    <s v=""/>
    <s v=""/>
    <s v=""/>
    <n v="3"/>
    <s v="HR"/>
    <n v="135"/>
    <s v=""/>
    <n v="405"/>
    <s v="--multiple--"/>
    <s v="700289"/>
    <d v="2025-10-02T13:52:03"/>
    <s v=""/>
    <s v=""/>
    <s v=""/>
    <s v=""/>
  </r>
  <r>
    <s v="ML19702"/>
    <s v="ML POWER LLC"/>
    <x v="9"/>
    <s v="David Castaneda"/>
    <s v="Steven Kincheloe"/>
    <s v="Perform a JSA review to identify potential hazards. Upon arrival, confirm voltage 480v incoming power. Isolate power at the primary disconnect, remove the disconnect fuses, disconnect motor service at the pump panel, spool wire on the unit, and disconnect the Lufkin box unit for removal."/>
    <s v="5051044"/>
    <s v="Upstream"/>
    <s v=""/>
    <s v="USD"/>
    <n v="442"/>
    <s v="API"/>
    <s v="1"/>
    <s v="Electrician-OT"/>
    <s v="Electrician-OT"/>
    <s v=""/>
    <d v="2025-10-02T18:20:41"/>
    <d v="2025-09-23T15:15:00"/>
    <d v="2025-09-23T17:15:00"/>
    <s v=""/>
    <s v=""/>
    <s v=""/>
    <s v=""/>
    <s v=""/>
    <s v=""/>
    <s v=""/>
    <s v=""/>
    <s v=""/>
    <s v=""/>
    <s v=""/>
    <s v=""/>
    <s v=""/>
    <s v=""/>
    <s v=""/>
    <s v=""/>
    <s v=""/>
    <s v=""/>
    <s v=""/>
    <s v=""/>
    <s v=""/>
    <s v=""/>
    <s v=""/>
    <s v=""/>
    <s v="Labor"/>
    <s v=""/>
    <s v="183237"/>
    <s v=""/>
    <s v="8300143200"/>
    <s v="RICKER 45 BATTERY"/>
    <s v="Upstream"/>
    <s v="1046"/>
    <s v=""/>
    <s v=""/>
    <s v=""/>
    <s v=""/>
    <s v=""/>
    <s v=""/>
    <s v=""/>
    <n v="2"/>
    <s v="HR"/>
    <n v="99"/>
    <s v=""/>
    <n v="198"/>
    <s v="--multiple--"/>
    <s v="706076"/>
    <d v="2025-10-02T18:20:41"/>
    <s v=""/>
    <s v=""/>
    <s v=""/>
    <s v=""/>
  </r>
  <r>
    <s v="13259"/>
    <s v="Knockout Oilfield Supply, Inc."/>
    <x v="9"/>
    <s v="Mark Glenn"/>
    <s v="Eric Smith"/>
    <s v="OILFIELD SUPPLIES"/>
    <s v="5051028"/>
    <s v="Upstream"/>
    <s v=""/>
    <s v="USD"/>
    <n v="40.74"/>
    <s v="Direct Entry"/>
    <s v="1"/>
    <s v="M-2-PH"/>
    <s v="PACKING HOOK #2 1204-2"/>
    <s v="OILFIELD  SUPPLIES"/>
    <d v="2025-10-08T12:23:31"/>
    <d v="2025-10-06T12:00:00"/>
    <d v="2025-10-06T12:00:00"/>
    <s v=""/>
    <s v=""/>
    <s v=""/>
    <s v=""/>
    <s v=""/>
    <s v=""/>
    <s v=""/>
    <s v=""/>
    <s v=""/>
    <s v=""/>
    <s v=""/>
    <s v=""/>
    <s v=""/>
    <s v=""/>
    <s v=""/>
    <s v=""/>
    <s v=""/>
    <s v=""/>
    <s v=""/>
    <s v=""/>
    <s v=""/>
    <s v=""/>
    <s v=""/>
    <s v=""/>
    <s v="Equipment"/>
    <s v=""/>
    <s v=""/>
    <s v=""/>
    <s v="9100031900"/>
    <s v="SMB-STR 13"/>
    <s v="Upstream"/>
    <s v="1046"/>
    <s v=""/>
    <s v=""/>
    <s v=""/>
    <s v=""/>
    <s v=""/>
    <s v=""/>
    <s v=""/>
    <n v="1"/>
    <s v="each"/>
    <n v="15.6"/>
    <s v=""/>
    <n v="15.6"/>
    <s v="--multiple--"/>
    <s v="710418"/>
    <d v="2025-10-08T12:25:00"/>
    <s v=""/>
    <s v=""/>
    <s v=""/>
    <s v=""/>
  </r>
  <r>
    <s v="13186"/>
    <s v="Knockout Oilfield Supply, Inc."/>
    <x v="9"/>
    <s v="Mark Glenn"/>
    <s v="Eric Smith"/>
    <s v="OILFIELD SUPPLIES"/>
    <s v="5051049"/>
    <s v="Upstream"/>
    <s v=""/>
    <s v="USD"/>
    <n v="441.36"/>
    <s v="Direct Entry"/>
    <s v="1"/>
    <s v="NII"/>
    <s v="NON INVENTORY ITEM-F-8 FLOAT SWITCH"/>
    <s v="OILFIELD SUPPLIES"/>
    <d v="2025-10-08T12:25:42"/>
    <d v="2025-10-06T12:00:00"/>
    <d v="2025-10-06T12:00:00"/>
    <s v=""/>
    <s v=""/>
    <s v=""/>
    <s v=""/>
    <s v=""/>
    <s v=""/>
    <s v=""/>
    <s v=""/>
    <s v=""/>
    <s v=""/>
    <s v=""/>
    <s v=""/>
    <s v=""/>
    <s v=""/>
    <s v=""/>
    <s v=""/>
    <s v=""/>
    <s v=""/>
    <s v=""/>
    <s v=""/>
    <s v=""/>
    <s v=""/>
    <s v=""/>
    <s v=""/>
    <s v="Equipment"/>
    <s v=""/>
    <s v=""/>
    <s v=""/>
    <s v="1000238300"/>
    <s v="GRIDIRON S017JM"/>
    <s v="Upstream"/>
    <s v="1046"/>
    <s v=""/>
    <s v=""/>
    <s v=""/>
    <s v=""/>
    <s v=""/>
    <s v=""/>
    <s v=""/>
    <n v="1"/>
    <s v="each"/>
    <n v="292.5"/>
    <s v=""/>
    <n v="292.5"/>
    <s v="--multiple--"/>
    <s v="710418"/>
    <d v="2025-10-08T12:30:20"/>
    <s v=""/>
    <s v=""/>
    <s v=""/>
    <s v=""/>
  </r>
  <r>
    <s v="202544606"/>
    <s v="AM Fabrication Inc"/>
    <x v="9"/>
    <s v="Will Miller"/>
    <s v="Eric Smith"/>
    <s v="Shut off power isolated blew down change oil filters check oil level left on auto"/>
    <s v="5051064"/>
    <s v="Upstream"/>
    <s v="148514"/>
    <s v="USD"/>
    <n v="533.29999999999995"/>
    <s v="Direct Entry"/>
    <s v="1"/>
    <s v="1236"/>
    <s v="Diamondback PM VRU"/>
    <s v="Stock item"/>
    <d v="2025-10-03T06:50:26"/>
    <d v="2025-09-25T17:30:00"/>
    <d v="2025-09-25T18:30:00"/>
    <s v=""/>
    <s v="GRIDIRON SOUTH BATTERY"/>
    <s v=""/>
    <s v=""/>
    <s v=""/>
    <s v=""/>
    <s v=""/>
    <s v=""/>
    <s v=""/>
    <s v=""/>
    <s v=""/>
    <s v=""/>
    <s v=""/>
    <s v=""/>
    <s v=""/>
    <s v=""/>
    <s v=""/>
    <s v=""/>
    <s v=""/>
    <s v=""/>
    <s v=""/>
    <s v=""/>
    <s v=""/>
    <s v=""/>
    <s v="Labor"/>
    <s v=""/>
    <s v=""/>
    <s v=""/>
    <s v="8000073200"/>
    <s v="GRIDIRON SOUTH BATTERY"/>
    <s v="Upstream"/>
    <s v="1046"/>
    <s v=""/>
    <s v=""/>
    <s v=""/>
    <s v=""/>
    <s v=""/>
    <s v=""/>
    <s v=""/>
    <n v="1"/>
    <s v="EA"/>
    <n v="325"/>
    <s v=""/>
    <n v="325"/>
    <s v="--multiple--"/>
    <s v="703623"/>
    <d v="2025-10-03T06:52:06"/>
    <s v=""/>
    <s v=""/>
    <s v=""/>
    <s v=""/>
  </r>
  <r>
    <s v="202544654"/>
    <s v="AM Fabrication Inc"/>
    <x v="8"/>
    <s v="Will Miller"/>
    <s v="Eric Smith"/>
    <s v="Shut off power isolation of unit unbolt coupling and remove compressor cover and remove and replace_x000a_leaking input shaft seal And seal plate install seal rebolt seal plate and guard. realign motor to compressor_x000a_and test ran unit left on auto"/>
    <s v="5051064"/>
    <s v="Upstream"/>
    <s v="148442"/>
    <s v="USD"/>
    <n v="1694.22"/>
    <s v="Direct Entry"/>
    <s v="1"/>
    <s v="LABOR - 1"/>
    <s v="Technician Labor Hours"/>
    <s v=""/>
    <d v="2025-10-06T17:40:40"/>
    <d v="2025-09-27T07:00:00"/>
    <d v="2025-09-27T13:00:00"/>
    <s v=""/>
    <s v="ST NW 25-36 H BATTERY"/>
    <s v=""/>
    <s v=""/>
    <s v=""/>
    <s v=""/>
    <s v=""/>
    <s v=""/>
    <s v=""/>
    <s v=""/>
    <s v=""/>
    <s v=""/>
    <s v=""/>
    <s v=""/>
    <s v=""/>
    <s v=""/>
    <s v=""/>
    <s v=""/>
    <s v=""/>
    <s v=""/>
    <s v=""/>
    <s v=""/>
    <s v=""/>
    <s v=""/>
    <s v="Labor"/>
    <s v=""/>
    <s v=""/>
    <s v=""/>
    <s v="8000071700"/>
    <s v="ST NW 25-36 H BATTERY"/>
    <s v="Upstream"/>
    <s v="1046"/>
    <s v=""/>
    <s v=""/>
    <s v=""/>
    <s v=""/>
    <s v=""/>
    <s v=""/>
    <s v=""/>
    <n v="6"/>
    <s v="hour"/>
    <n v="105"/>
    <s v=""/>
    <n v="630"/>
    <s v="--multiple--"/>
    <s v="703623"/>
    <d v="2025-10-06T17:43:30"/>
    <s v=""/>
    <s v=""/>
    <s v=""/>
    <s v=""/>
  </r>
  <r>
    <s v="44546"/>
    <s v="Valdez Oil Services, L.L.C."/>
    <x v="2"/>
    <s v="Blane Ward"/>
    <s v="Fabian Lujan"/>
    <s v="DUNIGAN 12: Picked up parts from RK and drove to location. Created a bypass with T's, 90's, valves and nipples."/>
    <s v="5051049"/>
    <s v="Upstream"/>
    <s v="167940"/>
    <s v="USD"/>
    <n v="531.25"/>
    <s v="Direct Entry"/>
    <s v="1"/>
    <s v=""/>
    <s v="ROUSTABOUT"/>
    <s v="ROUSTABOUT"/>
    <d v="2025-10-06T16:09:20"/>
    <d v="2025-10-01T13:00:00"/>
    <d v="2025-10-01T17:15:00"/>
    <s v=""/>
    <s v="DUNIGAN 12"/>
    <s v=""/>
    <s v=""/>
    <s v=""/>
    <s v=""/>
    <s v=""/>
    <s v=""/>
    <s v=""/>
    <s v=""/>
    <s v=""/>
    <s v=""/>
    <s v=""/>
    <s v=""/>
    <s v=""/>
    <s v=""/>
    <s v=""/>
    <s v=""/>
    <s v=""/>
    <s v=""/>
    <s v=""/>
    <s v=""/>
    <s v=""/>
    <s v=""/>
    <s v="Labor"/>
    <s v=""/>
    <s v=""/>
    <s v=""/>
    <s v="8000326200"/>
    <s v="DUNIGAN 12 BATTERY"/>
    <s v="Upstream"/>
    <s v="1046"/>
    <s v=""/>
    <s v=""/>
    <s v=""/>
    <s v=""/>
    <s v=""/>
    <s v=""/>
    <s v=""/>
    <n v="4.25"/>
    <s v="HR"/>
    <n v="125"/>
    <s v=""/>
    <n v="531.25"/>
    <s v="--multiple--"/>
    <s v="712959"/>
    <d v="2025-10-06T16:11:03"/>
    <s v=""/>
    <s v=""/>
    <s v=""/>
    <s v=""/>
  </r>
  <r>
    <s v="290732"/>
    <s v="Cowboy Pump &amp; Supply"/>
    <x v="12"/>
    <s v="Brandon Thompson"/>
    <s v="Fabian Lujan"/>
    <s v="PARTS DELIVERED"/>
    <s v="5051049"/>
    <s v="Upstream"/>
    <s v=""/>
    <s v="USD"/>
    <n v="2329.6999999999998"/>
    <s v="Direct Entry"/>
    <s v="1"/>
    <s v="99-IBOMATERIALS"/>
    <s v="TRAPPER F8 METAL FLANGE"/>
    <s v="PRODUCTION MAINTENANCE"/>
    <d v="2025-10-01T14:13:40"/>
    <d v="2025-08-15T00:00:00"/>
    <d v="2025-08-15T00:00:00"/>
    <s v=""/>
    <s v=""/>
    <s v=""/>
    <s v=""/>
    <s v=""/>
    <s v=""/>
    <s v=""/>
    <s v=""/>
    <s v=""/>
    <s v=""/>
    <s v=""/>
    <s v=""/>
    <s v=""/>
    <s v=""/>
    <s v=""/>
    <s v=""/>
    <s v=""/>
    <s v=""/>
    <s v=""/>
    <s v=""/>
    <s v=""/>
    <s v=""/>
    <s v=""/>
    <s v=""/>
    <s v="Material"/>
    <s v=""/>
    <s v=""/>
    <s v=""/>
    <s v="1001349900"/>
    <s v="MASHBURN 5"/>
    <s v="Upstream"/>
    <s v="1046"/>
    <s v=""/>
    <s v=""/>
    <s v=""/>
    <s v=""/>
    <s v=""/>
    <s v=""/>
    <s v=""/>
    <n v="1"/>
    <s v="EA"/>
    <n v="2208.5700000000002"/>
    <s v=""/>
    <n v="2208.5700000000002"/>
    <s v="E-Maintenance"/>
    <s v="703921"/>
    <d v="2025-10-01T14:22:43"/>
    <s v=""/>
    <s v=""/>
    <s v=""/>
    <s v=""/>
  </r>
  <r>
    <s v="299495"/>
    <s v="Cowboy Pump &amp; Supply"/>
    <x v="12"/>
    <s v="Brandon Thompson"/>
    <s v="Fabian Lujan"/>
    <s v="PARTS DELIVERED"/>
    <s v="5051049"/>
    <s v="Upstream"/>
    <s v=""/>
    <s v="USD"/>
    <n v="2329.6999999999998"/>
    <s v="Direct Entry"/>
    <s v="1"/>
    <s v="99-DBOMATERIALS"/>
    <s v="TRAPPER F8 METAL FLANGE"/>
    <s v="PRODUCTION MAINTENANCE"/>
    <d v="2025-10-01T14:24:09"/>
    <d v="2025-08-15T00:00:00"/>
    <d v="2025-08-15T00:00:00"/>
    <s v=""/>
    <s v=""/>
    <s v=""/>
    <s v=""/>
    <s v=""/>
    <s v=""/>
    <s v=""/>
    <s v=""/>
    <s v=""/>
    <s v=""/>
    <s v=""/>
    <s v=""/>
    <s v=""/>
    <s v=""/>
    <s v=""/>
    <s v=""/>
    <s v=""/>
    <s v=""/>
    <s v=""/>
    <s v=""/>
    <s v=""/>
    <s v=""/>
    <s v=""/>
    <s v=""/>
    <s v="Material"/>
    <s v=""/>
    <s v=""/>
    <s v=""/>
    <s v="1001364300"/>
    <s v="MASHBURN 6"/>
    <s v="Upstream"/>
    <s v="1046"/>
    <s v=""/>
    <s v=""/>
    <s v=""/>
    <s v=""/>
    <s v=""/>
    <s v=""/>
    <s v=""/>
    <n v="1"/>
    <s v="EA"/>
    <n v="2208.5700000000002"/>
    <s v=""/>
    <n v="2208.5700000000002"/>
    <s v="E-Maintenance"/>
    <s v="703921"/>
    <d v="2025-10-01T14:41:14"/>
    <s v=""/>
    <s v=""/>
    <s v=""/>
    <s v=""/>
  </r>
  <r>
    <s v="299497"/>
    <s v="Cowboy Pump &amp; Supply"/>
    <x v="12"/>
    <s v="Brandon Thompson"/>
    <s v="Fabian Lujan"/>
    <s v="PARTS DELIVERED"/>
    <s v="5051049"/>
    <s v="Upstream"/>
    <s v=""/>
    <s v="USD"/>
    <n v="2329.6999999999998"/>
    <s v="Direct Entry"/>
    <s v="1"/>
    <s v="99-DBOMATERIALS"/>
    <s v="TRAPPER F8 METAL FLANGE"/>
    <s v="PRODUCTION MAINTENANCE"/>
    <d v="2025-10-01T15:06:31"/>
    <d v="2025-08-15T00:00:00"/>
    <d v="2025-08-15T00:00:00"/>
    <s v=""/>
    <s v=""/>
    <s v=""/>
    <s v=""/>
    <s v=""/>
    <s v=""/>
    <s v=""/>
    <s v=""/>
    <s v=""/>
    <s v=""/>
    <s v=""/>
    <s v=""/>
    <s v=""/>
    <s v=""/>
    <s v=""/>
    <s v=""/>
    <s v=""/>
    <s v=""/>
    <s v=""/>
    <s v=""/>
    <s v=""/>
    <s v=""/>
    <s v=""/>
    <s v=""/>
    <s v="Material"/>
    <s v=""/>
    <s v=""/>
    <s v=""/>
    <s v="1001248700"/>
    <s v="CONNIE 1"/>
    <s v="Upstream"/>
    <s v="1046"/>
    <s v=""/>
    <s v=""/>
    <s v=""/>
    <s v=""/>
    <s v=""/>
    <s v=""/>
    <s v=""/>
    <n v="1"/>
    <s v="EA"/>
    <n v="2208.5700000000002"/>
    <s v=""/>
    <n v="2208.5700000000002"/>
    <s v="E-Maintenance"/>
    <s v="703921"/>
    <d v="2025-10-01T15:09:20"/>
    <s v=""/>
    <s v=""/>
    <s v=""/>
    <s v=""/>
  </r>
  <r>
    <s v="297278"/>
    <s v="Cowboy Pump &amp; Supply"/>
    <x v="12"/>
    <s v="Brandon Thompson"/>
    <s v="Fabian Lujan"/>
    <s v="PARTS DELIVERED"/>
    <s v="5051027"/>
    <s v="Upstream"/>
    <s v=""/>
    <s v="USD"/>
    <n v="3015.04"/>
    <s v="Direct Entry"/>
    <s v="1"/>
    <s v="15-XXXXXXXXXXXX"/>
    <s v="10' 6 BAR GATE PANEL"/>
    <s v="CREDIT CARD PURCHASE"/>
    <d v="2025-10-01T13:41:08"/>
    <d v="2025-08-20T00:00:00"/>
    <d v="2025-08-20T00:00:00"/>
    <s v=""/>
    <s v=""/>
    <s v=""/>
    <s v=""/>
    <s v=""/>
    <s v=""/>
    <s v=""/>
    <s v=""/>
    <s v=""/>
    <s v=""/>
    <s v=""/>
    <s v=""/>
    <s v=""/>
    <s v=""/>
    <s v=""/>
    <s v=""/>
    <s v=""/>
    <s v=""/>
    <s v=""/>
    <s v=""/>
    <s v=""/>
    <s v=""/>
    <s v=""/>
    <s v=""/>
    <s v="Material"/>
    <s v=""/>
    <s v=""/>
    <s v=""/>
    <s v="1001241000"/>
    <s v="MCCLINTIC 19 2"/>
    <s v="Upstream"/>
    <s v="1046"/>
    <s v=""/>
    <s v=""/>
    <s v=""/>
    <s v=""/>
    <s v=""/>
    <s v=""/>
    <s v=""/>
    <n v="14"/>
    <s v="EA"/>
    <n v="215.36"/>
    <s v=""/>
    <n v="3015.04"/>
    <s v="E-Maintenance"/>
    <s v="703921"/>
    <d v="2025-10-01T13:51:15"/>
    <s v=""/>
    <s v=""/>
    <s v=""/>
    <s v=""/>
  </r>
  <r>
    <s v="291479"/>
    <s v="Cowboy Pump &amp; Supply"/>
    <x v="12"/>
    <s v="Brandon Thompson"/>
    <s v="Fabian Lujan"/>
    <s v="PARTS DELIVERED"/>
    <s v="5051049"/>
    <s v="Upstream"/>
    <s v=""/>
    <s v="USD"/>
    <n v="1840.85"/>
    <s v="Direct Entry"/>
    <s v="1"/>
    <s v="15-XXXXXXXXXXXX"/>
    <s v="BOMBER SHADE POLARIZED"/>
    <s v="CREDIT CARD PURCHASE"/>
    <d v="2025-10-01T13:52:26"/>
    <d v="2025-08-29T00:00:00"/>
    <d v="2025-08-29T00:00:00"/>
    <s v=""/>
    <s v=""/>
    <s v=""/>
    <s v=""/>
    <s v=""/>
    <s v=""/>
    <s v=""/>
    <s v=""/>
    <s v=""/>
    <s v=""/>
    <s v=""/>
    <s v=""/>
    <s v=""/>
    <s v=""/>
    <s v=""/>
    <s v=""/>
    <s v=""/>
    <s v=""/>
    <s v=""/>
    <s v=""/>
    <s v=""/>
    <s v=""/>
    <s v=""/>
    <s v=""/>
    <s v="Material"/>
    <s v=""/>
    <s v=""/>
    <s v=""/>
    <s v="9100004000"/>
    <s v="FRM RTE-LUJAN FABIAN"/>
    <s v="Upstream"/>
    <s v="1046"/>
    <s v=""/>
    <s v=""/>
    <s v=""/>
    <s v=""/>
    <s v=""/>
    <s v=""/>
    <s v=""/>
    <n v="15"/>
    <s v="EA"/>
    <n v="103.71"/>
    <s v=""/>
    <n v="1555.65"/>
    <s v="E-Maintenance"/>
    <s v="703921"/>
    <d v="2025-10-01T13:57:54"/>
    <s v=""/>
    <s v=""/>
    <s v=""/>
    <s v=""/>
  </r>
  <r>
    <s v="10732"/>
    <s v="SixGun Energy Services"/>
    <x v="6"/>
    <s v="David Fuerte"/>
    <s v="Perry Jamison"/>
    <s v="Drove out to location, turned unit off closed valves bleed pressure off .added 2&quot; _x000a_Tee and 2x1/2 bushing with 1/2 valve for pt's to get installed on flowline"/>
    <s v="5051023"/>
    <s v="Upstream"/>
    <s v="168306"/>
    <s v="USD"/>
    <n v="195"/>
    <s v="Direct Entry"/>
    <s v="1"/>
    <s v="Roustabout:3-man crew"/>
    <s v="3-man crew"/>
    <s v="Roustabout"/>
    <d v="2025-10-08T16:08:11"/>
    <d v="2025-10-07T07:30:00"/>
    <d v="2025-10-07T09:00:00"/>
    <s v=""/>
    <s v=""/>
    <s v=""/>
    <s v=""/>
    <s v=""/>
    <s v=""/>
    <s v=""/>
    <s v=""/>
    <s v=""/>
    <s v=""/>
    <s v=""/>
    <s v=""/>
    <s v=""/>
    <s v=""/>
    <s v=""/>
    <s v=""/>
    <s v=""/>
    <s v=""/>
    <s v=""/>
    <s v=""/>
    <s v=""/>
    <s v=""/>
    <s v=""/>
    <s v=""/>
    <s v="Labor"/>
    <s v=""/>
    <s v=""/>
    <s v=""/>
    <s v="1000242200"/>
    <s v="MABEE BREEDLOVE Q 2407JM"/>
    <s v="Upstream"/>
    <s v="1046"/>
    <s v=""/>
    <s v=""/>
    <s v=""/>
    <s v=""/>
    <s v=""/>
    <s v=""/>
    <s v=""/>
    <n v="1.5"/>
    <s v="HR"/>
    <n v="130"/>
    <s v=""/>
    <n v="195"/>
    <s v="--multiple--"/>
    <s v="710774"/>
    <d v="2025-10-08T16:09:43"/>
    <s v=""/>
    <s v=""/>
    <s v=""/>
    <s v=""/>
  </r>
  <r>
    <s v="81252"/>
    <s v="DTM Trucking Inc."/>
    <x v="6"/>
    <s v="Daniel Martinez"/>
    <s v="Gary Cain"/>
    <s v="Haul 110bbls of p/w from location to 715"/>
    <s v="5051054"/>
    <s v="Upstream"/>
    <s v=""/>
    <s v="USD"/>
    <n v="273"/>
    <s v="Direct Entry"/>
    <s v="1"/>
    <s v="Vacuum Truck"/>
    <s v="Vacuum Truck"/>
    <s v=""/>
    <d v="2025-10-08T10:13:30"/>
    <d v="2025-10-06T08:45:00"/>
    <d v="2025-10-06T11:15:00"/>
    <d v="1899-12-30T02:30:00"/>
    <s v="Lewellen 9A 1"/>
    <s v="NA"/>
    <s v="NA"/>
    <s v="NA"/>
    <s v=""/>
    <s v=""/>
    <s v=""/>
    <s v=""/>
    <s v=""/>
    <s v=""/>
    <s v=""/>
    <s v=""/>
    <s v=""/>
    <s v=""/>
    <s v=""/>
    <s v=""/>
    <s v=""/>
    <s v=""/>
    <s v=""/>
    <s v=""/>
    <s v=""/>
    <n v="0"/>
    <s v="bbl"/>
    <s v=""/>
    <s v=""/>
    <s v=""/>
    <s v=""/>
    <s v="8300119700"/>
    <s v="LEWELLEN 9A 1 BATTERY"/>
    <s v="Upstream"/>
    <s v="1046"/>
    <s v=""/>
    <s v=""/>
    <s v=""/>
    <s v=""/>
    <s v=""/>
    <s v=""/>
    <s v="Hours Worked"/>
    <n v="2.5"/>
    <s v="hour"/>
    <n v="85"/>
    <s v=""/>
    <n v="212.5"/>
    <s v="Pricebook"/>
    <s v="712980"/>
    <d v="2025-10-08T13:41:33"/>
    <s v=""/>
    <s v=""/>
    <s v=""/>
    <s v=""/>
  </r>
  <r>
    <s v="81256"/>
    <s v="DTM Trucking Inc."/>
    <x v="6"/>
    <s v="Daniel Martinez"/>
    <s v="Gary Cain"/>
    <s v="Haul 110bbls of p/w from location to 715"/>
    <s v="5051054"/>
    <s v="Upstream"/>
    <s v=""/>
    <s v="USD"/>
    <n v="251.75"/>
    <s v="Direct Entry"/>
    <s v="1"/>
    <s v="Vacuum Truck"/>
    <s v="Vacuum Truck"/>
    <s v=""/>
    <d v="2025-10-08T10:20:08"/>
    <d v="2025-10-06T17:45:00"/>
    <d v="2025-10-06T20:00:00"/>
    <d v="1899-12-30T02:15:00"/>
    <s v="Lewellen 9A 1"/>
    <s v="NA"/>
    <s v="NA"/>
    <s v="NA"/>
    <s v=""/>
    <s v=""/>
    <s v=""/>
    <s v=""/>
    <s v=""/>
    <s v=""/>
    <s v=""/>
    <s v=""/>
    <s v=""/>
    <s v=""/>
    <s v=""/>
    <s v=""/>
    <s v=""/>
    <s v=""/>
    <s v=""/>
    <s v=""/>
    <s v=""/>
    <n v="0"/>
    <s v="bbl"/>
    <s v=""/>
    <s v=""/>
    <s v=""/>
    <s v=""/>
    <s v="8300119700"/>
    <s v="LEWELLEN 9A 1 BATTERY"/>
    <s v="Upstream"/>
    <s v="1046"/>
    <s v=""/>
    <s v=""/>
    <s v=""/>
    <s v=""/>
    <s v=""/>
    <s v=""/>
    <s v="Hours Worked"/>
    <n v="2.25"/>
    <s v="hour"/>
    <n v="85"/>
    <s v=""/>
    <n v="191.25"/>
    <s v="Pricebook"/>
    <s v="712980"/>
    <d v="2025-10-08T13:46:59"/>
    <s v=""/>
    <s v=""/>
    <s v=""/>
    <s v=""/>
  </r>
  <r>
    <s v="80305"/>
    <s v="DTM Trucking Inc."/>
    <x v="6"/>
    <s v="Daniel Martinez"/>
    <s v="Gary Cain"/>
    <s v="Haul 110bbls of p/w from location to 715"/>
    <s v="5051054"/>
    <s v="Upstream"/>
    <s v=""/>
    <s v="USD"/>
    <n v="294.25"/>
    <s v="Direct Entry"/>
    <s v="1"/>
    <s v="Vacuum Truck"/>
    <s v="Vacuum Truck"/>
    <s v=""/>
    <d v="2025-10-08T12:08:01"/>
    <d v="2025-10-06T06:15:00"/>
    <d v="2025-10-06T09:00:00"/>
    <d v="1899-12-30T02:45:00"/>
    <s v="McClintic Trust"/>
    <s v="NA"/>
    <s v="NA"/>
    <s v="NA"/>
    <s v=""/>
    <s v=""/>
    <s v=""/>
    <s v=""/>
    <s v=""/>
    <s v=""/>
    <s v=""/>
    <s v=""/>
    <s v=""/>
    <s v=""/>
    <s v=""/>
    <s v=""/>
    <s v=""/>
    <s v=""/>
    <s v=""/>
    <s v=""/>
    <s v=""/>
    <n v="0"/>
    <s v="bbl"/>
    <s v=""/>
    <s v=""/>
    <s v=""/>
    <s v=""/>
    <s v="8300190000"/>
    <s v="MCCLINTIC TRUST BATTERY"/>
    <s v="Upstream"/>
    <s v="1046"/>
    <s v=""/>
    <s v=""/>
    <s v=""/>
    <s v=""/>
    <s v=""/>
    <s v=""/>
    <s v="Hours Worked"/>
    <n v="2.75"/>
    <s v="hour"/>
    <n v="85"/>
    <s v=""/>
    <n v="233.75"/>
    <s v="Pricebook"/>
    <s v="712980"/>
    <d v="2025-10-08T13:30:59"/>
    <s v=""/>
    <s v=""/>
    <s v=""/>
    <s v=""/>
  </r>
  <r>
    <s v="81253"/>
    <s v="DTM Trucking Inc."/>
    <x v="6"/>
    <s v="Daniel Martinez"/>
    <s v="Gary Cain"/>
    <s v="Haul 110bbls of p/w from location to 715"/>
    <s v="5051054"/>
    <s v="Upstream"/>
    <s v=""/>
    <s v="USD"/>
    <n v="273"/>
    <s v="Direct Entry"/>
    <s v="1"/>
    <s v="Vacuum Truck"/>
    <s v="Vacuum Truck"/>
    <s v=""/>
    <d v="2025-10-08T12:24:15"/>
    <d v="2025-10-06T11:15:00"/>
    <d v="2025-10-06T13:45:00"/>
    <d v="1899-12-30T02:30:00"/>
    <s v="Jones 4 LCX"/>
    <s v="NA"/>
    <s v="NA"/>
    <s v="NA"/>
    <s v=""/>
    <s v=""/>
    <s v=""/>
    <s v=""/>
    <s v=""/>
    <s v=""/>
    <s v=""/>
    <s v=""/>
    <s v=""/>
    <s v=""/>
    <s v=""/>
    <s v=""/>
    <s v=""/>
    <s v=""/>
    <s v=""/>
    <s v=""/>
    <s v=""/>
    <n v="0"/>
    <s v="bbl"/>
    <s v=""/>
    <s v=""/>
    <s v=""/>
    <s v=""/>
    <s v="8300114800"/>
    <s v="JONES 4 LCX 1 BATTERY"/>
    <s v="Upstream"/>
    <s v="1046"/>
    <s v=""/>
    <s v=""/>
    <s v=""/>
    <s v=""/>
    <s v=""/>
    <s v=""/>
    <s v="Hours Worked"/>
    <n v="2.5"/>
    <s v="hour"/>
    <n v="85"/>
    <s v=""/>
    <n v="212.5"/>
    <s v="Pricebook"/>
    <s v="712980"/>
    <d v="2025-10-10T09:54:22"/>
    <s v=""/>
    <s v=""/>
    <s v=""/>
    <s v=""/>
  </r>
  <r>
    <s v="81259"/>
    <s v="DTM Trucking Inc."/>
    <x v="6"/>
    <s v="Daniel Martinez"/>
    <s v="Gary Cain"/>
    <s v="Haul 110bbls of p/w from location to 715"/>
    <s v="5051054"/>
    <s v="Upstream"/>
    <s v=""/>
    <s v="USD"/>
    <n v="251.75"/>
    <s v="Direct Entry"/>
    <s v="1"/>
    <s v="Vacuum Truck"/>
    <s v="Vacuum Truck"/>
    <s v=""/>
    <d v="2025-10-08T09:30:23"/>
    <d v="2025-10-07T12:15:00"/>
    <d v="2025-10-07T14:30:00"/>
    <d v="1899-12-30T02:15:00"/>
    <s v="McClintic Trust"/>
    <s v="NA"/>
    <s v="NA"/>
    <s v="NA"/>
    <s v=""/>
    <s v=""/>
    <s v=""/>
    <s v=""/>
    <s v=""/>
    <s v=""/>
    <s v=""/>
    <s v=""/>
    <s v=""/>
    <s v=""/>
    <s v=""/>
    <s v=""/>
    <s v=""/>
    <s v=""/>
    <s v=""/>
    <s v=""/>
    <s v=""/>
    <n v="0"/>
    <s v="bbl"/>
    <s v=""/>
    <s v=""/>
    <s v=""/>
    <s v=""/>
    <s v="8300190000"/>
    <s v="MCCLINTIC TRUST BATTERY"/>
    <s v="Upstream"/>
    <s v="1046"/>
    <s v=""/>
    <s v=""/>
    <s v=""/>
    <s v=""/>
    <s v=""/>
    <s v=""/>
    <s v="Hours Worked"/>
    <n v="2.25"/>
    <s v="hour"/>
    <n v="85"/>
    <s v=""/>
    <n v="191.25"/>
    <s v="Pricebook"/>
    <s v="712980"/>
    <d v="2025-10-08T14:17:52"/>
    <s v=""/>
    <s v=""/>
    <s v=""/>
    <s v=""/>
  </r>
  <r>
    <s v="62704"/>
    <s v="DTM Trucking Inc."/>
    <x v="6"/>
    <s v="Daniel Martinez"/>
    <s v="Gary Cain"/>
    <s v="Haul 330bbls of p/w from location to Midland National Bank SWD"/>
    <s v="5051054"/>
    <s v="Upstream"/>
    <s v=""/>
    <s v="USD"/>
    <n v="680"/>
    <s v="Direct Entry"/>
    <s v="1"/>
    <s v="Vacuum Truck"/>
    <s v="Vacuum Truck"/>
    <s v=""/>
    <d v="2025-10-08T09:42:49"/>
    <d v="2025-10-07T07:15:00"/>
    <d v="2025-10-07T15:15:00"/>
    <d v="1899-12-30T08:00:00"/>
    <s v="Currie 10 1"/>
    <s v="NA"/>
    <s v="NA"/>
    <s v="NA"/>
    <s v=""/>
    <s v=""/>
    <s v=""/>
    <s v=""/>
    <s v=""/>
    <s v=""/>
    <s v=""/>
    <s v=""/>
    <s v=""/>
    <s v=""/>
    <s v=""/>
    <s v=""/>
    <s v=""/>
    <s v=""/>
    <s v=""/>
    <s v=""/>
    <s v=""/>
    <n v="0"/>
    <s v="bbl"/>
    <s v=""/>
    <s v=""/>
    <s v=""/>
    <s v=""/>
    <s v="8300092800"/>
    <s v="CURRIE 10 1 BATTERY"/>
    <s v="Upstream"/>
    <s v="1046"/>
    <s v=""/>
    <s v=""/>
    <s v=""/>
    <s v=""/>
    <s v=""/>
    <s v=""/>
    <s v="Hours Worked"/>
    <n v="8"/>
    <s v="hour"/>
    <n v="85"/>
    <s v=""/>
    <n v="680"/>
    <s v="Pricebook"/>
    <s v="712980"/>
    <d v="2025-10-10T09:56:47"/>
    <s v=""/>
    <s v=""/>
    <s v=""/>
    <s v=""/>
  </r>
  <r>
    <s v="80325"/>
    <s v="DTM Trucking Inc."/>
    <x v="6"/>
    <s v="Daniel Martinez"/>
    <s v="Gary Cain"/>
    <s v="Haul 110bbls of p/w from location to 715"/>
    <s v="5051054"/>
    <s v="Upstream"/>
    <s v=""/>
    <s v="USD"/>
    <n v="230.5"/>
    <s v="Direct Entry"/>
    <s v="1"/>
    <s v="Vacuum Truck"/>
    <s v="Vacuum Truck"/>
    <s v=""/>
    <d v="2025-10-08T10:02:44"/>
    <d v="2025-10-07T13:00:00"/>
    <d v="2025-10-07T15:00:00"/>
    <d v="1899-12-30T02:00:00"/>
    <s v="McClintic Trust"/>
    <s v="NA"/>
    <s v="NA"/>
    <s v="NA"/>
    <s v=""/>
    <s v=""/>
    <s v=""/>
    <s v=""/>
    <s v=""/>
    <s v=""/>
    <s v=""/>
    <s v=""/>
    <s v=""/>
    <s v=""/>
    <s v=""/>
    <s v=""/>
    <s v=""/>
    <s v=""/>
    <s v=""/>
    <s v=""/>
    <s v=""/>
    <n v="0"/>
    <s v="bbl"/>
    <s v=""/>
    <s v=""/>
    <s v=""/>
    <s v=""/>
    <s v="8300190000"/>
    <s v="MCCLINTIC TRUST BATTERY"/>
    <s v="Upstream"/>
    <s v="1046"/>
    <s v=""/>
    <s v=""/>
    <s v=""/>
    <s v=""/>
    <s v=""/>
    <s v=""/>
    <s v="Hours Worked"/>
    <n v="2"/>
    <s v="hour"/>
    <n v="85"/>
    <s v=""/>
    <n v="170"/>
    <s v="Pricebook"/>
    <s v="712980"/>
    <d v="2025-10-08T14:13:44"/>
    <s v=""/>
    <s v=""/>
    <s v=""/>
    <s v=""/>
  </r>
  <r>
    <s v="117876"/>
    <s v="Premier Energy Services, LLC"/>
    <x v="5"/>
    <s v="Brandon Thompson"/>
    <s v="Fabian Lujan"/>
    <s v="WE BUILT BERM/ FIREWALL AROUND BATTERY - FLARE SITE ON LOCATION"/>
    <s v="5051027"/>
    <s v="Upstream"/>
    <s v=""/>
    <s v="USD"/>
    <n v="4387.5"/>
    <s v="Direct Entry"/>
    <s v="1"/>
    <s v="2-man environmental crew"/>
    <s v="2-man environmental crew"/>
    <s v=""/>
    <d v="2025-10-01T14:20:50"/>
    <d v="2025-09-26T07:00:00"/>
    <d v="2025-09-26T17:00:00"/>
    <s v=""/>
    <s v="MIDWAY 2-35 BATTERY"/>
    <s v=""/>
    <s v=""/>
    <s v=""/>
    <s v=""/>
    <s v=""/>
    <s v=""/>
    <s v=""/>
    <s v=""/>
    <s v=""/>
    <s v=""/>
    <s v=""/>
    <s v=""/>
    <s v=""/>
    <s v=""/>
    <s v=""/>
    <s v=""/>
    <s v=""/>
    <s v=""/>
    <s v=""/>
    <s v=""/>
    <s v=""/>
    <s v=""/>
    <s v="Labor"/>
    <s v=""/>
    <s v="117876"/>
    <s v=""/>
    <s v="8300127100"/>
    <s v="MIDWAY 2-35 BATTERY"/>
    <s v="Upstream"/>
    <s v="1046"/>
    <s v=""/>
    <s v=""/>
    <s v=""/>
    <s v=""/>
    <s v=""/>
    <s v=""/>
    <s v=""/>
    <n v="10"/>
    <s v="Hr."/>
    <n v="115"/>
    <s v=""/>
    <n v="1150"/>
    <s v="--multiple--"/>
    <s v="702081"/>
    <d v="2025-10-01T14:23:41"/>
    <s v=""/>
    <s v=""/>
    <s v=""/>
    <s v=""/>
  </r>
  <r>
    <s v="82652"/>
    <s v="DTM Trucking Inc."/>
    <x v="6"/>
    <s v="Daniel Martinez"/>
    <s v="Gary Cain"/>
    <s v="Haul 110bbls of p/w from location to 715"/>
    <s v="5051054"/>
    <s v="Upstream"/>
    <s v=""/>
    <s v="USD"/>
    <n v="230.5"/>
    <s v="Direct Entry"/>
    <s v="1"/>
    <s v="Vacuum Truck"/>
    <s v="Vacuum Truck"/>
    <s v=""/>
    <d v="2025-10-09T09:33:46"/>
    <d v="2025-10-08T14:30:00"/>
    <d v="2025-10-08T16:30:00"/>
    <d v="1899-12-30T02:00:00"/>
    <s v="Jones 4 LCX"/>
    <s v="NA"/>
    <s v="NA"/>
    <s v="NA"/>
    <s v=""/>
    <s v=""/>
    <s v=""/>
    <s v=""/>
    <s v=""/>
    <s v=""/>
    <s v=""/>
    <s v=""/>
    <s v=""/>
    <s v=""/>
    <s v=""/>
    <s v=""/>
    <s v=""/>
    <s v=""/>
    <s v=""/>
    <s v=""/>
    <s v=""/>
    <n v="0"/>
    <s v="bbl"/>
    <s v=""/>
    <s v=""/>
    <s v=""/>
    <s v=""/>
    <s v="8300114800"/>
    <s v="JONES 4 LCX 1 BATTERY"/>
    <s v="Upstream"/>
    <s v="1046"/>
    <s v=""/>
    <s v=""/>
    <s v=""/>
    <s v=""/>
    <s v=""/>
    <s v=""/>
    <s v="Hours Worked"/>
    <n v="2"/>
    <s v="hour"/>
    <n v="85"/>
    <s v=""/>
    <n v="170"/>
    <s v="Pricebook"/>
    <s v="712980"/>
    <d v="2025-10-10T12:56:40"/>
    <s v=""/>
    <s v=""/>
    <s v=""/>
    <s v=""/>
  </r>
  <r>
    <s v="82651"/>
    <s v="DTM Trucking Inc."/>
    <x v="6"/>
    <s v="Daniel Martinez"/>
    <s v="Gary Cain"/>
    <s v="Haul 95bbls of p/w from location to 715"/>
    <s v="5051054"/>
    <s v="Upstream"/>
    <s v=""/>
    <s v="USD"/>
    <n v="222.25"/>
    <s v="Direct Entry"/>
    <s v="1"/>
    <s v="Vacuum Truck"/>
    <s v="Vacuum Truck"/>
    <s v=""/>
    <d v="2025-10-09T10:12:56"/>
    <d v="2025-10-08T12:30:00"/>
    <d v="2025-10-08T14:30:00"/>
    <d v="1899-12-30T02:00:00"/>
    <s v="Elkin 42A"/>
    <s v="NA"/>
    <s v="NA"/>
    <s v="NA"/>
    <s v=""/>
    <s v=""/>
    <s v=""/>
    <s v=""/>
    <s v=""/>
    <s v=""/>
    <s v=""/>
    <s v=""/>
    <s v=""/>
    <s v=""/>
    <s v=""/>
    <s v=""/>
    <s v=""/>
    <s v=""/>
    <s v=""/>
    <s v=""/>
    <s v=""/>
    <n v="0"/>
    <s v="bbl"/>
    <s v=""/>
    <s v=""/>
    <s v=""/>
    <s v=""/>
    <s v="8300097100"/>
    <s v="ELKIN 42A 2H BATTERY"/>
    <s v="Upstream"/>
    <s v="1046"/>
    <s v=""/>
    <s v=""/>
    <s v=""/>
    <s v=""/>
    <s v=""/>
    <s v=""/>
    <s v="Hours Worked"/>
    <n v="2"/>
    <s v="hour"/>
    <n v="85"/>
    <s v=""/>
    <n v="170"/>
    <s v="Pricebook"/>
    <s v="712980"/>
    <d v="2025-10-09T12:54:12"/>
    <s v=""/>
    <s v=""/>
    <s v=""/>
    <s v=""/>
  </r>
  <r>
    <s v="211439"/>
    <s v="Basin Trucking LLC"/>
    <x v="12"/>
    <s v="Delfino Martinez"/>
    <s v="Christopher Falcon"/>
    <s v="Drove to yard for compressor went to ACS for parts drove to location blew down the line from the heater to the compressor to clean out trash ad rust on valves end line."/>
    <s v="5051006"/>
    <s v="Upstream"/>
    <s v="162721"/>
    <s v="USD"/>
    <n v="618.75"/>
    <s v="Direct Entry"/>
    <s v="1"/>
    <s v="Supervisor"/>
    <s v="Supervisor"/>
    <s v="Roustabout Crew"/>
    <d v="2025-10-02T09:58:00"/>
    <d v="2025-09-22T14:30:00"/>
    <d v="2025-09-22T16:45:00"/>
    <s v=""/>
    <s v="WINDHAM C BATTERY"/>
    <s v=""/>
    <s v=""/>
    <s v=""/>
    <s v=""/>
    <s v=""/>
    <s v=""/>
    <s v=""/>
    <s v=""/>
    <s v=""/>
    <s v=""/>
    <s v=""/>
    <s v=""/>
    <s v=""/>
    <s v=""/>
    <s v=""/>
    <s v=""/>
    <s v=""/>
    <s v=""/>
    <s v=""/>
    <s v=""/>
    <s v=""/>
    <s v=""/>
    <s v="Labor"/>
    <s v=""/>
    <s v=""/>
    <s v=""/>
    <s v="8300167700"/>
    <s v="WINDHAM C BATTERY"/>
    <s v="Upstream"/>
    <s v="1046"/>
    <s v=""/>
    <s v=""/>
    <s v=""/>
    <s v=""/>
    <s v=""/>
    <s v=""/>
    <s v=""/>
    <n v="4.25"/>
    <s v="HR"/>
    <n v="75"/>
    <s v=""/>
    <n v="318.75"/>
    <s v="--multiple--"/>
    <s v="703517"/>
    <d v="2025-10-02T10:01:25"/>
    <s v=""/>
    <s v=""/>
    <s v=""/>
    <s v=""/>
  </r>
  <r>
    <s v="212377"/>
    <s v="Basin Trucking LLC"/>
    <x v="9"/>
    <s v="Delfino Martinez"/>
    <s v="Christopher Falcon"/>
    <s v="Drove to location and inspected 1' poly pipe fused the poly made sure everything work correctly."/>
    <s v="5051023"/>
    <s v="Upstream"/>
    <s v="166635"/>
    <s v="USD"/>
    <n v="440"/>
    <s v="Direct Entry"/>
    <s v="1"/>
    <s v="3 Man Crew"/>
    <s v="3 Man Crew"/>
    <s v="Roustabout Crew"/>
    <d v="2025-10-07T14:07:58"/>
    <d v="2025-09-26T07:00:00"/>
    <d v="2025-09-26T09:00:00"/>
    <s v=""/>
    <s v="Rio Pedernales 23-24 Unit 2"/>
    <s v=""/>
    <s v=""/>
    <s v=""/>
    <s v=""/>
    <s v=""/>
    <s v=""/>
    <s v=""/>
    <s v=""/>
    <s v=""/>
    <s v=""/>
    <s v=""/>
    <s v=""/>
    <s v=""/>
    <s v=""/>
    <s v=""/>
    <s v=""/>
    <s v=""/>
    <s v=""/>
    <s v=""/>
    <s v=""/>
    <s v=""/>
    <s v=""/>
    <s v="Labor"/>
    <s v=""/>
    <s v=""/>
    <s v=""/>
    <s v="8300147100"/>
    <s v="RIO PEDERNALES 23-24 UNIT 2 BATTERY"/>
    <s v="Upstream"/>
    <s v="1046"/>
    <s v=""/>
    <s v=""/>
    <s v=""/>
    <s v=""/>
    <s v=""/>
    <s v=""/>
    <s v=""/>
    <n v="2"/>
    <s v="HR"/>
    <n v="130"/>
    <s v=""/>
    <n v="260"/>
    <s v="--multiple--"/>
    <s v="703517"/>
    <d v="2025-10-07T14:12:10"/>
    <s v=""/>
    <s v=""/>
    <s v=""/>
    <s v=""/>
  </r>
  <r>
    <s v="309382"/>
    <s v="Salazar Services &amp; Trucking Corp"/>
    <x v="0"/>
    <s v="Daren Maners"/>
    <s v="Elam Tavarez"/>
    <s v="ADRIEL LUJAN ORDERED A KILL TRUCK FOR TRUE GRIT 16-17 F #17WA TO PERFORM CHEMICAL JOB."/>
    <s v="5051057"/>
    <s v="Upstream"/>
    <s v=""/>
    <s v="USD"/>
    <n v="783"/>
    <s v="Direct Entry"/>
    <s v="1"/>
    <s v="120 BBL Kill Truck"/>
    <s v="120 BBL Kill Truck"/>
    <s v="Transportation and Logistics"/>
    <d v="2025-09-29T12:54:49"/>
    <d v="2025-09-23T06:45:00"/>
    <d v="2025-09-23T12:00:00"/>
    <d v="1899-12-30T05:15:00"/>
    <s v="TRUE GRIT 16-17 F 17WA"/>
    <s v=""/>
    <s v=""/>
    <s v="Fresh Water"/>
    <s v=""/>
    <s v=""/>
    <s v=""/>
    <s v=""/>
    <s v=""/>
    <s v=""/>
    <s v=""/>
    <s v=""/>
    <s v=""/>
    <s v=""/>
    <s v=""/>
    <s v=""/>
    <s v=""/>
    <s v=""/>
    <s v=""/>
    <s v=""/>
    <s v=""/>
    <n v="100"/>
    <s v="bbl"/>
    <s v=""/>
    <s v=""/>
    <s v=""/>
    <s v=""/>
    <s v="1001145600"/>
    <s v="TRUE GRIT 16-17 F 17WA"/>
    <s v="Upstream"/>
    <s v="1046"/>
    <s v=""/>
    <s v=""/>
    <s v=""/>
    <s v=""/>
    <s v=""/>
    <s v=""/>
    <s v="Hours Worked"/>
    <n v="5.25"/>
    <s v="hour"/>
    <n v="132"/>
    <s v=""/>
    <n v="693"/>
    <s v="--multiple--"/>
    <s v="709340"/>
    <d v="2025-09-29T12:57:12"/>
    <s v=""/>
    <s v=""/>
    <s v=""/>
    <s v=""/>
  </r>
  <r>
    <s v="315577"/>
    <s v="Salazar Services &amp; Trucking Corp"/>
    <x v="6"/>
    <s v="Daren Maners"/>
    <s v="Elam Tavarez"/>
    <s v="DAREN MANERS ORDERED A KILL TRUCK FOR GUNSMOKE 1-40 B 2LS TO PERFORM A CHEMICAL JOB."/>
    <s v="5051057"/>
    <s v="Upstream"/>
    <s v=""/>
    <s v="USD"/>
    <n v="486"/>
    <s v="Direct Entry"/>
    <s v="1"/>
    <s v="120 BBL Kill Truck"/>
    <s v="120 BBL Kill Truck"/>
    <s v="Transportation and Logistics"/>
    <d v="2025-10-13T13:56:19"/>
    <d v="2025-10-01T06:30:00"/>
    <d v="2025-10-01T09:30:00"/>
    <d v="1899-12-30T03:00:00"/>
    <s v="GUNSMOKE 1-40B 2LS"/>
    <s v=""/>
    <s v=""/>
    <s v="Fresh Water"/>
    <s v=""/>
    <s v=""/>
    <s v=""/>
    <s v=""/>
    <s v=""/>
    <s v=""/>
    <s v=""/>
    <s v=""/>
    <s v=""/>
    <s v=""/>
    <s v=""/>
    <s v=""/>
    <s v=""/>
    <s v=""/>
    <s v=""/>
    <s v=""/>
    <s v=""/>
    <n v="100"/>
    <s v="bbl"/>
    <s v=""/>
    <s v=""/>
    <s v=""/>
    <s v=""/>
    <s v="1000283400"/>
    <s v="GUNSMOKE 1-40 B 2LS"/>
    <s v="Upstream"/>
    <s v="1046"/>
    <s v=""/>
    <s v=""/>
    <s v=""/>
    <s v=""/>
    <s v=""/>
    <s v=""/>
    <s v="Hours Worked"/>
    <n v="3"/>
    <s v="hour"/>
    <n v="132"/>
    <s v=""/>
    <n v="396"/>
    <s v="--multiple--"/>
    <s v="709340"/>
    <d v="2025-10-13T13:58:04"/>
    <s v=""/>
    <s v=""/>
    <s v=""/>
    <s v=""/>
  </r>
  <r>
    <s v="308111"/>
    <s v="Salazar Services &amp; Trucking Corp"/>
    <x v="6"/>
    <s v="Daren Maners"/>
    <s v="Elam Tavarez"/>
    <s v="DAREN MANERS ORDERED A VACUUM TRUCK FOR MCLINTOCK 15-27M 13WA TO SUPPLY FRESH WATER."/>
    <s v="5051057"/>
    <s v="Upstream"/>
    <s v=""/>
    <s v="USD"/>
    <n v="825.75"/>
    <s v="Direct Entry"/>
    <s v="1"/>
    <s v="120 BBL Vacuum/Transport Truck"/>
    <s v="120 BBL Vacuum/Transport Truck"/>
    <s v="Transportation and Logistics"/>
    <d v="2025-10-13T14:02:22"/>
    <d v="2025-10-01T12:30:00"/>
    <d v="2025-10-01T19:15:00"/>
    <d v="1899-12-30T06:45:00"/>
    <s v="MCLINTOCK 15-27M 13WA"/>
    <s v=""/>
    <s v=""/>
    <s v="Fresh Water"/>
    <s v=""/>
    <s v=""/>
    <s v=""/>
    <s v=""/>
    <s v=""/>
    <s v=""/>
    <s v=""/>
    <s v=""/>
    <s v=""/>
    <s v=""/>
    <s v=""/>
    <s v=""/>
    <s v=""/>
    <s v=""/>
    <s v=""/>
    <s v=""/>
    <s v=""/>
    <n v="100"/>
    <s v="bbl"/>
    <s v=""/>
    <s v=""/>
    <s v=""/>
    <s v=""/>
    <s v="1000736400"/>
    <s v="MCLINTOCK 15-27 M 13WA"/>
    <s v="Upstream"/>
    <s v="1046"/>
    <s v=""/>
    <s v=""/>
    <s v=""/>
    <s v=""/>
    <s v=""/>
    <s v=""/>
    <s v="Hours Worked"/>
    <n v="6.75"/>
    <s v="hour"/>
    <n v="109"/>
    <s v=""/>
    <n v="735.75"/>
    <s v="--multiple--"/>
    <s v="709340"/>
    <d v="2025-10-13T14:04:13"/>
    <s v=""/>
    <s v=""/>
    <s v=""/>
    <s v=""/>
  </r>
  <r>
    <s v="315579"/>
    <s v="Salazar Services &amp; Trucking Corp"/>
    <x v="6"/>
    <s v="Daren Maners"/>
    <s v="Elam Tavarez"/>
    <s v="DAREN MANERS ORDERED A KILL TRUCK FOR MCLLINTOCK 15-27M 13WA TO PERFORM A CHEMICAL JOB."/>
    <s v="5051057"/>
    <s v="Upstream"/>
    <s v=""/>
    <s v="USD"/>
    <n v="816"/>
    <s v="Direct Entry"/>
    <s v="1"/>
    <s v="120 BBL Kill Truck"/>
    <s v="120 BBL Kill Truck"/>
    <s v="Transportation and Logistics"/>
    <d v="2025-10-13T14:06:32"/>
    <d v="2025-10-01T13:30:00"/>
    <d v="2025-10-01T19:00:00"/>
    <d v="1899-12-30T05:30:00"/>
    <s v="MCLINTOCK 15-27M 13WA"/>
    <s v=""/>
    <s v=""/>
    <s v="Fresh Water"/>
    <s v=""/>
    <s v=""/>
    <s v=""/>
    <s v=""/>
    <s v=""/>
    <s v=""/>
    <s v=""/>
    <s v=""/>
    <s v=""/>
    <s v=""/>
    <s v=""/>
    <s v=""/>
    <s v=""/>
    <s v=""/>
    <s v=""/>
    <s v=""/>
    <s v=""/>
    <n v="100"/>
    <s v="bbl"/>
    <s v=""/>
    <s v=""/>
    <s v=""/>
    <s v=""/>
    <s v="1000736400"/>
    <s v="MCLINTOCK 15-27 M 13WA"/>
    <s v="Upstream"/>
    <s v="1046"/>
    <s v=""/>
    <s v=""/>
    <s v=""/>
    <s v=""/>
    <s v=""/>
    <s v=""/>
    <s v="Hours Worked"/>
    <n v="5.5"/>
    <s v="hour"/>
    <n v="132"/>
    <s v=""/>
    <n v="726"/>
    <s v="--multiple--"/>
    <s v="709340"/>
    <d v="2025-10-13T14:09:00"/>
    <s v=""/>
    <s v=""/>
    <s v=""/>
    <s v=""/>
  </r>
  <r>
    <s v="315146"/>
    <s v="Salazar Services &amp; Trucking Corp"/>
    <x v="6"/>
    <s v="Daren Maners"/>
    <s v="Elam Tavarez"/>
    <s v="DAREN MANERS ORDERED A VACUUM TRUCK FOR MCLINTOCK 15-27 L 18WB TO SUPPLY FRESHW ATER."/>
    <s v="5051057"/>
    <s v="Upstream"/>
    <s v=""/>
    <s v="USD"/>
    <n v="644"/>
    <s v="Direct Entry"/>
    <s v="1"/>
    <s v="120 BBL Vacuum/Transport Truck"/>
    <s v="120 BBL Vacuum/Transport Truck"/>
    <s v="Transportation and Logistics"/>
    <d v="2025-10-13T14:23:48"/>
    <d v="2025-10-06T06:15:00"/>
    <d v="2025-10-06T11:15:00"/>
    <d v="1899-12-30T05:00:00"/>
    <s v="MCLINTOCK 15-27 L 18WB"/>
    <s v=""/>
    <s v=""/>
    <s v="Fresh Water"/>
    <s v=""/>
    <s v=""/>
    <s v=""/>
    <s v=""/>
    <s v=""/>
    <s v=""/>
    <s v=""/>
    <s v=""/>
    <s v=""/>
    <s v=""/>
    <s v=""/>
    <s v=""/>
    <s v=""/>
    <s v=""/>
    <s v=""/>
    <s v=""/>
    <s v=""/>
    <n v="110"/>
    <s v="bbl"/>
    <s v=""/>
    <s v=""/>
    <s v=""/>
    <s v=""/>
    <s v="1000727200"/>
    <s v="MCLINTOCK 15-27 L 18WB"/>
    <s v="Upstream"/>
    <s v="1046"/>
    <s v=""/>
    <s v=""/>
    <s v=""/>
    <s v=""/>
    <s v=""/>
    <s v=""/>
    <s v="Hours Worked"/>
    <n v="5"/>
    <s v="hour"/>
    <n v="109"/>
    <s v=""/>
    <n v="545"/>
    <s v="--multiple--"/>
    <s v="709340"/>
    <d v="2025-10-13T14:25:44"/>
    <s v=""/>
    <s v=""/>
    <s v=""/>
    <s v=""/>
  </r>
  <r>
    <s v="315593"/>
    <s v="Salazar Services &amp; Trucking Corp"/>
    <x v="6"/>
    <s v="Daren Maners"/>
    <s v="Elam Tavarez"/>
    <s v="DAREN MANERS ORDERED A KILL TRUCK FOR MCLINTOCK 15-27 L 18WB TO PERFORM A CHEMICAL JOB"/>
    <s v="5051057"/>
    <s v="Upstream"/>
    <s v=""/>
    <s v="USD"/>
    <n v="750"/>
    <s v="Direct Entry"/>
    <s v="1"/>
    <s v="120 BBL Kill Truck"/>
    <s v="120 BBL Kill Truck"/>
    <s v="Transportation and Logistics"/>
    <d v="2025-10-13T14:27:30"/>
    <d v="2025-10-06T07:00:00"/>
    <d v="2025-10-06T12:00:00"/>
    <d v="1899-12-30T05:00:00"/>
    <s v="MCLINTOCK 15-27 L 18WB"/>
    <s v=""/>
    <s v=""/>
    <s v="Fresh Water"/>
    <s v=""/>
    <s v=""/>
    <s v=""/>
    <s v=""/>
    <s v=""/>
    <s v=""/>
    <s v=""/>
    <s v=""/>
    <s v=""/>
    <s v=""/>
    <s v=""/>
    <s v=""/>
    <s v=""/>
    <s v=""/>
    <s v=""/>
    <s v=""/>
    <s v=""/>
    <n v="100"/>
    <s v="bbl"/>
    <s v=""/>
    <s v=""/>
    <s v=""/>
    <s v=""/>
    <s v="1000727200"/>
    <s v="MCLINTOCK 15-27 L 18WB"/>
    <s v="Upstream"/>
    <s v="1046"/>
    <s v=""/>
    <s v=""/>
    <s v=""/>
    <s v=""/>
    <s v=""/>
    <s v=""/>
    <s v="Hours Worked"/>
    <n v="5"/>
    <s v="hour"/>
    <n v="132"/>
    <s v=""/>
    <n v="660"/>
    <s v="--multiple--"/>
    <s v="709340"/>
    <d v="2025-10-13T14:29:19"/>
    <s v=""/>
    <s v=""/>
    <s v=""/>
    <s v=""/>
  </r>
  <r>
    <s v="211111"/>
    <s v="Basin Trucking LLC"/>
    <x v="12"/>
    <s v="Delfino Martinez"/>
    <s v="Colby Brunson"/>
    <s v="Drove to location and replaced 2: pipe from the flow line connected back everything we made sure stop leaking."/>
    <s v="5051023"/>
    <s v="Upstream"/>
    <s v="167490"/>
    <s v="USD"/>
    <n v="390"/>
    <s v="Direct Entry"/>
    <s v="1"/>
    <s v="3 Man Crew"/>
    <s v="3 Man Crew"/>
    <s v="Roustabout Crew"/>
    <d v="2025-10-07T07:59:16"/>
    <d v="2025-09-29T16:00:00"/>
    <d v="2025-09-29T19:00:00"/>
    <s v=""/>
    <s v="PARKS 28"/>
    <s v=""/>
    <s v=""/>
    <s v=""/>
    <s v=""/>
    <s v=""/>
    <s v=""/>
    <s v=""/>
    <s v=""/>
    <s v=""/>
    <s v=""/>
    <s v=""/>
    <s v=""/>
    <s v=""/>
    <s v=""/>
    <s v=""/>
    <s v=""/>
    <s v=""/>
    <s v=""/>
    <s v=""/>
    <s v=""/>
    <s v=""/>
    <s v=""/>
    <s v="Labor"/>
    <s v=""/>
    <s v=""/>
    <s v=""/>
    <s v="8300133300"/>
    <s v="PARKS 28 BATTERY"/>
    <s v="Upstream"/>
    <s v="1046"/>
    <s v=""/>
    <s v=""/>
    <s v=""/>
    <s v=""/>
    <s v=""/>
    <s v=""/>
    <s v=""/>
    <n v="3"/>
    <s v="HR"/>
    <n v="130"/>
    <s v=""/>
    <n v="390"/>
    <s v="--multiple--"/>
    <s v="703517"/>
    <d v="2025-10-07T08:00:28"/>
    <s v=""/>
    <s v=""/>
    <s v=""/>
    <s v=""/>
  </r>
  <r>
    <s v="25060"/>
    <s v="McBride Supplies It All, LLC"/>
    <x v="3"/>
    <s v="Derek Reynolds"/>
    <s v="Joel Windham"/>
    <s v="Provide Materials"/>
    <s v="5051008"/>
    <s v="Upstream"/>
    <s v=""/>
    <s v="USD"/>
    <n v="9682.68"/>
    <s v="Direct Entry"/>
    <s v="1"/>
    <s v="PRODUCT"/>
    <s v="9024 MCII Flow Analizer"/>
    <s v=""/>
    <d v="2025-10-13T10:40:31"/>
    <d v="2025-09-15T00:00:00"/>
    <d v="2025-09-15T00:00:00"/>
    <s v=""/>
    <s v=""/>
    <s v=""/>
    <s v=""/>
    <s v=""/>
    <s v=""/>
    <s v=""/>
    <s v=""/>
    <s v=""/>
    <s v=""/>
    <s v=""/>
    <s v=""/>
    <s v=""/>
    <s v=""/>
    <s v=""/>
    <s v=""/>
    <s v=""/>
    <s v=""/>
    <s v=""/>
    <s v=""/>
    <s v=""/>
    <s v=""/>
    <s v=""/>
    <s v=""/>
    <s v="Material"/>
    <s v=""/>
    <s v=""/>
    <s v=""/>
    <s v="8000131400"/>
    <s v="MABEE Y UL CTB"/>
    <s v="Upstream"/>
    <s v="1046"/>
    <s v=""/>
    <s v=""/>
    <s v=""/>
    <s v=""/>
    <s v=""/>
    <s v=""/>
    <s v=""/>
    <n v="4"/>
    <s v="EA"/>
    <n v="2420.67"/>
    <s v=""/>
    <n v="9682.68"/>
    <s v="Auto"/>
    <s v="704473"/>
    <d v="2025-10-13T10:43:39"/>
    <s v=""/>
    <s v=""/>
    <s v=""/>
    <s v=""/>
  </r>
  <r>
    <s v="25061"/>
    <s v="McBride Supplies It All, LLC"/>
    <x v="3"/>
    <s v="Derek Reynolds"/>
    <s v="Joel Windham"/>
    <s v="Provide Materials"/>
    <s v="5051008"/>
    <s v="Upstream"/>
    <s v=""/>
    <s v="USD"/>
    <n v="3143.28"/>
    <s v="Direct Entry"/>
    <s v="1"/>
    <s v="PRODUCT"/>
    <s v="9076 MCII Flow Analizer"/>
    <s v=""/>
    <d v="2025-10-13T10:44:25"/>
    <d v="2025-09-15T00:00:00"/>
    <d v="2025-09-15T00:00:00"/>
    <s v=""/>
    <s v=""/>
    <s v=""/>
    <s v=""/>
    <s v=""/>
    <s v=""/>
    <s v=""/>
    <s v=""/>
    <s v=""/>
    <s v=""/>
    <s v=""/>
    <s v=""/>
    <s v=""/>
    <s v=""/>
    <s v=""/>
    <s v=""/>
    <s v=""/>
    <s v=""/>
    <s v=""/>
    <s v=""/>
    <s v=""/>
    <s v=""/>
    <s v=""/>
    <s v=""/>
    <s v="Material"/>
    <s v=""/>
    <s v=""/>
    <s v=""/>
    <s v="8000039200"/>
    <s v="VINEYARD H BATTERY"/>
    <s v="Upstream"/>
    <s v="1046"/>
    <s v=""/>
    <s v=""/>
    <s v=""/>
    <s v=""/>
    <s v=""/>
    <s v=""/>
    <s v=""/>
    <n v="2"/>
    <s v="EA"/>
    <n v="1571.64"/>
    <s v=""/>
    <n v="3143.28"/>
    <s v="Auto"/>
    <s v="704473"/>
    <d v="2025-10-13T10:45:31"/>
    <s v=""/>
    <s v=""/>
    <s v=""/>
    <s v=""/>
  </r>
  <r>
    <s v="25206"/>
    <s v="McBride Supplies It All, LLC"/>
    <x v="3"/>
    <s v="Derek Reynolds"/>
    <s v="Joel Windham"/>
    <s v="Provide Materials"/>
    <s v="5051008"/>
    <s v="Upstream"/>
    <s v="159554"/>
    <s v="USD"/>
    <n v="1571.64"/>
    <s v="Direct Entry"/>
    <s v="1"/>
    <s v="PRODUCT"/>
    <s v="9076 MCII Flow Analizer"/>
    <s v=""/>
    <d v="2025-10-13T10:46:12"/>
    <d v="2025-09-25T00:00:00"/>
    <d v="2025-09-25T00:00:00"/>
    <s v=""/>
    <s v=""/>
    <s v=""/>
    <s v=""/>
    <s v=""/>
    <s v=""/>
    <s v=""/>
    <s v=""/>
    <s v=""/>
    <s v=""/>
    <s v=""/>
    <s v=""/>
    <s v=""/>
    <s v=""/>
    <s v=""/>
    <s v=""/>
    <s v=""/>
    <s v=""/>
    <s v=""/>
    <s v=""/>
    <s v=""/>
    <s v=""/>
    <s v=""/>
    <s v=""/>
    <s v="Material"/>
    <s v=""/>
    <s v=""/>
    <s v=""/>
    <s v="8000040400"/>
    <s v="JAGUAR H BATTERY"/>
    <s v="Upstream"/>
    <s v="1046"/>
    <s v=""/>
    <s v=""/>
    <s v=""/>
    <s v=""/>
    <s v=""/>
    <s v=""/>
    <s v=""/>
    <n v="1"/>
    <s v="EA"/>
    <n v="1571.64"/>
    <s v=""/>
    <n v="1571.64"/>
    <s v="Auto"/>
    <s v="704473"/>
    <d v="2025-10-13T10:47:04"/>
    <s v=""/>
    <s v=""/>
    <s v=""/>
    <s v=""/>
  </r>
  <r>
    <s v="18325"/>
    <s v="Bustamante Frontier Services LLC"/>
    <x v="7"/>
    <s v="David Fuerte"/>
    <s v="Perry Jamison"/>
    <s v="HYDROVAC TRUCK TO TRENCH LINES ON LOCATION."/>
    <s v="5051026"/>
    <s v="Upstream"/>
    <s v="167628"/>
    <s v="USD"/>
    <n v="3138.6"/>
    <s v="Direct Entry"/>
    <s v="1"/>
    <s v="BFS007"/>
    <s v="HYDROVAC TRUCK"/>
    <s v=""/>
    <d v="2025-10-07T13:52:32"/>
    <d v="2025-10-02T04:56:00"/>
    <d v="2025-10-02T17:32:00"/>
    <s v=""/>
    <s v="Work Order 167628R"/>
    <s v=""/>
    <s v=""/>
    <s v=""/>
    <s v=""/>
    <s v=""/>
    <s v=""/>
    <s v=""/>
    <s v=""/>
    <s v=""/>
    <s v=""/>
    <s v=""/>
    <s v=""/>
    <s v=""/>
    <s v=""/>
    <s v=""/>
    <s v=""/>
    <s v=""/>
    <s v=""/>
    <s v=""/>
    <s v=""/>
    <s v=""/>
    <s v=""/>
    <s v="Labor"/>
    <s v=""/>
    <s v=""/>
    <s v=""/>
    <s v="1000461800"/>
    <s v="MABEE BREEDLOVE 3902LS"/>
    <s v="Upstream"/>
    <s v="1046"/>
    <s v=""/>
    <s v=""/>
    <s v=""/>
    <s v=""/>
    <s v=""/>
    <s v=""/>
    <s v=""/>
    <n v="12.5"/>
    <s v="hour"/>
    <n v="250"/>
    <s v=""/>
    <n v="3125"/>
    <s v="--multiple--"/>
    <s v="706922"/>
    <d v="2025-10-13T15:22:06"/>
    <s v=""/>
    <s v=""/>
    <s v="Electronic Field Ticket Issue"/>
    <s v=""/>
  </r>
  <r>
    <s v="246830"/>
    <s v="Royal Oilfield Services LLC"/>
    <x v="9"/>
    <s v="Dennis Jackson"/>
    <s v="Mark Vasquez"/>
    <s v="DJ - Working at location to clean container 7 bbls are dispose at Ruger Chandler #1 SWD royal ticket # 179253"/>
    <s v="5051057"/>
    <s v="Upstream"/>
    <s v=""/>
    <s v="USD"/>
    <n v="247.5"/>
    <s v="Direct Entry"/>
    <s v="1"/>
    <s v="100001"/>
    <s v="Vacuum Truck"/>
    <s v="Vacuum Truck"/>
    <d v="2025-10-01T09:20:37"/>
    <d v="2025-09-23T08:00:00"/>
    <d v="2025-09-23T10:45:00"/>
    <d v="1899-12-30T02:45:00"/>
    <s v="Kimberly 2001/ D 2004LS"/>
    <s v=""/>
    <s v=""/>
    <s v="Produced Water"/>
    <s v=""/>
    <s v=""/>
    <s v=""/>
    <s v=""/>
    <s v=""/>
    <s v=""/>
    <s v=""/>
    <s v=""/>
    <s v=""/>
    <s v=""/>
    <s v=""/>
    <s v=""/>
    <s v=""/>
    <s v=""/>
    <s v=""/>
    <s v=""/>
    <s v=""/>
    <n v="0"/>
    <s v="bbl"/>
    <s v=""/>
    <s v=""/>
    <s v=""/>
    <s v=""/>
    <s v="1000524600"/>
    <s v="KIMBERLY D 2004LS"/>
    <s v="Upstream"/>
    <s v="1046"/>
    <s v=""/>
    <s v=""/>
    <s v=""/>
    <s v=""/>
    <s v=""/>
    <s v=""/>
    <s v="Hours Worked"/>
    <n v="1.38"/>
    <s v="hour"/>
    <n v="90"/>
    <s v=""/>
    <n v="123.75"/>
    <s v="Pricebook"/>
    <s v="703639"/>
    <d v="2025-10-10T05:56:05"/>
    <s v=""/>
    <s v=""/>
    <s v=""/>
    <s v=""/>
  </r>
  <r>
    <s v="25207"/>
    <s v="McBride Supplies It All, LLC"/>
    <x v="3"/>
    <s v="Derek Reynolds"/>
    <s v="Joel Windham"/>
    <s v="Provide Materials"/>
    <s v="5051008"/>
    <s v="Upstream"/>
    <s v=""/>
    <s v="USD"/>
    <n v="344.5"/>
    <s v="Direct Entry"/>
    <s v="1"/>
    <s v="PRODUCT"/>
    <s v="3&quot; Pathway Repair Kit"/>
    <s v=""/>
    <d v="2025-10-13T10:47:41"/>
    <d v="2025-09-25T00:00:00"/>
    <d v="2025-09-25T00:00:00"/>
    <s v=""/>
    <s v=""/>
    <s v=""/>
    <s v=""/>
    <s v=""/>
    <s v=""/>
    <s v=""/>
    <s v=""/>
    <s v=""/>
    <s v=""/>
    <s v=""/>
    <s v=""/>
    <s v=""/>
    <s v=""/>
    <s v=""/>
    <s v=""/>
    <s v=""/>
    <s v=""/>
    <s v=""/>
    <s v=""/>
    <s v=""/>
    <s v=""/>
    <s v=""/>
    <s v=""/>
    <s v="Material"/>
    <s v=""/>
    <s v=""/>
    <s v=""/>
    <s v="8000311600"/>
    <s v="UL GDK BATTERY"/>
    <s v="Upstream"/>
    <s v="1046"/>
    <s v=""/>
    <s v=""/>
    <s v=""/>
    <s v=""/>
    <s v=""/>
    <s v=""/>
    <s v=""/>
    <n v="1"/>
    <s v="EA"/>
    <n v="344.5"/>
    <s v=""/>
    <n v="344.5"/>
    <s v="Auto"/>
    <s v="704473"/>
    <d v="2025-10-13T10:48:44"/>
    <s v=""/>
    <s v=""/>
    <s v=""/>
    <s v=""/>
  </r>
  <r>
    <s v="1069803.87"/>
    <s v="Schlumberger Technology Corporation"/>
    <x v="0"/>
    <s v="Dillon Koenning"/>
    <s v="Kevin Smart"/>
    <s v="Job Description: , Well Name: PENNYWISE D 5001HA, Well Number: 0067060340, Field: SPRABERRY, Customer Rep: Kevin Smart"/>
    <s v="5051008"/>
    <s v="Upstream"/>
    <s v=""/>
    <s v="USD"/>
    <n v="2000"/>
    <s v="B2B"/>
    <s v="2"/>
    <s v="PSV-VXDIGITAL // MONTHWCP"/>
    <s v="PSVS - VXDigital // Monthly Charge"/>
    <s v=""/>
    <d v="2025-10-02T06:02:25"/>
    <d v="2025-09-01T00:00:00"/>
    <d v="2025-09-30T00:00:00"/>
    <s v=""/>
    <s v=""/>
    <s v=""/>
    <s v=""/>
    <s v=""/>
    <s v=""/>
    <s v=""/>
    <s v=""/>
    <s v=""/>
    <s v=""/>
    <s v=""/>
    <s v=""/>
    <s v=""/>
    <s v=""/>
    <s v=""/>
    <s v=""/>
    <s v=""/>
    <s v=""/>
    <s v=""/>
    <s v=""/>
    <s v=""/>
    <s v=""/>
    <s v=""/>
    <s v=""/>
    <s v=""/>
    <s v=""/>
    <s v=""/>
    <s v=""/>
    <s v="1001728700"/>
    <s v="PENNYWISE D 5001HA"/>
    <s v="Upstream"/>
    <s v="1046"/>
    <s v=""/>
    <s v=""/>
    <s v=""/>
    <s v=""/>
    <s v=""/>
    <s v=""/>
    <s v=""/>
    <n v="1"/>
    <s v="Mo"/>
    <n v="200"/>
    <s v=""/>
    <n v="200"/>
    <s v="--multiple--"/>
    <s v="700096"/>
    <d v="2025-10-02T06:02:25"/>
    <s v=""/>
    <s v=""/>
    <s v=""/>
    <s v=""/>
  </r>
  <r>
    <s v="213680"/>
    <s v="TANKLOGIX LLC"/>
    <x v="5"/>
    <s v="Dusty Gutierrez"/>
    <s v="Mark Allcorn"/>
    <s v="Jaguar H Battery, Dusty Gutierrez, Automation"/>
    <s v="5051043"/>
    <s v="Upstream"/>
    <s v=""/>
    <s v="USD"/>
    <n v="447"/>
    <s v="Direct Entry"/>
    <s v="1"/>
    <s v="Junior Electrical Engineer / Programming Labor, Level 1"/>
    <s v="Junior Electrical Engineer / Programming Labor, Level 1"/>
    <s v=""/>
    <d v="2025-10-13T10:34:07"/>
    <d v="2025-09-25T13:00:00"/>
    <d v="2025-09-25T16:00:00"/>
    <s v=""/>
    <s v="Jaguar H Battery"/>
    <s v=""/>
    <s v=""/>
    <s v=""/>
    <s v=""/>
    <s v=""/>
    <s v=""/>
    <s v=""/>
    <s v=""/>
    <s v=""/>
    <s v=""/>
    <s v=""/>
    <s v=""/>
    <s v=""/>
    <s v=""/>
    <s v=""/>
    <s v=""/>
    <s v=""/>
    <s v=""/>
    <s v=""/>
    <s v=""/>
    <s v=""/>
    <s v=""/>
    <s v="Labor"/>
    <s v=""/>
    <s v=""/>
    <s v=""/>
    <s v="8000040400"/>
    <s v="JAGUAR H BATTERY"/>
    <s v="Upstream"/>
    <s v="1046"/>
    <s v=""/>
    <s v=""/>
    <s v=""/>
    <s v=""/>
    <s v=""/>
    <s v=""/>
    <s v=""/>
    <n v="3"/>
    <s v="HR"/>
    <n v="149"/>
    <s v=""/>
    <n v="447"/>
    <s v="--multiple--"/>
    <s v="709725"/>
    <d v="2025-10-13T10:36:03"/>
    <s v=""/>
    <s v=""/>
    <s v=""/>
    <s v=""/>
  </r>
  <r>
    <s v="5319-1113328"/>
    <s v="Cain Electric Supply CORP"/>
    <x v="1"/>
    <s v="Dusty Gutierrez"/>
    <s v="Mark Allcorn"/>
    <s v="Electrical Materials"/>
    <s v="5051017"/>
    <s v="Upstream"/>
    <s v=""/>
    <s v="USD"/>
    <n v="71.400000000000006"/>
    <s v=""/>
    <s v="1"/>
    <s v="WAGO 221683"/>
    <s v="3-CONDUCTORS (10 AWG) - BOX 30"/>
    <s v=""/>
    <d v="2025-10-02T19:09:13"/>
    <d v="2025-10-02T08:00:00"/>
    <d v="2025-10-02T08:00:00"/>
    <s v=""/>
    <s v="UL CATS FIELD ALLOCATION"/>
    <s v=""/>
    <s v=""/>
    <s v=""/>
    <s v=""/>
    <s v=""/>
    <s v=""/>
    <s v=""/>
    <s v=""/>
    <s v=""/>
    <s v=""/>
    <s v=""/>
    <s v=""/>
    <s v=""/>
    <s v=""/>
    <s v=""/>
    <s v=""/>
    <s v=""/>
    <s v=""/>
    <s v=""/>
    <s v=""/>
    <s v=""/>
    <s v=""/>
    <s v="Material"/>
    <s v=""/>
    <s v=""/>
    <s v=""/>
    <s v="9000002100"/>
    <s v="UL CATS FIELD ALLOCATION"/>
    <s v="Upstream"/>
    <s v="1046"/>
    <s v=""/>
    <s v=""/>
    <s v=""/>
    <s v=""/>
    <s v=""/>
    <s v=""/>
    <s v=""/>
    <n v="60"/>
    <s v="EA"/>
    <n v="1.19"/>
    <s v=""/>
    <n v="71.400000000000006"/>
    <s v="--multiple--"/>
    <s v="703819"/>
    <d v="2025-10-07T15:16:41"/>
    <s v=""/>
    <s v=""/>
    <s v=""/>
    <s v=""/>
  </r>
  <r>
    <s v="362445"/>
    <s v="Holman Well Service Company, LLC"/>
    <x v="7"/>
    <s v="Devin King"/>
    <s v="Joshua Bales"/>
    <s v="Smith SN 48-37 501LS  /   Devin King  /  Scheduled Program Casing &amp; Flowline"/>
    <s v="5051026"/>
    <s v="Upstream"/>
    <s v=""/>
    <s v="USD"/>
    <n v="750"/>
    <s v="Direct Entry"/>
    <s v="1"/>
    <s v="Scheduled Program Hot Oil per BBL"/>
    <s v="Scheduled Program Hot Oil per BBL"/>
    <s v=""/>
    <d v="2025-10-10T09:34:30"/>
    <d v="2025-09-25T15:30:00"/>
    <d v="2025-09-25T16:30:00"/>
    <s v=""/>
    <s v=""/>
    <s v=""/>
    <s v=""/>
    <s v=""/>
    <s v=""/>
    <s v=""/>
    <s v=""/>
    <s v=""/>
    <s v=""/>
    <s v=""/>
    <s v=""/>
    <s v=""/>
    <s v=""/>
    <s v=""/>
    <s v=""/>
    <s v=""/>
    <s v=""/>
    <s v=""/>
    <s v=""/>
    <s v=""/>
    <s v=""/>
    <s v=""/>
    <s v=""/>
    <s v="Equipment"/>
    <s v=""/>
    <s v=""/>
    <s v=""/>
    <s v="1000203200"/>
    <s v="SMITH SN 48-37-36 01 501LS"/>
    <s v="Upstream"/>
    <s v="1046"/>
    <s v=""/>
    <s v=""/>
    <s v=""/>
    <s v=""/>
    <s v=""/>
    <s v=""/>
    <s v=""/>
    <n v="100"/>
    <s v="BBL"/>
    <n v="7.5"/>
    <s v=""/>
    <n v="750"/>
    <s v="Pricebook"/>
    <s v="713545"/>
    <d v="2025-10-10T09:36:56"/>
    <s v=""/>
    <s v=""/>
    <s v=""/>
    <s v=""/>
  </r>
  <r>
    <s v="125518"/>
    <s v="Jody's Oilfield Service, Inc."/>
    <x v="1"/>
    <s v="Devin King"/>
    <s v="Joshua Bales"/>
    <s v="DEVIN KING / RICHARD SIMMONS_x000a_LOAD/TEST_x000a_100 BBLS"/>
    <s v="5051026"/>
    <s v="Upstream"/>
    <s v=""/>
    <s v="USD"/>
    <n v="835"/>
    <s v="Direct Entry"/>
    <s v="1"/>
    <s v=".SPHB"/>
    <s v="Scheduled Program Hot Per BBL"/>
    <s v=""/>
    <d v="2025-10-07T11:17:40"/>
    <d v="2025-10-06T10:31:00"/>
    <d v="2025-10-06T12:30:00"/>
    <s v=""/>
    <s v="ROMAN 19 1"/>
    <s v=""/>
    <s v=""/>
    <s v=""/>
    <s v=""/>
    <s v=""/>
    <s v=""/>
    <s v=""/>
    <s v=""/>
    <s v=""/>
    <s v=""/>
    <s v=""/>
    <s v=""/>
    <s v=""/>
    <s v=""/>
    <s v=""/>
    <s v=""/>
    <s v=""/>
    <s v=""/>
    <s v=""/>
    <s v=""/>
    <s v=""/>
    <s v=""/>
    <s v="Material"/>
    <s v=""/>
    <s v=""/>
    <s v=""/>
    <s v="1000513100"/>
    <s v="ROMAN 19 1"/>
    <s v="Upstream"/>
    <s v="1046"/>
    <s v=""/>
    <s v=""/>
    <s v=""/>
    <s v=""/>
    <s v=""/>
    <s v=""/>
    <s v=""/>
    <n v="100"/>
    <s v="BBL"/>
    <n v="7"/>
    <s v=""/>
    <n v="700"/>
    <s v="--multiple--"/>
    <s v="708030"/>
    <d v="2025-10-07T11:19:29"/>
    <s v=""/>
    <s v=""/>
    <s v=""/>
    <s v=""/>
  </r>
  <r>
    <s v="125810"/>
    <s v="Jody's Oilfield Service, Inc."/>
    <x v="7"/>
    <s v="Devin King"/>
    <s v="Joshua Bales"/>
    <s v="DEVIN KING / RICHARD SIMMONS_x000a_HEATED 300 BBL OIL TANK TO 135_x000a_APPROX 210 BBLS"/>
    <s v="5051026"/>
    <s v="Upstream"/>
    <s v=""/>
    <s v="USD"/>
    <n v="769.5"/>
    <s v="Direct Entry"/>
    <s v="1"/>
    <s v=".HOURLY"/>
    <s v="HOURLY WORK (HOT OIL)"/>
    <s v="Drilling Services, Exploration, &amp; Wellwork"/>
    <d v="2025-10-13T13:41:20"/>
    <d v="2025-10-10T09:30:00"/>
    <d v="2025-10-10T11:00:00"/>
    <s v=""/>
    <s v="GRANTHA 12B BATT"/>
    <s v=""/>
    <s v=""/>
    <s v=""/>
    <s v=""/>
    <s v=""/>
    <s v=""/>
    <s v=""/>
    <s v=""/>
    <s v=""/>
    <s v=""/>
    <s v=""/>
    <s v=""/>
    <s v=""/>
    <s v=""/>
    <s v=""/>
    <s v=""/>
    <s v=""/>
    <s v=""/>
    <s v=""/>
    <s v=""/>
    <s v=""/>
    <s v=""/>
    <s v="Material"/>
    <s v=""/>
    <s v=""/>
    <s v=""/>
    <s v="8000027300"/>
    <s v="GRANTHAM 12 B BATTERY"/>
    <s v="Upstream"/>
    <s v="1046"/>
    <s v=""/>
    <s v=""/>
    <s v=""/>
    <s v=""/>
    <s v=""/>
    <s v=""/>
    <s v=""/>
    <n v="1.5"/>
    <s v="HR"/>
    <n v="135"/>
    <s v=""/>
    <n v="202.5"/>
    <s v="--multiple--"/>
    <s v="708030"/>
    <d v="2025-10-13T13:43:25"/>
    <s v=""/>
    <s v=""/>
    <s v=""/>
    <s v=""/>
  </r>
  <r>
    <s v="662175"/>
    <s v="J&amp;R Roustabout, LLC"/>
    <x v="2"/>
    <s v="Curran Hutcherson"/>
    <s v="Fabian Lujan"/>
    <s v="DROVE TO JEET FOR PARTS, THEN DROVE TO LOCATION AND INSTALL NEW BUCKET ON LOAD LINE TO WATER TANK."/>
    <s v="5051049"/>
    <s v="Upstream"/>
    <s v="169427"/>
    <s v="USD"/>
    <n v="240"/>
    <s v="Direct Entry"/>
    <s v="1"/>
    <s v="3 Man Roustabout Crew"/>
    <s v="3 Man Roustabout Crew"/>
    <s v=""/>
    <d v="2025-10-06T12:41:19"/>
    <d v="2025-10-03T07:15:00"/>
    <d v="2025-10-03T09:15:00"/>
    <s v=""/>
    <s v="FASKEN 16-21"/>
    <s v=""/>
    <s v=""/>
    <s v=""/>
    <s v=""/>
    <s v=""/>
    <s v=""/>
    <s v=""/>
    <s v=""/>
    <s v=""/>
    <s v=""/>
    <s v=""/>
    <s v=""/>
    <s v=""/>
    <s v=""/>
    <s v=""/>
    <s v=""/>
    <s v=""/>
    <s v=""/>
    <s v=""/>
    <s v=""/>
    <s v=""/>
    <s v=""/>
    <s v="Labor"/>
    <s v=""/>
    <s v=""/>
    <s v=""/>
    <s v="8300180400"/>
    <s v="FASKEN 16-21 BATTERY"/>
    <s v="Upstream"/>
    <s v="1046"/>
    <s v=""/>
    <s v=""/>
    <s v=""/>
    <s v=""/>
    <s v=""/>
    <s v=""/>
    <s v=""/>
    <n v="2"/>
    <s v="HR"/>
    <n v="120"/>
    <s v=""/>
    <n v="240"/>
    <s v="Pricebook"/>
    <s v="712950"/>
    <d v="2025-10-06T12:42:22"/>
    <s v=""/>
    <s v=""/>
    <s v=""/>
    <s v=""/>
  </r>
  <r>
    <s v="362441"/>
    <s v="Holman Well Service Company, LLC"/>
    <x v="7"/>
    <s v="Devin King"/>
    <s v="Richard Simmons"/>
    <s v="Wilbanks 45-53 01 101H  /  Devin King  /  Well Control"/>
    <s v="5051057"/>
    <s v="Upstream"/>
    <s v=""/>
    <s v="USD"/>
    <n v="845"/>
    <s v="Direct Entry"/>
    <s v="1"/>
    <s v="10000012"/>
    <s v="Hourly Hot Oil"/>
    <s v=""/>
    <d v="2025-10-10T09:20:57"/>
    <d v="2025-09-24T12:00:00"/>
    <d v="2025-09-24T18:30:00"/>
    <s v=""/>
    <s v=""/>
    <s v=""/>
    <s v=""/>
    <s v=""/>
    <s v=""/>
    <s v=""/>
    <s v=""/>
    <s v=""/>
    <s v=""/>
    <s v=""/>
    <s v=""/>
    <s v=""/>
    <s v=""/>
    <s v=""/>
    <s v=""/>
    <s v=""/>
    <s v=""/>
    <s v=""/>
    <s v=""/>
    <s v=""/>
    <s v=""/>
    <s v=""/>
    <s v=""/>
    <s v="Equipment"/>
    <s v=""/>
    <s v=""/>
    <s v=""/>
    <s v="1000181300"/>
    <s v="WILBANKS 45-53 01 101H"/>
    <s v="Upstream"/>
    <s v="1046"/>
    <s v=""/>
    <s v=""/>
    <s v=""/>
    <s v=""/>
    <s v=""/>
    <s v=""/>
    <s v=""/>
    <n v="6.5"/>
    <s v="HR"/>
    <n v="130"/>
    <s v=""/>
    <n v="845"/>
    <s v="Pricebook"/>
    <s v="713545"/>
    <d v="2025-10-10T09:23:32"/>
    <s v=""/>
    <s v=""/>
    <s v=""/>
    <s v=""/>
  </r>
  <r>
    <s v="V-55641"/>
    <s v="J&amp;R Roustabout, LLC"/>
    <x v="10"/>
    <s v="Fernando DeHoyos"/>
    <s v="Fabian Lujan"/>
    <s v="I arrived at the location from the shop and assisted the crew, but it turns out I had to go to a different location instead of the RV Powell South Battery. So, a co-worker and I emptied two oil tanks and put them back in when the third-party roustabout replaced two valves."/>
    <s v="5051049"/>
    <s v="Upstream"/>
    <s v="167736"/>
    <s v="USD"/>
    <n v="405"/>
    <s v="Direct Entry"/>
    <s v="1"/>
    <s v="VACUUM TRUCK"/>
    <s v="Vacuum Truck"/>
    <s v="VACUUM"/>
    <d v="2025-10-03T08:51:31"/>
    <d v="2025-10-02T06:00:00"/>
    <d v="2025-10-02T10:30:00"/>
    <d v="1899-12-30T04:30:00"/>
    <s v="OBRIEN 44 BATTERY"/>
    <s v=""/>
    <s v=""/>
    <s v="LABOR"/>
    <s v=""/>
    <s v=""/>
    <s v=""/>
    <s v=""/>
    <s v=""/>
    <s v=""/>
    <s v=""/>
    <s v=""/>
    <s v=""/>
    <s v=""/>
    <s v=""/>
    <s v=""/>
    <s v=""/>
    <s v=""/>
    <s v=""/>
    <s v=""/>
    <s v=""/>
    <n v="0"/>
    <s v="bbl"/>
    <s v=""/>
    <s v=""/>
    <s v=""/>
    <s v=""/>
    <s v="8300131400"/>
    <s v="OBRIEN 44 1 BATTERY"/>
    <s v="Upstream"/>
    <s v="1046"/>
    <s v=""/>
    <s v=""/>
    <s v=""/>
    <s v=""/>
    <s v=""/>
    <s v=""/>
    <s v="Other"/>
    <n v="4.5"/>
    <s v="HR"/>
    <n v="90"/>
    <s v=""/>
    <n v="405"/>
    <s v="Pricebook"/>
    <s v="712950"/>
    <d v="2025-10-14T10:32:47"/>
    <s v=""/>
    <s v=""/>
    <s v=""/>
    <s v=""/>
  </r>
  <r>
    <s v="14154"/>
    <s v="GDL Industrial Electronics"/>
    <x v="3"/>
    <s v="Dusty Gutierrez"/>
    <s v="Mark Allcorn"/>
    <s v="MATERIAL"/>
    <s v="5051003"/>
    <s v="Upstream"/>
    <s v=""/>
    <s v="USD"/>
    <n v="471.56"/>
    <s v="Direct Entry"/>
    <s v="1"/>
    <s v="2838450000"/>
    <s v="12V 10AMP 120W POWER SUPPLY"/>
    <s v=""/>
    <d v="2025-10-11T13:18:37"/>
    <d v="2025-10-09T12:00:00"/>
    <d v="2025-10-09T12:00:00"/>
    <s v=""/>
    <s v=""/>
    <s v=""/>
    <s v=""/>
    <s v=""/>
    <s v=""/>
    <s v=""/>
    <s v=""/>
    <s v=""/>
    <s v=""/>
    <s v=""/>
    <s v=""/>
    <s v=""/>
    <s v=""/>
    <s v=""/>
    <s v=""/>
    <s v=""/>
    <s v=""/>
    <s v=""/>
    <s v=""/>
    <s v=""/>
    <s v=""/>
    <s v=""/>
    <s v=""/>
    <s v="Material"/>
    <s v=""/>
    <s v=""/>
    <s v=""/>
    <s v="1000389800"/>
    <s v="UNIVERSITY 7-2730 S 11SA"/>
    <s v="Upstream"/>
    <s v="1046"/>
    <s v=""/>
    <s v=""/>
    <s v=""/>
    <s v=""/>
    <s v=""/>
    <s v=""/>
    <s v=""/>
    <n v="2"/>
    <s v="EA"/>
    <n v="104.2"/>
    <s v=""/>
    <n v="208.4"/>
    <s v="--multiple--"/>
    <s v="704121"/>
    <d v="2025-10-11T13:19:38"/>
    <s v=""/>
    <s v=""/>
    <s v=""/>
    <s v=""/>
  </r>
  <r>
    <s v="395636"/>
    <s v="Tommy White Supply Company, Inc."/>
    <x v="3"/>
    <s v="Kyle Jordan"/>
    <s v="Fabian Lujan"/>
    <s v="GASKETS"/>
    <s v="8501248"/>
    <s v="AC-AC"/>
    <s v="159549"/>
    <s v="USD"/>
    <n v="26.81"/>
    <s v="Direct Entry"/>
    <s v="1"/>
    <s v="234600SGA"/>
    <s v="2&quot; 300-600# SPIRA GASKET"/>
    <s v="GASKETS"/>
    <d v="2025-09-30T14:33:55"/>
    <d v="2025-09-23T00:00:00"/>
    <d v="2025-09-23T00:00:00"/>
    <s v=""/>
    <s v="FASKEN 9-1621 144"/>
    <s v=""/>
    <s v=""/>
    <s v=""/>
    <s v=""/>
    <s v=""/>
    <s v=""/>
    <s v=""/>
    <s v=""/>
    <s v=""/>
    <s v=""/>
    <s v=""/>
    <s v=""/>
    <s v=""/>
    <s v=""/>
    <s v=""/>
    <s v=""/>
    <s v=""/>
    <s v=""/>
    <s v=""/>
    <s v=""/>
    <s v=""/>
    <s v=""/>
    <s v="Material"/>
    <s v=""/>
    <s v=""/>
    <s v=""/>
    <s v="AC-002049AC"/>
    <s v="FASKEN 9-16-21 UNIT 1 144 - ESP2GL"/>
    <s v="AC-AC"/>
    <s v="1046"/>
    <s v=""/>
    <s v=""/>
    <s v=""/>
    <s v=""/>
    <s v=""/>
    <s v=""/>
    <s v=""/>
    <n v="7"/>
    <s v="EA"/>
    <n v="3.83"/>
    <s v=""/>
    <n v="26.81"/>
    <s v=""/>
    <s v="706526"/>
    <d v="2025-09-30T14:35:08"/>
    <s v=""/>
    <s v=""/>
    <s v=""/>
    <s v=""/>
  </r>
  <r>
    <s v="14157"/>
    <s v="GDL Industrial Electronics"/>
    <x v="3"/>
    <s v="Dusty Gutierrez"/>
    <s v="Mark Allcorn"/>
    <s v="MATERIAL"/>
    <s v="5051003"/>
    <s v="Upstream"/>
    <s v=""/>
    <s v="USD"/>
    <n v="409.93"/>
    <s v="Direct Entry"/>
    <s v="1"/>
    <s v="63301106"/>
    <s v="CABLE CAT5E"/>
    <s v="CABLE"/>
    <d v="2025-10-11T13:23:18"/>
    <d v="2025-10-09T12:00:00"/>
    <d v="2025-10-09T12:00:00"/>
    <s v=""/>
    <s v=""/>
    <s v=""/>
    <s v=""/>
    <s v=""/>
    <s v=""/>
    <s v=""/>
    <s v=""/>
    <s v=""/>
    <s v=""/>
    <s v=""/>
    <s v=""/>
    <s v=""/>
    <s v=""/>
    <s v=""/>
    <s v=""/>
    <s v=""/>
    <s v=""/>
    <s v=""/>
    <s v=""/>
    <s v=""/>
    <s v=""/>
    <s v=""/>
    <s v=""/>
    <s v="Material"/>
    <s v=""/>
    <s v=""/>
    <s v=""/>
    <s v="8100699500"/>
    <s v="UL CLEMMER BATTERY"/>
    <s v="Upstream"/>
    <s v="1046"/>
    <s v=""/>
    <s v=""/>
    <s v=""/>
    <s v=""/>
    <s v=""/>
    <s v=""/>
    <s v=""/>
    <n v="1"/>
    <s v="EA"/>
    <n v="270"/>
    <s v=""/>
    <n v="270"/>
    <s v="--multiple--"/>
    <s v="704121"/>
    <d v="2025-10-11T13:26:23"/>
    <s v=""/>
    <s v=""/>
    <s v=""/>
    <s v=""/>
  </r>
  <r>
    <s v="395441"/>
    <s v="Tommy White Supply Company, Inc."/>
    <x v="0"/>
    <s v="Luis Ortega"/>
    <s v="Fabian Lujan"/>
    <s v="GROOVED BUTTERFLY VALVE"/>
    <s v="5051049"/>
    <s v="Upstream"/>
    <s v="159781"/>
    <s v="USD"/>
    <n v="657.63"/>
    <s v="Direct Entry"/>
    <s v="1"/>
    <s v="PRODUCT"/>
    <s v="2&quot; GENERIC GROOVED BFVA"/>
    <s v=""/>
    <d v="2025-09-30T11:16:41"/>
    <d v="2025-09-22T00:00:00"/>
    <d v="2025-09-22T00:00:00"/>
    <s v=""/>
    <s v=""/>
    <s v=""/>
    <s v=""/>
    <s v=""/>
    <s v=""/>
    <s v=""/>
    <s v=""/>
    <s v=""/>
    <s v=""/>
    <s v=""/>
    <s v=""/>
    <s v=""/>
    <s v=""/>
    <s v=""/>
    <s v=""/>
    <s v=""/>
    <s v=""/>
    <s v=""/>
    <s v=""/>
    <s v=""/>
    <s v=""/>
    <s v=""/>
    <s v=""/>
    <s v="Material"/>
    <s v=""/>
    <s v=""/>
    <s v=""/>
    <s v="8000320100"/>
    <s v="7904 JVP HILLGER D 23D BATTERY"/>
    <s v="Upstream"/>
    <s v="1046"/>
    <s v=""/>
    <s v=""/>
    <s v=""/>
    <s v=""/>
    <s v=""/>
    <s v=""/>
    <s v=""/>
    <n v="1"/>
    <s v="EA"/>
    <n v="376.51"/>
    <s v=""/>
    <n v="376.51"/>
    <s v=""/>
    <s v="706526"/>
    <d v="2025-09-30T11:18:20"/>
    <s v=""/>
    <s v=""/>
    <s v=""/>
    <s v=""/>
  </r>
  <r>
    <s v="395715"/>
    <s v="Tommy White Supply Company, Inc."/>
    <x v="3"/>
    <s v="LUIS ORTEGA"/>
    <s v="Fabian Lujan"/>
    <s v="SIGHT GLASS"/>
    <s v="5051049"/>
    <s v="Upstream"/>
    <s v="166106"/>
    <s v="USD"/>
    <n v="413.1"/>
    <s v="Direct Entry"/>
    <s v="1"/>
    <s v="S12GCO"/>
    <s v="SIGHT GLASS COCK VALVE SS 1/2&quot;"/>
    <s v="GAUGES"/>
    <d v="2025-09-30T15:03:22"/>
    <d v="2025-09-24T00:00:00"/>
    <d v="2025-09-24T00:00:00"/>
    <s v=""/>
    <s v="MIDWAY 2-35 BATTERY"/>
    <s v=""/>
    <s v=""/>
    <s v=""/>
    <s v=""/>
    <s v=""/>
    <s v=""/>
    <s v=""/>
    <s v=""/>
    <s v=""/>
    <s v=""/>
    <s v=""/>
    <s v=""/>
    <s v=""/>
    <s v=""/>
    <s v=""/>
    <s v=""/>
    <s v=""/>
    <s v=""/>
    <s v=""/>
    <s v=""/>
    <s v=""/>
    <s v=""/>
    <s v="Material"/>
    <s v=""/>
    <s v=""/>
    <s v=""/>
    <s v="8300127100"/>
    <s v="MIDWAY 2-35 BATTERY"/>
    <s v="Upstream"/>
    <s v="1046"/>
    <s v=""/>
    <s v=""/>
    <s v=""/>
    <s v=""/>
    <s v=""/>
    <s v=""/>
    <s v=""/>
    <n v="1"/>
    <s v="SET"/>
    <n v="413.1"/>
    <s v=""/>
    <n v="413.1"/>
    <s v=""/>
    <s v="706526"/>
    <d v="2025-09-30T15:04:06"/>
    <s v=""/>
    <s v=""/>
    <s v=""/>
    <s v=""/>
  </r>
  <r>
    <s v="212320"/>
    <s v="Basin Trucking LLC"/>
    <x v="12"/>
    <s v="Luis Ortega"/>
    <s v="Fabian Lujan"/>
    <s v="Drove to location repaired 4&quot; loa line for oil tank # 4 cleaned up location into next location."/>
    <s v="5051049"/>
    <s v="Upstream"/>
    <s v="166436"/>
    <s v="USD"/>
    <n v="227.5"/>
    <s v="Direct Entry"/>
    <s v="1"/>
    <s v="3 Man Crew"/>
    <s v="3 Man Crew"/>
    <s v="Roustabout Crew"/>
    <d v="2025-10-04T10:44:39"/>
    <d v="2025-09-25T09:00:00"/>
    <d v="2025-09-25T10:45:00"/>
    <s v=""/>
    <s v="HANNON FASKEN BATTERY"/>
    <s v=""/>
    <s v=""/>
    <s v=""/>
    <s v=""/>
    <s v=""/>
    <s v=""/>
    <s v=""/>
    <s v=""/>
    <s v=""/>
    <s v=""/>
    <s v=""/>
    <s v=""/>
    <s v=""/>
    <s v=""/>
    <s v=""/>
    <s v=""/>
    <s v=""/>
    <s v=""/>
    <s v=""/>
    <s v=""/>
    <s v=""/>
    <s v=""/>
    <s v="Labor"/>
    <s v=""/>
    <s v=""/>
    <s v=""/>
    <s v="8300184200"/>
    <s v="HANNON FASKEN BATTERY"/>
    <s v="Upstream"/>
    <s v="1046"/>
    <s v=""/>
    <s v=""/>
    <s v=""/>
    <s v=""/>
    <s v=""/>
    <s v=""/>
    <s v=""/>
    <n v="1.75"/>
    <s v="HR"/>
    <n v="130"/>
    <s v=""/>
    <n v="227.5"/>
    <s v="--multiple--"/>
    <s v="703517"/>
    <d v="2025-10-04T10:52:36"/>
    <s v=""/>
    <s v=""/>
    <s v=""/>
    <s v=""/>
  </r>
  <r>
    <s v="210685"/>
    <s v="Basin Trucking LLC"/>
    <x v="12"/>
    <s v="Luis Ortega"/>
    <s v="Fabian Lujan"/>
    <s v="Deliver forklift to work on battery"/>
    <s v="5051049"/>
    <s v="Upstream"/>
    <s v="162790"/>
    <s v="USD"/>
    <n v="412.5"/>
    <s v="Direct Entry"/>
    <s v="1"/>
    <s v="lowboy"/>
    <s v="Lowboy"/>
    <s v="freight"/>
    <d v="2025-10-03T16:01:31"/>
    <d v="2025-09-25T10:15:00"/>
    <d v="2025-09-25T13:00:00"/>
    <s v=""/>
    <s v="KOONCE N A39-34/KOONCE S A46-3 BATTERY"/>
    <s v=""/>
    <s v=""/>
    <s v=""/>
    <s v=""/>
    <s v=""/>
    <s v=""/>
    <s v=""/>
    <s v=""/>
    <s v=""/>
    <s v=""/>
    <s v=""/>
    <s v=""/>
    <s v=""/>
    <s v=""/>
    <s v=""/>
    <s v=""/>
    <s v=""/>
    <s v=""/>
    <s v=""/>
    <s v=""/>
    <s v=""/>
    <s v=""/>
    <s v="Equipment"/>
    <s v=""/>
    <s v=""/>
    <s v=""/>
    <s v="8300187500"/>
    <s v="KOONCE N A39-34/KOONCE S A46-3 BATTERY"/>
    <s v="Upstream"/>
    <s v="1046"/>
    <s v=""/>
    <s v=""/>
    <s v=""/>
    <s v=""/>
    <s v=""/>
    <s v=""/>
    <s v=""/>
    <n v="2.75"/>
    <s v="HR"/>
    <n v="150"/>
    <s v=""/>
    <n v="412.5"/>
    <s v="--multiple--"/>
    <s v="703517"/>
    <d v="2025-10-03T16:02:43"/>
    <s v=""/>
    <s v=""/>
    <s v=""/>
    <s v=""/>
  </r>
  <r>
    <s v="18696"/>
    <s v="Elite Energy Services"/>
    <x v="3"/>
    <s v="Edgar Quintero"/>
    <s v="Cody Rogers"/>
    <s v="Firetube inspection and burner flame arrestor washed"/>
    <s v="5051052"/>
    <s v="Upstream"/>
    <s v="168597"/>
    <s v="USD"/>
    <n v="3400"/>
    <s v="Direct Entry"/>
    <s v="1"/>
    <s v="Firetube Inspection"/>
    <s v="Firetube Inspection"/>
    <s v=""/>
    <d v="2025-10-10T08:29:20"/>
    <d v="2025-10-09T07:00:00"/>
    <d v="2025-10-09T10:00:00"/>
    <s v=""/>
    <s v="Mabee LMNOP East  Heater (L)"/>
    <s v=""/>
    <s v=""/>
    <s v=""/>
    <s v=""/>
    <s v=""/>
    <s v=""/>
    <s v=""/>
    <s v=""/>
    <s v=""/>
    <s v=""/>
    <s v=""/>
    <s v=""/>
    <s v=""/>
    <s v=""/>
    <s v=""/>
    <s v=""/>
    <s v=""/>
    <s v=""/>
    <s v=""/>
    <s v=""/>
    <s v=""/>
    <s v=""/>
    <s v="Labor"/>
    <s v=""/>
    <s v=""/>
    <s v=""/>
    <s v="8000119800"/>
    <s v="MABEE LMNOP FACILITY"/>
    <s v="Upstream"/>
    <s v="1046"/>
    <s v=""/>
    <s v=""/>
    <s v=""/>
    <s v=""/>
    <s v=""/>
    <s v=""/>
    <s v=""/>
    <n v="1"/>
    <s v="EA"/>
    <n v="700"/>
    <s v=""/>
    <n v="700"/>
    <s v="--multiple--"/>
    <s v="710696"/>
    <d v="2025-10-13T13:15:20"/>
    <s v=""/>
    <s v=""/>
    <s v="Attachment Issue"/>
    <s v=""/>
  </r>
  <r>
    <s v="T-86452"/>
    <s v="ACH Services, LLC"/>
    <x v="2"/>
    <s v="Luis Ortega"/>
    <s v="Fabian Lujan"/>
    <s v="Drove to location to help clean tanks &amp; washed out."/>
    <s v="5051049"/>
    <s v="Upstream"/>
    <s v="167829"/>
    <s v="USD"/>
    <n v="1233"/>
    <s v="Direct Entry"/>
    <s v="1"/>
    <s v="Vacuum Truck"/>
    <s v="Vacuum Truck"/>
    <s v="Vacuum Truck Services"/>
    <d v="2025-10-02T12:36:42"/>
    <d v="2025-10-01T06:30:00"/>
    <d v="2025-10-01T19:00:00"/>
    <d v="1899-12-30T12:30:00"/>
    <s v="KOONCE N A39-34/KOONCE S A46-3 BATTERY"/>
    <s v=""/>
    <s v=""/>
    <s v="-"/>
    <s v=""/>
    <s v=""/>
    <s v=""/>
    <s v=""/>
    <s v=""/>
    <s v=""/>
    <s v=""/>
    <s v=""/>
    <s v=""/>
    <s v=""/>
    <s v=""/>
    <s v=""/>
    <s v=""/>
    <s v=""/>
    <s v=""/>
    <s v=""/>
    <s v=""/>
    <n v="0"/>
    <s v="bbl"/>
    <s v=""/>
    <s v=""/>
    <s v=""/>
    <s v=""/>
    <s v="8300187500"/>
    <s v="KOONCE N A39-34/KOONCE S A46-3 BATTERY"/>
    <s v="Upstream"/>
    <s v="1046"/>
    <s v=""/>
    <s v=""/>
    <s v=""/>
    <s v=""/>
    <s v=""/>
    <s v=""/>
    <s v="Hours Worked"/>
    <n v="12.5"/>
    <s v="hour"/>
    <n v="90"/>
    <s v=""/>
    <n v="1125"/>
    <s v="Pricebook"/>
    <s v="712932"/>
    <d v="2025-10-09T10:18:09"/>
    <s v=""/>
    <s v=""/>
    <s v="Ticket Amount Error"/>
    <s v=""/>
  </r>
  <r>
    <s v="T-83850"/>
    <s v="ACH Services, LLC"/>
    <x v="10"/>
    <s v="Luis Ortega"/>
    <s v="Fabian Lujan"/>
    <s v="Assisted roustabout crew cleaning water tank, hauled to disposal then washed out."/>
    <s v="5051049"/>
    <s v="Upstream"/>
    <s v="167829"/>
    <s v="USD"/>
    <n v="1386"/>
    <s v="Direct Entry"/>
    <s v="1"/>
    <s v="Vacuum Truck"/>
    <s v="Vacuum Truck"/>
    <s v="Vacuum Truck Services"/>
    <d v="2025-10-03T08:53:03"/>
    <d v="2025-10-01T06:45:00"/>
    <d v="2025-10-01T19:45:00"/>
    <d v="1899-12-30T13:00:00"/>
    <s v="KOONCE N A39-34/KOONCE S A46-3 BATTERY"/>
    <s v=""/>
    <s v=""/>
    <s v="-"/>
    <s v=""/>
    <s v=""/>
    <s v=""/>
    <s v=""/>
    <s v=""/>
    <s v=""/>
    <s v=""/>
    <s v=""/>
    <s v=""/>
    <s v=""/>
    <s v=""/>
    <s v=""/>
    <s v=""/>
    <s v=""/>
    <s v=""/>
    <s v=""/>
    <s v=""/>
    <n v="0"/>
    <s v="bbl"/>
    <s v=""/>
    <s v=""/>
    <s v=""/>
    <s v=""/>
    <s v="8300187500"/>
    <s v="KOONCE N A39-34/KOONCE S A46-3 BATTERY"/>
    <s v="Upstream"/>
    <s v="1046"/>
    <s v=""/>
    <s v=""/>
    <s v=""/>
    <s v=""/>
    <s v=""/>
    <s v=""/>
    <s v="Hours Worked"/>
    <n v="13"/>
    <s v="hour"/>
    <n v="90"/>
    <s v=""/>
    <n v="1170"/>
    <s v="Pricebook"/>
    <s v="712932"/>
    <d v="2025-10-03T08:57:24"/>
    <s v=""/>
    <s v=""/>
    <s v=""/>
    <s v=""/>
  </r>
  <r>
    <s v="212333"/>
    <s v="Basin Trucking LLC"/>
    <x v="9"/>
    <s v="Luis Ortega"/>
    <s v="Fabian Lujan"/>
    <s v="Drove to location and shut down 2 water tanks drained bleed off and clean wash with fresh water finally removed the man way."/>
    <s v="5051049"/>
    <s v="Upstream"/>
    <s v="167829"/>
    <s v="USD"/>
    <n v="1417.5"/>
    <s v="Direct Entry"/>
    <s v="1"/>
    <s v="3 Man Crew"/>
    <s v="3 Man Crew"/>
    <s v="Roustabout Crew"/>
    <d v="2025-10-08T12:22:22"/>
    <d v="2025-10-01T07:00:00"/>
    <d v="2025-10-01T12:45:00"/>
    <s v=""/>
    <s v="Koonce N A39-34/Koonce S A46-3"/>
    <s v=""/>
    <s v=""/>
    <s v=""/>
    <s v=""/>
    <s v=""/>
    <s v=""/>
    <s v=""/>
    <s v=""/>
    <s v=""/>
    <s v=""/>
    <s v=""/>
    <s v=""/>
    <s v=""/>
    <s v=""/>
    <s v=""/>
    <s v=""/>
    <s v=""/>
    <s v=""/>
    <s v=""/>
    <s v=""/>
    <s v=""/>
    <s v=""/>
    <s v="Labor"/>
    <s v=""/>
    <s v=""/>
    <s v=""/>
    <s v="8300187500"/>
    <s v="KOONCE N A39-34/KOONCE S A46-3 BATTERY"/>
    <s v="Upstream"/>
    <s v="1046"/>
    <s v=""/>
    <s v=""/>
    <s v=""/>
    <s v=""/>
    <s v=""/>
    <s v=""/>
    <s v=""/>
    <n v="5.75"/>
    <s v="HR"/>
    <n v="130"/>
    <s v=""/>
    <n v="747.5"/>
    <s v="--multiple--"/>
    <s v="703517"/>
    <d v="2025-10-08T12:28:20"/>
    <s v=""/>
    <s v=""/>
    <s v=""/>
    <s v=""/>
  </r>
  <r>
    <s v="205924"/>
    <s v="Basin Trucking LLC"/>
    <x v="10"/>
    <s v="Luis Ortega"/>
    <s v="Fabian Lujan"/>
    <s v="Empty and clean water tank and drove to disposal for washout."/>
    <s v="5051049"/>
    <s v="Upstream"/>
    <s v="162790"/>
    <s v="USD"/>
    <n v="1034"/>
    <s v="Direct Entry"/>
    <s v="1"/>
    <s v="Vac Truck"/>
    <s v="Vac Truck"/>
    <s v=""/>
    <d v="2025-10-09T08:13:58"/>
    <d v="2025-10-01T08:15:00"/>
    <d v="2025-10-01T20:00:00"/>
    <d v="1899-12-30T11:45:00"/>
    <s v="Koonce North A 39-34/Koonce S 46-3"/>
    <s v=""/>
    <s v=""/>
    <s v="vacuum"/>
    <s v=""/>
    <s v=""/>
    <s v=""/>
    <s v=""/>
    <s v=""/>
    <s v=""/>
    <s v=""/>
    <s v=""/>
    <s v=""/>
    <s v=""/>
    <s v=""/>
    <s v=""/>
    <s v=""/>
    <s v=""/>
    <s v=""/>
    <s v=""/>
    <s v=""/>
    <n v="0"/>
    <s v="bbl"/>
    <s v=""/>
    <s v=""/>
    <s v=""/>
    <s v=""/>
    <s v="8300187500"/>
    <s v="KOONCE N A39-34/KOONCE S A46-3 BATTERY"/>
    <s v="Upstream"/>
    <s v="1046"/>
    <s v=""/>
    <s v=""/>
    <s v=""/>
    <s v=""/>
    <s v=""/>
    <s v=""/>
    <s v="Other"/>
    <n v="11.75"/>
    <s v="HR"/>
    <n v="88"/>
    <s v=""/>
    <n v="1034"/>
    <s v="--multiple--"/>
    <s v="703517"/>
    <d v="2025-10-09T08:30:33"/>
    <s v=""/>
    <s v=""/>
    <s v=""/>
    <s v=""/>
  </r>
  <r>
    <s v="204442"/>
    <s v="Basin Trucking LLC"/>
    <x v="10"/>
    <s v="Luis Ortega"/>
    <s v="Fabian Lujan"/>
    <s v="Drove to yard location Koonce SA-46 3 one second water production disposal"/>
    <s v="5051049"/>
    <s v="Upstream"/>
    <s v="162790"/>
    <s v="USD"/>
    <n v="616"/>
    <s v="Direct Entry"/>
    <s v="1"/>
    <s v="Vac Truck"/>
    <s v="Vac Truck"/>
    <s v=""/>
    <d v="2025-10-09T08:39:09"/>
    <d v="2025-10-01T08:30:00"/>
    <d v="2025-10-01T15:30:00"/>
    <d v="1899-12-30T07:00:00"/>
    <s v="Koonce N A39-34/Koonce S A46-3"/>
    <s v=""/>
    <s v=""/>
    <s v="vacuum"/>
    <s v=""/>
    <s v=""/>
    <s v=""/>
    <s v=""/>
    <s v=""/>
    <s v=""/>
    <s v=""/>
    <s v=""/>
    <s v=""/>
    <s v=""/>
    <s v=""/>
    <s v=""/>
    <s v=""/>
    <s v=""/>
    <s v=""/>
    <s v=""/>
    <s v=""/>
    <n v="0"/>
    <s v="bbl"/>
    <s v=""/>
    <s v=""/>
    <s v=""/>
    <s v=""/>
    <s v="8300187500"/>
    <s v="KOONCE N A39-34/KOONCE S A46-3 BATTERY"/>
    <s v="Upstream"/>
    <s v="1046"/>
    <s v=""/>
    <s v=""/>
    <s v=""/>
    <s v=""/>
    <s v=""/>
    <s v=""/>
    <s v="Other"/>
    <n v="7"/>
    <s v="HR"/>
    <n v="88"/>
    <s v=""/>
    <n v="616"/>
    <s v="--multiple--"/>
    <s v="703517"/>
    <d v="2025-10-09T09:04:15"/>
    <s v=""/>
    <s v=""/>
    <s v=""/>
    <s v=""/>
  </r>
  <r>
    <s v="210782"/>
    <s v="Basin Trucking LLC"/>
    <x v="9"/>
    <s v="Luis Ortega"/>
    <s v="Fabian Lujan"/>
    <s v="Drove to location monitored tank from area for H2s and other hydrocarbons assisted on cleaning out two tanks."/>
    <s v="5051049"/>
    <s v="Upstream"/>
    <s v="167829"/>
    <s v="USD"/>
    <n v="662.5"/>
    <s v="Direct Entry"/>
    <s v="1"/>
    <s v="Safety  Man"/>
    <s v="Safety  Man"/>
    <s v=""/>
    <d v="2025-10-07T19:35:24"/>
    <d v="2025-10-01T12:15:00"/>
    <d v="2025-10-01T17:45:00"/>
    <s v=""/>
    <s v="Koonce N A 39-34/Koonce S A46-3"/>
    <s v=""/>
    <s v=""/>
    <s v=""/>
    <s v=""/>
    <s v=""/>
    <s v=""/>
    <s v=""/>
    <s v=""/>
    <s v=""/>
    <s v=""/>
    <s v=""/>
    <s v=""/>
    <s v=""/>
    <s v=""/>
    <s v=""/>
    <s v=""/>
    <s v=""/>
    <s v=""/>
    <s v=""/>
    <s v=""/>
    <s v=""/>
    <s v=""/>
    <s v="Labor"/>
    <s v=""/>
    <s v=""/>
    <s v=""/>
    <s v="8300187500"/>
    <s v="KOONCE N A39-34/KOONCE S A46-3 BATTERY"/>
    <s v="Upstream"/>
    <s v="1046"/>
    <s v=""/>
    <s v=""/>
    <s v=""/>
    <s v=""/>
    <s v=""/>
    <s v=""/>
    <s v=""/>
    <n v="5.5"/>
    <s v="HR"/>
    <n v="75"/>
    <s v=""/>
    <n v="412.5"/>
    <s v="--multiple--"/>
    <s v="703517"/>
    <d v="2025-10-08T05:45:47"/>
    <s v=""/>
    <s v=""/>
    <s v=""/>
    <s v=""/>
  </r>
  <r>
    <s v="212334"/>
    <s v="Basin Trucking LLC"/>
    <x v="9"/>
    <s v="Luis Ortega"/>
    <s v="Fabian Lujan"/>
    <s v="Drove to location and inspected the WTP was off and changed 6&quot; flange 6 p/c nipple connected bolted back everything we made everything was correctly."/>
    <s v="5051049"/>
    <s v="Upstream"/>
    <s v="167818"/>
    <s v="USD"/>
    <n v="747.5"/>
    <s v="Direct Entry"/>
    <s v="1"/>
    <s v="3 Man Crew"/>
    <s v="3 Man Crew"/>
    <s v="Roustabout Crew"/>
    <d v="2025-10-08T06:13:58"/>
    <d v="2025-10-01T12:45:00"/>
    <d v="2025-10-01T18:30:00"/>
    <s v=""/>
    <s v="Koonce N A 39-34/Koonce S A 46-3"/>
    <s v=""/>
    <s v=""/>
    <s v=""/>
    <s v=""/>
    <s v=""/>
    <s v=""/>
    <s v=""/>
    <s v=""/>
    <s v=""/>
    <s v=""/>
    <s v=""/>
    <s v=""/>
    <s v=""/>
    <s v=""/>
    <s v=""/>
    <s v=""/>
    <s v=""/>
    <s v=""/>
    <s v=""/>
    <s v=""/>
    <s v=""/>
    <s v=""/>
    <s v="Labor"/>
    <s v=""/>
    <s v=""/>
    <s v=""/>
    <s v="8300187500"/>
    <s v="KOONCE N A39-34/KOONCE S A46-3 BATTERY"/>
    <s v="Upstream"/>
    <s v="1046"/>
    <s v=""/>
    <s v=""/>
    <s v=""/>
    <s v=""/>
    <s v=""/>
    <s v=""/>
    <s v=""/>
    <n v="5.75"/>
    <s v="HR"/>
    <n v="130"/>
    <s v=""/>
    <n v="747.5"/>
    <s v="--multiple--"/>
    <s v="703517"/>
    <d v="2025-10-08T06:16:39"/>
    <s v=""/>
    <s v=""/>
    <s v=""/>
    <s v=""/>
  </r>
  <r>
    <s v="212335"/>
    <s v="Basin Trucking LLC"/>
    <x v="9"/>
    <s v="Luis Ortega"/>
    <s v="Fabian Lujan"/>
    <s v="Drove to location inspected work area dissembled pipes so they could take out tanks out of service for repairs assisted crane operator used forklift and manlift as well"/>
    <s v="5051049"/>
    <s v="Upstream"/>
    <s v="167829"/>
    <s v="USD"/>
    <n v="2165"/>
    <s v="Direct Entry"/>
    <s v="1"/>
    <s v="3 Man Crew"/>
    <s v="3 Man Crew"/>
    <s v="Roustabout Crew"/>
    <d v="2025-10-08T12:14:14"/>
    <d v="2025-10-02T06:00:00"/>
    <d v="2025-10-02T17:30:00"/>
    <s v=""/>
    <s v="KOONCE N A39-34/KOONCE S A46-3 BATTERY"/>
    <s v=""/>
    <s v=""/>
    <s v=""/>
    <s v=""/>
    <s v=""/>
    <s v=""/>
    <s v=""/>
    <s v=""/>
    <s v=""/>
    <s v=""/>
    <s v=""/>
    <s v=""/>
    <s v=""/>
    <s v=""/>
    <s v=""/>
    <s v=""/>
    <s v=""/>
    <s v=""/>
    <s v=""/>
    <s v=""/>
    <s v=""/>
    <s v=""/>
    <s v="Labor"/>
    <s v=""/>
    <s v=""/>
    <s v=""/>
    <s v="8300187500"/>
    <s v="KOONCE N A39-34/KOONCE S A46-3 BATTERY"/>
    <s v="Upstream"/>
    <s v="1046"/>
    <s v=""/>
    <s v=""/>
    <s v=""/>
    <s v=""/>
    <s v=""/>
    <s v=""/>
    <s v=""/>
    <n v="11.5"/>
    <s v="HR"/>
    <n v="130"/>
    <s v=""/>
    <n v="1495"/>
    <s v="--multiple--"/>
    <s v="703517"/>
    <d v="2025-10-08T12:15:44"/>
    <s v=""/>
    <s v=""/>
    <s v=""/>
    <s v=""/>
  </r>
  <r>
    <s v="T-86653"/>
    <s v="ACH Services, LLC"/>
    <x v="10"/>
    <s v="Luis Ortega"/>
    <s v="Fabian Lujan"/>
    <s v="Drove to location to clean line and oil tank then drove to Milestone to washout."/>
    <s v="5051049"/>
    <s v="Upstream"/>
    <s v="167829"/>
    <s v="USD"/>
    <n v="810"/>
    <s v="Direct Entry"/>
    <s v="1"/>
    <s v="Vacuum Truck"/>
    <s v="Vacuum Truck"/>
    <s v="Vacuum Truck Services"/>
    <d v="2025-10-03T15:14:55"/>
    <d v="2025-10-02T08:00:00"/>
    <d v="2025-10-02T17:00:00"/>
    <d v="1899-12-30T09:00:00"/>
    <s v="KOONCE N A39-34/KOONCE S A46-3 BATTERY"/>
    <s v=""/>
    <s v=""/>
    <s v="-"/>
    <s v=""/>
    <s v=""/>
    <s v=""/>
    <s v=""/>
    <s v=""/>
    <s v=""/>
    <s v=""/>
    <s v=""/>
    <s v=""/>
    <s v=""/>
    <s v=""/>
    <s v=""/>
    <s v=""/>
    <s v=""/>
    <s v=""/>
    <s v=""/>
    <s v=""/>
    <n v="0"/>
    <s v="bbl"/>
    <s v=""/>
    <s v=""/>
    <s v=""/>
    <s v=""/>
    <s v="8300187500"/>
    <s v="KOONCE N A39-34/KOONCE S A46-3 BATTERY"/>
    <s v="Upstream"/>
    <s v="1046"/>
    <s v=""/>
    <s v=""/>
    <s v=""/>
    <s v=""/>
    <s v=""/>
    <s v=""/>
    <s v="Hours Worked"/>
    <n v="9"/>
    <s v="hour"/>
    <n v="90"/>
    <s v=""/>
    <n v="810"/>
    <s v="Pricebook"/>
    <s v="712932"/>
    <d v="2025-10-03T15:19:19"/>
    <s v=""/>
    <s v=""/>
    <s v=""/>
    <s v=""/>
  </r>
  <r>
    <s v="212090"/>
    <s v="Basin Trucking LLC"/>
    <x v="10"/>
    <s v="Luis Ortega"/>
    <s v="Fabian Lujan"/>
    <s v="Sandblasted and coat 1000 barrels tanks bottom"/>
    <s v="5051049"/>
    <s v="Upstream"/>
    <s v="167829"/>
    <s v="USD"/>
    <n v="8000"/>
    <s v="Direct Entry"/>
    <s v="1"/>
    <s v="SANDLAST AND COAT 1000 BBL TANK 21'6&quot;X16' BOTTOM AND 2FT"/>
    <s v="SANDLAST AND COAT 1000 BBL TANK 21'6&quot;X16' BOTTOM AND 6 FT"/>
    <s v=""/>
    <d v="2025-10-09T08:30:20"/>
    <d v="2025-10-03T06:00:00"/>
    <d v="2025-10-03T20:15:00"/>
    <s v=""/>
    <s v="KOONCE N A39-34/KOONCE S A46-3 BATTERY"/>
    <s v=""/>
    <s v=""/>
    <s v=""/>
    <s v=""/>
    <s v=""/>
    <s v=""/>
    <s v=""/>
    <s v=""/>
    <s v=""/>
    <s v=""/>
    <s v=""/>
    <s v=""/>
    <s v=""/>
    <s v=""/>
    <s v=""/>
    <s v=""/>
    <s v=""/>
    <s v=""/>
    <s v=""/>
    <s v=""/>
    <s v=""/>
    <s v=""/>
    <s v="Labor"/>
    <s v=""/>
    <s v=""/>
    <s v=""/>
    <s v="8300187500"/>
    <s v="KOONCE N A39-34/KOONCE S A46-3 BATTERY"/>
    <s v="Upstream"/>
    <s v="1046"/>
    <s v=""/>
    <s v=""/>
    <s v=""/>
    <s v=""/>
    <s v=""/>
    <s v=""/>
    <s v=""/>
    <n v="1"/>
    <s v="EA"/>
    <n v="8000"/>
    <s v=""/>
    <n v="8000"/>
    <s v="--multiple--"/>
    <s v="703517"/>
    <d v="2025-10-09T08:41:08"/>
    <s v=""/>
    <s v=""/>
    <s v=""/>
    <s v=""/>
  </r>
  <r>
    <s v="212089"/>
    <s v="Basin Trucking LLC"/>
    <x v="10"/>
    <s v="Luis Ortega"/>
    <s v="Fabian Lujan"/>
    <s v="Drove to location and inspected the 1000 barrels tank was free h2s L.E.C sandblaster crew work inside of the tank."/>
    <s v="5051049"/>
    <s v="Upstream"/>
    <s v="167829"/>
    <s v="USD"/>
    <n v="1726.25"/>
    <s v="Direct Entry"/>
    <s v="1"/>
    <s v="Safety  Man"/>
    <s v="Safety  Man"/>
    <s v=""/>
    <d v="2025-10-09T09:51:18"/>
    <d v="2025-10-03T09:15:00"/>
    <d v="2025-10-03T20:00:00"/>
    <s v=""/>
    <s v="KOONCE N A39-34/KOONCE S A46-3 BATTERY"/>
    <s v=""/>
    <s v=""/>
    <s v=""/>
    <s v=""/>
    <s v=""/>
    <s v=""/>
    <s v=""/>
    <s v=""/>
    <s v=""/>
    <s v=""/>
    <s v=""/>
    <s v=""/>
    <s v=""/>
    <s v=""/>
    <s v=""/>
    <s v=""/>
    <s v=""/>
    <s v=""/>
    <s v=""/>
    <s v=""/>
    <s v=""/>
    <s v=""/>
    <s v="Labor"/>
    <s v=""/>
    <s v=""/>
    <s v=""/>
    <s v="8300187500"/>
    <s v="KOONCE N A39-34/KOONCE S A46-3 BATTERY"/>
    <s v="Upstream"/>
    <s v="1046"/>
    <s v=""/>
    <s v=""/>
    <s v=""/>
    <s v=""/>
    <s v=""/>
    <s v=""/>
    <s v=""/>
    <n v="10.75"/>
    <s v="HR"/>
    <n v="75"/>
    <s v=""/>
    <n v="806.25"/>
    <s v="--multiple--"/>
    <s v="703517"/>
    <d v="2025-10-09T09:54:25"/>
    <s v=""/>
    <s v=""/>
    <s v=""/>
    <s v=""/>
  </r>
  <r>
    <s v="212341"/>
    <s v="Basin Trucking LLC"/>
    <x v="12"/>
    <s v="Luis Ortega"/>
    <s v="Fabian Lujan"/>
    <s v="Dove to location and assisted the care operator to set the equipment we set back 2 1000 barrels tanks leveled aligned and started to connected fittings and lines."/>
    <s v="5051049"/>
    <s v="Upstream"/>
    <s v="167829"/>
    <s v="USD"/>
    <n v="2587.5"/>
    <s v="Direct Entry"/>
    <s v="1"/>
    <s v="3 Man Crew"/>
    <s v="3 Man Crew"/>
    <s v="Roustabout Crew"/>
    <d v="2025-10-13T10:09:45"/>
    <d v="2025-10-06T06:00:00"/>
    <d v="2025-10-06T20:45:00"/>
    <s v=""/>
    <s v="KOONCE N A39-34/KOONCE S A46-3"/>
    <s v=""/>
    <s v=""/>
    <s v=""/>
    <s v=""/>
    <s v=""/>
    <s v=""/>
    <s v=""/>
    <s v=""/>
    <s v=""/>
    <s v=""/>
    <s v=""/>
    <s v=""/>
    <s v=""/>
    <s v=""/>
    <s v=""/>
    <s v=""/>
    <s v=""/>
    <s v=""/>
    <s v=""/>
    <s v=""/>
    <s v=""/>
    <s v=""/>
    <s v="Labor"/>
    <s v=""/>
    <s v=""/>
    <s v=""/>
    <s v="8300187500"/>
    <s v="KOONCE N A39-34/KOONCE S A46-3 BATTERY"/>
    <s v="Upstream"/>
    <s v="1046"/>
    <s v=""/>
    <s v=""/>
    <s v=""/>
    <s v=""/>
    <s v=""/>
    <s v=""/>
    <s v=""/>
    <n v="14.75"/>
    <s v="HR"/>
    <n v="130"/>
    <s v=""/>
    <n v="1917.5"/>
    <s v="--multiple--"/>
    <s v="703517"/>
    <d v="2025-10-13T10:18:01"/>
    <s v=""/>
    <s v=""/>
    <s v=""/>
    <s v=""/>
  </r>
  <r>
    <s v="54850"/>
    <s v="TCC Sandblasting &amp; Coating"/>
    <x v="12"/>
    <s v="Noel Quinonez-Ruiz"/>
    <s v="Fabian Lujan"/>
    <s v="Performed and completed DFT and Holiday tests on location"/>
    <s v="5051049"/>
    <s v="Upstream"/>
    <s v="162022"/>
    <s v="USD"/>
    <n v="312.5"/>
    <s v="Direct Entry"/>
    <s v="1"/>
    <s v="2-Man Coating Crew w/Truck &amp; Equipment"/>
    <s v="2-Man Coating Crew w/Truck &amp; Equipment"/>
    <s v=""/>
    <d v="2025-09-30T10:03:56"/>
    <d v="2025-09-22T07:15:00"/>
    <d v="2025-09-22T08:30:00"/>
    <s v=""/>
    <s v=""/>
    <s v=""/>
    <s v=""/>
    <s v=""/>
    <s v=""/>
    <s v=""/>
    <s v=""/>
    <s v=""/>
    <s v=""/>
    <s v=""/>
    <s v=""/>
    <s v=""/>
    <s v=""/>
    <s v=""/>
    <s v=""/>
    <s v=""/>
    <s v=""/>
    <s v=""/>
    <s v=""/>
    <s v=""/>
    <s v=""/>
    <s v=""/>
    <s v=""/>
    <s v="Labor"/>
    <s v=""/>
    <s v=""/>
    <s v=""/>
    <s v="8300180700"/>
    <s v="FASKEN 56 BATTERY"/>
    <s v="Upstream"/>
    <s v="1046"/>
    <s v=""/>
    <s v=""/>
    <s v=""/>
    <s v=""/>
    <s v=""/>
    <s v=""/>
    <s v=""/>
    <n v="1.25"/>
    <s v="HR"/>
    <n v="250"/>
    <s v=""/>
    <n v="312.5"/>
    <s v="--multiple--"/>
    <s v="704988"/>
    <d v="2025-10-02T11:34:33"/>
    <s v=""/>
    <s v=""/>
    <s v=""/>
    <s v=""/>
  </r>
  <r>
    <s v="53515"/>
    <s v="TCC Sandblasting &amp; Coating"/>
    <x v="3"/>
    <s v="Rick Case"/>
    <s v="Fabian Lujan"/>
    <s v="We disconnected the tank to washout and apply degreaser to rinse it, to prepare for repair"/>
    <s v="5051049"/>
    <s v="Upstream"/>
    <s v="159780"/>
    <s v="USD"/>
    <n v="570"/>
    <s v="Direct Entry"/>
    <s v="1"/>
    <s v="Vacuum Truck"/>
    <s v="Vacuum Truck"/>
    <s v=""/>
    <d v="2025-09-25T11:32:48"/>
    <d v="2025-09-20T06:15:00"/>
    <d v="2025-09-20T12:15:00"/>
    <s v=""/>
    <s v=""/>
    <s v=""/>
    <s v=""/>
    <s v=""/>
    <s v=""/>
    <s v=""/>
    <s v=""/>
    <s v=""/>
    <s v=""/>
    <s v=""/>
    <s v=""/>
    <s v=""/>
    <s v=""/>
    <s v=""/>
    <s v=""/>
    <s v=""/>
    <s v=""/>
    <s v=""/>
    <s v=""/>
    <s v=""/>
    <s v=""/>
    <s v=""/>
    <s v=""/>
    <s v="Labor"/>
    <s v=""/>
    <s v=""/>
    <s v=""/>
    <s v="8000320100"/>
    <s v="7904 JVP HILLGER D 23D BATTERY"/>
    <s v="Upstream"/>
    <s v="1046"/>
    <s v=""/>
    <s v=""/>
    <s v=""/>
    <s v=""/>
    <s v=""/>
    <s v=""/>
    <s v=""/>
    <n v="6"/>
    <s v="EA"/>
    <n v="95"/>
    <s v=""/>
    <n v="570"/>
    <s v="--multiple--"/>
    <s v="704988"/>
    <d v="2025-10-01T07:12:43"/>
    <s v=""/>
    <s v=""/>
    <s v=""/>
    <s v=""/>
  </r>
  <r>
    <s v="53516"/>
    <s v="TCC Sandblasting &amp; Coating"/>
    <x v="3"/>
    <s v="Rick Case"/>
    <s v="Fabian Lujan"/>
    <s v="We disconnected the tank to washout and apply degreaser to rinse it, to prepare for repair"/>
    <s v="5051049"/>
    <s v="Upstream"/>
    <s v="159780"/>
    <s v="USD"/>
    <n v="570"/>
    <s v="Direct Entry"/>
    <s v="1"/>
    <s v="Vacuum Truck"/>
    <s v="Vacuum Truck"/>
    <s v=""/>
    <d v="2025-09-25T11:34:56"/>
    <d v="2025-09-20T12:30:00"/>
    <d v="2025-09-20T18:30:00"/>
    <s v=""/>
    <s v=""/>
    <s v=""/>
    <s v=""/>
    <s v=""/>
    <s v=""/>
    <s v=""/>
    <s v=""/>
    <s v=""/>
    <s v=""/>
    <s v=""/>
    <s v=""/>
    <s v=""/>
    <s v=""/>
    <s v=""/>
    <s v=""/>
    <s v=""/>
    <s v=""/>
    <s v=""/>
    <s v=""/>
    <s v=""/>
    <s v=""/>
    <s v=""/>
    <s v=""/>
    <s v="Labor"/>
    <s v=""/>
    <s v=""/>
    <s v=""/>
    <s v="8000320100"/>
    <s v="7904 JVP HILLGER D 23D BATTERY"/>
    <s v="Upstream"/>
    <s v="1046"/>
    <s v=""/>
    <s v=""/>
    <s v=""/>
    <s v=""/>
    <s v=""/>
    <s v=""/>
    <s v=""/>
    <n v="6"/>
    <s v="EA"/>
    <n v="95"/>
    <s v=""/>
    <n v="570"/>
    <s v="--multiple--"/>
    <s v="704988"/>
    <d v="2025-10-01T07:13:26"/>
    <s v=""/>
    <s v=""/>
    <s v=""/>
    <s v=""/>
  </r>
  <r>
    <s v="211364"/>
    <s v="Basin Trucking LLC"/>
    <x v="2"/>
    <s v="Rick Case"/>
    <s v="Fabian Lujan"/>
    <s v="Drove to ACS to picked up parts then we drove to location replace 2&quot; ball valve on heater belly dump line also replace 2 ball valves on drain line we replace a 2&quot; ball valve on Mainway and replace side glass"/>
    <s v="5051049"/>
    <s v="Upstream"/>
    <s v="167203"/>
    <s v="USD"/>
    <n v="1462.5"/>
    <s v="Direct Entry"/>
    <s v="1"/>
    <s v="3 Man Crew"/>
    <s v="3 Man Crew"/>
    <s v="Roustabout Crew"/>
    <d v="2025-10-06T15:48:44"/>
    <d v="2025-09-29T07:00:00"/>
    <d v="2025-09-29T18:15:00"/>
    <s v=""/>
    <s v="CLEARBEE 29 BATTERY"/>
    <s v=""/>
    <s v=""/>
    <s v=""/>
    <s v=""/>
    <s v=""/>
    <s v=""/>
    <s v=""/>
    <s v=""/>
    <s v=""/>
    <s v=""/>
    <s v=""/>
    <s v=""/>
    <s v=""/>
    <s v=""/>
    <s v=""/>
    <s v=""/>
    <s v=""/>
    <s v=""/>
    <s v=""/>
    <s v=""/>
    <s v=""/>
    <s v=""/>
    <s v="Labor"/>
    <s v=""/>
    <s v=""/>
    <s v=""/>
    <s v="8300089100"/>
    <s v="CLEARBEE 29 BATTERY"/>
    <s v="Upstream"/>
    <s v="1046"/>
    <s v=""/>
    <s v=""/>
    <s v=""/>
    <s v=""/>
    <s v=""/>
    <s v=""/>
    <s v=""/>
    <n v="11.25"/>
    <s v="HR"/>
    <n v="130"/>
    <s v=""/>
    <n v="1462.5"/>
    <s v="--multiple--"/>
    <s v="703517"/>
    <d v="2025-10-06T15:49:44"/>
    <s v=""/>
    <s v=""/>
    <s v=""/>
    <s v=""/>
  </r>
  <r>
    <s v="027886"/>
    <s v="Resilient Oilfield Services, LLC"/>
    <x v="10"/>
    <s v="Rick Case"/>
    <s v="Fabian Lujan"/>
    <s v="Dispatched to location. Hooked up to 1' valve on well to aide crane crew with excess fluids and pressure."/>
    <s v="5051049"/>
    <s v="Upstream"/>
    <s v="167910"/>
    <s v="USD"/>
    <n v="403.75"/>
    <s v="Direct Entry"/>
    <s v="1"/>
    <s v="1008"/>
    <s v="Vacuum Truck"/>
    <s v="Vacuum Truck"/>
    <d v="2025-10-06T14:34:01"/>
    <d v="2025-10-02T16:00:00"/>
    <d v="2025-10-02T20:15:00"/>
    <d v="1899-12-30T04:15:00"/>
    <s v="Glen W Hillger A2"/>
    <s v=""/>
    <s v=""/>
    <s v="Produced Water"/>
    <s v=""/>
    <s v=""/>
    <s v=""/>
    <s v=""/>
    <s v=""/>
    <s v=""/>
    <s v=""/>
    <s v=""/>
    <s v=""/>
    <s v=""/>
    <s v=""/>
    <s v=""/>
    <s v=""/>
    <s v=""/>
    <s v=""/>
    <s v=""/>
    <s v=""/>
    <n v="120"/>
    <s v="bbl"/>
    <s v=""/>
    <s v=""/>
    <s v=""/>
    <s v=""/>
    <s v="1001767600"/>
    <s v="HILLGER, GLEN W. A 2"/>
    <s v="Upstream"/>
    <s v="1046"/>
    <s v=""/>
    <s v=""/>
    <s v=""/>
    <s v=""/>
    <s v=""/>
    <s v=""/>
    <s v="Hours Worked"/>
    <n v="4.25"/>
    <s v="hour"/>
    <n v="95"/>
    <s v=""/>
    <n v="403.75"/>
    <s v="--multiple--"/>
    <s v="700874"/>
    <d v="2025-10-06T14:51:24"/>
    <s v=""/>
    <s v=""/>
    <s v=""/>
    <s v=""/>
  </r>
  <r>
    <s v="362554"/>
    <s v="Holman Well Service Company, LLC"/>
    <x v="7"/>
    <s v="Devin King"/>
    <s v="Richard Simmons"/>
    <s v="Wilbanks 16A 5  /   Devin King  /  Scheduled Program Casing &amp; Flowline"/>
    <s v="5051026"/>
    <s v="Upstream"/>
    <s v=""/>
    <s v="USD"/>
    <n v="750"/>
    <s v="Direct Entry"/>
    <s v="1"/>
    <s v="Scheduled Program Hot Oil per BBL"/>
    <s v="Scheduled Program Hot Oil per BBL"/>
    <s v=""/>
    <d v="2025-10-10T09:51:45"/>
    <d v="2025-09-26T14:00:00"/>
    <d v="2025-09-26T15:30:00"/>
    <s v=""/>
    <s v=""/>
    <s v=""/>
    <s v=""/>
    <s v=""/>
    <s v=""/>
    <s v=""/>
    <s v=""/>
    <s v=""/>
    <s v=""/>
    <s v=""/>
    <s v=""/>
    <s v=""/>
    <s v=""/>
    <s v=""/>
    <s v=""/>
    <s v=""/>
    <s v=""/>
    <s v=""/>
    <s v=""/>
    <s v=""/>
    <s v=""/>
    <s v=""/>
    <s v=""/>
    <s v="Equipment"/>
    <s v=""/>
    <s v=""/>
    <s v=""/>
    <s v="1000182500"/>
    <s v="WILBANKS -16A 5"/>
    <s v="Upstream"/>
    <s v="1046"/>
    <s v=""/>
    <s v=""/>
    <s v=""/>
    <s v=""/>
    <s v=""/>
    <s v=""/>
    <s v=""/>
    <n v="100"/>
    <s v="BBL"/>
    <n v="7.5"/>
    <s v=""/>
    <n v="750"/>
    <s v="Pricebook"/>
    <s v="713545"/>
    <d v="2025-10-10T09:54:22"/>
    <s v=""/>
    <s v=""/>
    <s v=""/>
    <s v=""/>
  </r>
  <r>
    <s v="JR45894-40"/>
    <s v="Advanced Integrated Services Inc"/>
    <x v="0"/>
    <s v="Mauro Barraza"/>
    <s v="Ferris Mahaini"/>
    <s v="Labor - installation of MVS on two meter runs ETC"/>
    <s v="8501142"/>
    <s v="DC-EQ"/>
    <s v=""/>
    <s v="USD"/>
    <n v="648"/>
    <s v="Direct Entry"/>
    <s v="1"/>
    <s v=""/>
    <s v="Automation Tech"/>
    <s v=""/>
    <d v="2025-09-14T13:01:52"/>
    <d v="2025-08-28T08:30:00"/>
    <d v="2025-08-28T16:30:00"/>
    <s v=""/>
    <s v="Fenwick 10-3 A 1JM"/>
    <s v=""/>
    <s v=""/>
    <s v=""/>
    <s v=""/>
    <s v=""/>
    <s v=""/>
    <s v=""/>
    <s v=""/>
    <s v=""/>
    <s v=""/>
    <s v=""/>
    <s v=""/>
    <s v=""/>
    <s v=""/>
    <s v=""/>
    <s v=""/>
    <s v=""/>
    <s v=""/>
    <s v=""/>
    <s v=""/>
    <s v=""/>
    <s v=""/>
    <s v="Labor"/>
    <s v=""/>
    <s v=""/>
    <s v=""/>
    <s v="DC-000410EQ"/>
    <s v="FENWICK 10-3 A 1JM"/>
    <s v="DC-EQ"/>
    <s v="1046"/>
    <s v=""/>
    <s v=""/>
    <s v=""/>
    <s v=""/>
    <s v=""/>
    <s v=""/>
    <s v=""/>
    <n v="8"/>
    <s v="HR"/>
    <n v="58"/>
    <s v=""/>
    <n v="464"/>
    <s v="Pricebook"/>
    <s v="712953"/>
    <d v="2025-09-24T08:02:12"/>
    <s v=""/>
    <s v=""/>
    <s v="Missing GPS Data | Missing GPS Data"/>
    <s v=""/>
  </r>
  <r>
    <s v="G5858817"/>
    <s v="Premier Energy Services, LLC"/>
    <x v="0"/>
    <s v="Robert Flores"/>
    <s v="Ferris Mahaini"/>
    <s v="Production-2 man crew w/ tools,_x000a_PREFORMED TAILGATE MEETING STARTED BUILDING PARTS FOR TUBING ON WELLHEAD"/>
    <s v="8501210"/>
    <s v="AC-AC"/>
    <s v="157210"/>
    <s v="USD"/>
    <n v="168.3"/>
    <s v="API"/>
    <s v="1"/>
    <s v="2 MAN CREW/TRUCK &amp; TOOLS - DIAMONDBACK"/>
    <s v="Production-2 man crew w/ tools"/>
    <s v=""/>
    <d v="2025-10-07T12:05:39"/>
    <d v="2025-10-03T11:58:00"/>
    <d v="2025-10-03T13:29:00"/>
    <s v=""/>
    <s v="Cerberus 11-23 UNIT 2 265"/>
    <s v=""/>
    <s v="Cerberus 11-23 well pad #5"/>
    <s v=""/>
    <s v=""/>
    <s v=""/>
    <s v=""/>
    <s v=""/>
    <s v=""/>
    <s v=""/>
    <s v=""/>
    <s v=""/>
    <s v=""/>
    <s v=""/>
    <s v=""/>
    <s v=""/>
    <s v=""/>
    <s v=""/>
    <s v=""/>
    <s v=""/>
    <s v=""/>
    <s v=""/>
    <s v=""/>
    <s v="Labor"/>
    <s v="PALOMINO , VINCENT"/>
    <s v="118567"/>
    <s v=""/>
    <s v="AC-002089AC"/>
    <s v="CERBERUS 11-23 UNIT 2 265 ESP2GL"/>
    <s v="AC-AC"/>
    <s v="1046"/>
    <s v=""/>
    <s v=""/>
    <s v=""/>
    <s v=""/>
    <s v=""/>
    <s v=""/>
    <s v=""/>
    <n v="1.53"/>
    <s v="HR"/>
    <n v="110"/>
    <s v=""/>
    <n v="168.3"/>
    <s v="--multiple--"/>
    <s v="702081"/>
    <d v="2025-10-10T08:15:19"/>
    <s v=""/>
    <s v=""/>
    <s v="Attachment Issue"/>
    <s v=""/>
  </r>
  <r>
    <s v="4628-1152997"/>
    <s v="Cain Electric Supply CORP"/>
    <x v="0"/>
    <s v="Roy McNutt"/>
    <s v="Ferris Mahaini"/>
    <s v="Electrical Materials"/>
    <s v="8501141"/>
    <s v="AC-AC"/>
    <s v=""/>
    <s v="USD"/>
    <n v="15572.77"/>
    <s v=""/>
    <s v="1"/>
    <s v="HOFF A8R84"/>
    <s v="NEMA3R SCR CVR BOX"/>
    <s v=""/>
    <d v="2025-10-09T19:04:35"/>
    <d v="2025-10-09T08:00:00"/>
    <d v="2025-10-09T08:00:00"/>
    <s v=""/>
    <s v="ZEBCO 27-39 D 4WA"/>
    <s v=""/>
    <s v=""/>
    <s v=""/>
    <s v=""/>
    <s v=""/>
    <s v=""/>
    <s v=""/>
    <s v=""/>
    <s v=""/>
    <s v=""/>
    <s v=""/>
    <s v=""/>
    <s v=""/>
    <s v=""/>
    <s v=""/>
    <s v=""/>
    <s v=""/>
    <s v=""/>
    <s v=""/>
    <s v=""/>
    <s v=""/>
    <s v=""/>
    <s v="Material"/>
    <s v=""/>
    <s v=""/>
    <s v=""/>
    <s v="AC-002136AC"/>
    <s v="ZEBCO 27-39 D 4WA - ESP2RP"/>
    <s v="AC-AC"/>
    <s v="1046"/>
    <s v=""/>
    <s v=""/>
    <s v=""/>
    <s v=""/>
    <s v=""/>
    <s v=""/>
    <s v=""/>
    <n v="1"/>
    <s v="EA"/>
    <n v="31.77"/>
    <s v=""/>
    <n v="31.77"/>
    <s v="--multiple--"/>
    <s v="703819"/>
    <d v="2025-10-10T09:29:02"/>
    <s v=""/>
    <s v=""/>
    <s v=""/>
    <s v=""/>
  </r>
  <r>
    <s v="11-184138"/>
    <s v="Milestone Environmental Services, LLC"/>
    <x v="8"/>
    <s v="Clayton Marburger"/>
    <s v="Gary Cain"/>
    <s v="Disposal Ticket"/>
    <s v="5051013"/>
    <s v="Upstream"/>
    <s v=""/>
    <s v="USD"/>
    <n v="575"/>
    <s v="B2B"/>
    <s v="1"/>
    <s v="DFW"/>
    <s v="Fresh Water - Dirty"/>
    <s v="WATER"/>
    <d v="2025-09-30T06:44:56"/>
    <d v="2025-09-19T18:41:00"/>
    <d v="2025-09-19T19:41:00"/>
    <d v="1899-12-30T01:00:00"/>
    <s v="NAIL RANCH 1-12 SLU UNIT PAD 1 BATTERY"/>
    <s v=""/>
    <s v=""/>
    <s v="DFW"/>
    <s v=""/>
    <s v=""/>
    <s v=""/>
    <s v=""/>
    <n v="0"/>
    <s v=""/>
    <s v=""/>
    <s v=""/>
    <s v=""/>
    <s v=""/>
    <s v=""/>
    <s v=""/>
    <s v=""/>
    <s v=""/>
    <s v=""/>
    <s v=""/>
    <s v="Imperial"/>
    <n v="100"/>
    <s v="bbl"/>
    <s v=""/>
    <s v=""/>
    <s v=""/>
    <s v=""/>
    <s v="8300129600"/>
    <s v="NAIL RANCH 1-12 SLU UNIT PAD 1 BATTERY"/>
    <s v="Upstream"/>
    <s v="1046"/>
    <s v=""/>
    <s v=""/>
    <s v=""/>
    <s v=""/>
    <s v=""/>
    <s v=""/>
    <s v="Other"/>
    <n v="100"/>
    <s v="BBL"/>
    <n v="3.75"/>
    <s v=""/>
    <n v="375"/>
    <s v="Pricebook"/>
    <s v="708539"/>
    <d v="2025-10-14T06:16:07"/>
    <s v=""/>
    <s v=""/>
    <s v="Electronic Field Ticket Issue"/>
    <s v=""/>
  </r>
  <r>
    <s v="18697"/>
    <s v="Elite Energy Services"/>
    <x v="3"/>
    <s v="Edgar Quintero"/>
    <s v="Cody Rogers"/>
    <s v="Firetube inspection and burner flame arrestor washed"/>
    <s v="5051052"/>
    <s v="Upstream"/>
    <s v="168581"/>
    <s v="USD"/>
    <n v="2550"/>
    <s v="Direct Entry"/>
    <s v="1"/>
    <s v="Firetube Inspection"/>
    <s v="Firetube Inspection"/>
    <s v=""/>
    <d v="2025-10-10T08:34:01"/>
    <d v="2025-10-09T10:00:00"/>
    <d v="2025-10-09T12:00:00"/>
    <s v=""/>
    <s v="University 7-27 North H  North Heater #2"/>
    <s v=""/>
    <s v=""/>
    <s v=""/>
    <s v=""/>
    <s v=""/>
    <s v=""/>
    <s v=""/>
    <s v=""/>
    <s v=""/>
    <s v=""/>
    <s v=""/>
    <s v=""/>
    <s v=""/>
    <s v=""/>
    <s v=""/>
    <s v=""/>
    <s v=""/>
    <s v=""/>
    <s v=""/>
    <s v=""/>
    <s v=""/>
    <s v=""/>
    <s v="Labor"/>
    <s v=""/>
    <s v=""/>
    <s v=""/>
    <s v="8000121900"/>
    <s v="UNIVERSITY 7-27 NORTH H CTB"/>
    <s v="Upstream"/>
    <s v="1046"/>
    <s v=""/>
    <s v=""/>
    <s v=""/>
    <s v=""/>
    <s v=""/>
    <s v=""/>
    <s v=""/>
    <n v="1"/>
    <s v="EA"/>
    <n v="700"/>
    <s v=""/>
    <n v="700"/>
    <s v="--multiple--"/>
    <s v="710696"/>
    <d v="2025-10-13T13:39:05"/>
    <s v=""/>
    <s v=""/>
    <s v="Attachment Issue"/>
    <s v=""/>
  </r>
  <r>
    <s v="18698"/>
    <s v="Elite Energy Services"/>
    <x v="3"/>
    <s v="Edgar Quintero"/>
    <s v="Cody Rogers"/>
    <s v="Firetube inspection and burner flame arrestor washed"/>
    <s v="5051052"/>
    <s v="Upstream"/>
    <s v="168589"/>
    <s v="USD"/>
    <n v="1700"/>
    <s v="Direct Entry"/>
    <s v="1"/>
    <s v="Firetube Inspection"/>
    <s v="Firetube Inspection"/>
    <s v=""/>
    <d v="2025-10-10T08:37:26"/>
    <d v="2025-10-09T12:00:00"/>
    <d v="2025-10-09T14:00:00"/>
    <s v=""/>
    <s v="University 7-27 South H  North Heater"/>
    <s v=""/>
    <s v=""/>
    <s v=""/>
    <s v=""/>
    <s v=""/>
    <s v=""/>
    <s v=""/>
    <s v=""/>
    <s v=""/>
    <s v=""/>
    <s v=""/>
    <s v=""/>
    <s v=""/>
    <s v=""/>
    <s v=""/>
    <s v=""/>
    <s v=""/>
    <s v=""/>
    <s v=""/>
    <s v=""/>
    <s v=""/>
    <s v=""/>
    <s v="Labor"/>
    <s v=""/>
    <s v=""/>
    <s v=""/>
    <s v="8000122000"/>
    <s v="UNIVERSITY 7-27 SOUTH H CTB"/>
    <s v="Upstream"/>
    <s v="1046"/>
    <s v=""/>
    <s v=""/>
    <s v=""/>
    <s v=""/>
    <s v=""/>
    <s v=""/>
    <s v=""/>
    <n v="1"/>
    <s v="EA"/>
    <n v="700"/>
    <s v=""/>
    <n v="700"/>
    <s v="--multiple--"/>
    <s v="710696"/>
    <d v="2025-10-13T13:54:10"/>
    <s v=""/>
    <s v=""/>
    <s v="Attachment Issue"/>
    <s v=""/>
  </r>
  <r>
    <s v="18699"/>
    <s v="Elite Energy Services"/>
    <x v="3"/>
    <s v="Edgar Quintero"/>
    <s v="Cody Rogers"/>
    <s v="Firetube inspection and burner flame arrestor washed"/>
    <s v="5051052"/>
    <s v="Upstream"/>
    <s v="168595"/>
    <s v="USD"/>
    <n v="1700"/>
    <s v="Direct Entry"/>
    <s v="1"/>
    <s v="Firetube Inspection"/>
    <s v="Firetube Inspection"/>
    <s v=""/>
    <d v="2025-10-10T08:40:15"/>
    <d v="2025-10-09T14:00:00"/>
    <d v="2025-10-09T16:00:00"/>
    <s v=""/>
    <s v="University 7-30 H North  Heater"/>
    <s v=""/>
    <s v=""/>
    <s v=""/>
    <s v=""/>
    <s v=""/>
    <s v=""/>
    <s v=""/>
    <s v=""/>
    <s v=""/>
    <s v=""/>
    <s v=""/>
    <s v=""/>
    <s v=""/>
    <s v=""/>
    <s v=""/>
    <s v=""/>
    <s v=""/>
    <s v=""/>
    <s v=""/>
    <s v=""/>
    <s v=""/>
    <s v=""/>
    <s v="Labor"/>
    <s v=""/>
    <s v=""/>
    <s v=""/>
    <s v="8000124900"/>
    <s v="UNIVERSITY 7-30 H CTB"/>
    <s v="Upstream"/>
    <s v="1046"/>
    <s v=""/>
    <s v=""/>
    <s v=""/>
    <s v=""/>
    <s v=""/>
    <s v=""/>
    <s v=""/>
    <n v="1"/>
    <s v="EA"/>
    <n v="700"/>
    <s v=""/>
    <n v="700"/>
    <s v="--multiple--"/>
    <s v="710696"/>
    <d v="2025-10-13T14:01:42"/>
    <s v=""/>
    <s v=""/>
    <s v="Attachment Issue"/>
    <s v=""/>
  </r>
  <r>
    <s v="PRV-82395"/>
    <s v="Roto-Versal Compression Services LLC"/>
    <x v="4"/>
    <s v="Edgar Quintero"/>
    <s v="Josh Clemmer"/>
    <s v="ANSI Valve - Greasing/Lubrication"/>
    <s v="5051052"/>
    <s v="Upstream"/>
    <s v="168670"/>
    <s v="USD"/>
    <n v="407.97"/>
    <s v="Direct Entry"/>
    <s v="1"/>
    <s v="PRV-616"/>
    <s v="Sealant, Creamy Peanut Butter"/>
    <s v="Part"/>
    <d v="2025-10-09T16:17:14"/>
    <d v="2025-10-07T06:00:00"/>
    <d v="2025-10-07T07:00:00"/>
    <s v=""/>
    <s v="Mak Battery"/>
    <s v=""/>
    <s v=""/>
    <s v=""/>
    <s v=""/>
    <s v=""/>
    <s v=""/>
    <s v=""/>
    <s v=""/>
    <s v=""/>
    <s v=""/>
    <s v=""/>
    <s v=""/>
    <s v=""/>
    <s v=""/>
    <s v=""/>
    <s v=""/>
    <s v=""/>
    <s v=""/>
    <s v=""/>
    <s v=""/>
    <s v=""/>
    <s v=""/>
    <s v="Material"/>
    <s v=""/>
    <s v=""/>
    <s v=""/>
    <s v="8000047700"/>
    <s v="MAK BATTERY"/>
    <s v="Upstream"/>
    <s v="1046"/>
    <s v=""/>
    <s v=""/>
    <s v=""/>
    <s v=""/>
    <s v=""/>
    <s v=""/>
    <s v=""/>
    <n v="1"/>
    <s v="EA"/>
    <n v="7.97"/>
    <s v=""/>
    <n v="7.97"/>
    <s v="--multiple--"/>
    <s v="712955"/>
    <d v="2025-10-09T16:20:14"/>
    <s v=""/>
    <s v=""/>
    <s v=""/>
    <s v=""/>
  </r>
  <r>
    <s v="SC00167"/>
    <s v="Onit Energy Solutions"/>
    <x v="3"/>
    <s v="Francisco Chavez III"/>
    <s v="Richard Garcia"/>
    <s v="Flare Repair"/>
    <s v="5051006"/>
    <s v="Upstream"/>
    <s v="171340"/>
    <s v="USD"/>
    <n v="678.75"/>
    <s v="Direct Entry"/>
    <s v="1"/>
    <s v="OES-TECH-FCB"/>
    <s v="TECHNICIAN FLARE/COMBUSTOR/BMS"/>
    <s v=""/>
    <d v="2025-10-13T07:56:08"/>
    <d v="2025-10-10T17:00:00"/>
    <d v="2025-10-10T21:00:00"/>
    <s v=""/>
    <s v="AMOCO BLANCHE A 2-28 BATTERY"/>
    <s v=""/>
    <s v=""/>
    <s v=""/>
    <s v=""/>
    <s v=""/>
    <s v=""/>
    <s v=""/>
    <s v=""/>
    <s v=""/>
    <s v=""/>
    <s v=""/>
    <s v=""/>
    <s v=""/>
    <s v=""/>
    <s v=""/>
    <s v=""/>
    <s v=""/>
    <s v=""/>
    <s v=""/>
    <s v=""/>
    <s v=""/>
    <s v=""/>
    <s v="Labor"/>
    <s v=""/>
    <s v=""/>
    <s v=""/>
    <s v="8300173600"/>
    <s v="AMOCO BLANCHE A 2-28 BATTERY"/>
    <s v="Upstream"/>
    <s v="1046"/>
    <s v=""/>
    <s v=""/>
    <s v=""/>
    <s v=""/>
    <s v=""/>
    <s v=""/>
    <s v=""/>
    <n v="4"/>
    <s v="HR"/>
    <n v="150"/>
    <s v=""/>
    <n v="600"/>
    <s v="Pricebook"/>
    <s v="712949"/>
    <d v="2025-10-13T07:58:29"/>
    <s v=""/>
    <s v=""/>
    <s v=""/>
    <s v=""/>
  </r>
  <r>
    <s v="243197"/>
    <s v="Royal Oilfield Services LLC"/>
    <x v="0"/>
    <s v="Dusty Kelley"/>
    <s v="Bill Thompson"/>
    <s v="DK - requested to location transfer of produced water tank water #3 insided tanks water 2"/>
    <s v="5051057"/>
    <s v="Upstream"/>
    <s v=""/>
    <s v="USD"/>
    <n v="337.5"/>
    <s v="Direct Entry"/>
    <s v="1"/>
    <s v="100001"/>
    <s v="Vacuum Truck"/>
    <s v="Vacuum Truck"/>
    <d v="2025-09-24T07:40:54"/>
    <d v="2025-09-14T14:15:00"/>
    <d v="2025-09-14T18:00:00"/>
    <d v="1899-12-30T03:45:00"/>
    <s v="UL 7-0312 CTB"/>
    <s v=""/>
    <s v=""/>
    <s v="Produced Water"/>
    <s v=""/>
    <s v=""/>
    <s v=""/>
    <s v=""/>
    <s v=""/>
    <s v=""/>
    <s v=""/>
    <s v=""/>
    <s v=""/>
    <s v=""/>
    <s v=""/>
    <s v=""/>
    <s v=""/>
    <s v=""/>
    <s v=""/>
    <s v=""/>
    <s v=""/>
    <n v="0"/>
    <s v="bbl"/>
    <s v=""/>
    <s v=""/>
    <s v=""/>
    <s v=""/>
    <s v="8000130600"/>
    <s v="UL 7-0312 CTB"/>
    <s v="Upstream"/>
    <s v="1046"/>
    <s v=""/>
    <s v=""/>
    <s v=""/>
    <s v=""/>
    <s v=""/>
    <s v=""/>
    <s v="Hours Worked"/>
    <n v="3.75"/>
    <s v="hour"/>
    <n v="90"/>
    <s v=""/>
    <n v="337.5"/>
    <s v="Pricebook"/>
    <s v="703639"/>
    <d v="2025-09-29T12:10:52"/>
    <s v=""/>
    <s v=""/>
    <s v=""/>
    <s v=""/>
  </r>
  <r>
    <s v="199596"/>
    <s v="Chemical Weed Control"/>
    <x v="12"/>
    <s v="Daniel Martinez"/>
    <s v="Gary Cain"/>
    <s v="GAULT 5-44_x000a_VARIOUS WEED SPRAYING"/>
    <s v="5051027"/>
    <s v="Upstream"/>
    <s v=""/>
    <s v="USD"/>
    <n v="2453"/>
    <s v="Direct Entry"/>
    <s v="1"/>
    <s v="Additional SQFT over 26,000"/>
    <s v="Additional SQFT over 26,000"/>
    <s v=""/>
    <d v="2025-10-03T10:34:22"/>
    <d v="2025-09-20T05:00:00"/>
    <d v="2025-09-20T07:00:00"/>
    <s v=""/>
    <s v="BATTERY"/>
    <s v=""/>
    <s v=""/>
    <s v=""/>
    <s v=""/>
    <s v=""/>
    <s v=""/>
    <s v=""/>
    <s v=""/>
    <s v=""/>
    <s v=""/>
    <s v=""/>
    <s v=""/>
    <s v=""/>
    <s v=""/>
    <s v=""/>
    <s v=""/>
    <s v=""/>
    <s v=""/>
    <s v=""/>
    <s v=""/>
    <s v=""/>
    <s v=""/>
    <s v="Labor"/>
    <s v=""/>
    <s v=""/>
    <s v=""/>
    <s v="1001455900"/>
    <s v="GAULT 5-44 UNIT 7UW 271R"/>
    <s v="Upstream"/>
    <s v="1046"/>
    <s v=""/>
    <s v=""/>
    <s v=""/>
    <s v=""/>
    <s v=""/>
    <s v=""/>
    <s v=""/>
    <n v="175000"/>
    <s v="SQ FT"/>
    <n v="0"/>
    <s v=""/>
    <n v="700"/>
    <s v="Pricebook"/>
    <s v="705499"/>
    <d v="2025-10-03T10:45:14"/>
    <s v=""/>
    <s v=""/>
    <s v=""/>
    <s v=""/>
  </r>
  <r>
    <s v="199597"/>
    <s v="Chemical Weed Control"/>
    <x v="12"/>
    <s v="Daniel Martinez"/>
    <s v="Gary Cain"/>
    <s v="ELKIN 44-32_x000a_VARIOUS WEED SPRAYING"/>
    <s v="5051027"/>
    <s v="Upstream"/>
    <s v=""/>
    <s v="USD"/>
    <n v="1220"/>
    <s v="Direct Entry"/>
    <s v="1"/>
    <s v="Additional SQFT over 26,000"/>
    <s v="Additional SQFT over 26,000"/>
    <s v=""/>
    <d v="2025-10-03T10:46:00"/>
    <d v="2025-09-25T05:00:00"/>
    <d v="2025-09-25T07:00:00"/>
    <s v=""/>
    <s v="BATTERY"/>
    <s v=""/>
    <s v=""/>
    <s v=""/>
    <s v=""/>
    <s v=""/>
    <s v=""/>
    <s v=""/>
    <s v=""/>
    <s v=""/>
    <s v=""/>
    <s v=""/>
    <s v=""/>
    <s v=""/>
    <s v=""/>
    <s v=""/>
    <s v=""/>
    <s v=""/>
    <s v=""/>
    <s v=""/>
    <s v=""/>
    <s v=""/>
    <s v=""/>
    <s v="Labor"/>
    <s v=""/>
    <s v=""/>
    <s v=""/>
    <s v="8300097300"/>
    <s v="ELKIN 44-32 BATTERY"/>
    <s v="Upstream"/>
    <s v="1046"/>
    <s v=""/>
    <s v=""/>
    <s v=""/>
    <s v=""/>
    <s v=""/>
    <s v=""/>
    <s v=""/>
    <n v="212500"/>
    <s v="SQ FT"/>
    <n v="0"/>
    <s v=""/>
    <n v="850"/>
    <s v="Pricebook"/>
    <s v="705499"/>
    <d v="2025-10-03T10:48:32"/>
    <s v=""/>
    <s v=""/>
    <s v=""/>
    <s v=""/>
  </r>
  <r>
    <s v="199598"/>
    <s v="Chemical Weed Control"/>
    <x v="12"/>
    <s v="Daniel Martinez"/>
    <s v="Gary Cain"/>
    <s v="SYNATSCHK C_x000a_VARIOUS WEED SPRAYING"/>
    <s v="5051027"/>
    <s v="Upstream"/>
    <s v=""/>
    <s v="USD"/>
    <n v="375"/>
    <s v="Direct Entry"/>
    <s v="1"/>
    <s v="Additional SQFT over 26,000"/>
    <s v="Additional SQFT over 26,000"/>
    <s v=""/>
    <d v="2025-10-03T10:49:31"/>
    <d v="2025-09-25T05:00:00"/>
    <d v="2025-09-25T07:00:00"/>
    <s v=""/>
    <s v="BATTERY"/>
    <s v=""/>
    <s v=""/>
    <s v=""/>
    <s v=""/>
    <s v=""/>
    <s v=""/>
    <s v=""/>
    <s v=""/>
    <s v=""/>
    <s v=""/>
    <s v=""/>
    <s v=""/>
    <s v=""/>
    <s v=""/>
    <s v=""/>
    <s v=""/>
    <s v=""/>
    <s v=""/>
    <s v=""/>
    <s v=""/>
    <s v=""/>
    <s v=""/>
    <s v="Labor"/>
    <s v=""/>
    <s v=""/>
    <s v=""/>
    <s v="8300158200"/>
    <s v="SYNATSCHK C 2 BATTERY"/>
    <s v="Upstream"/>
    <s v="1046"/>
    <s v=""/>
    <s v=""/>
    <s v=""/>
    <s v=""/>
    <s v=""/>
    <s v=""/>
    <s v=""/>
    <n v="75000"/>
    <s v="SQ FT"/>
    <n v="0"/>
    <s v=""/>
    <n v="300"/>
    <s v="Pricebook"/>
    <s v="705499"/>
    <d v="2025-10-03T10:50:32"/>
    <s v=""/>
    <s v=""/>
    <s v=""/>
    <s v=""/>
  </r>
  <r>
    <s v="61362"/>
    <s v="JAT PARTNER LOGISTICS, LLC"/>
    <x v="0"/>
    <s v="Eduardo Gabaldon"/>
    <s v="Jobe Christon"/>
    <s v="Drove to Cox 9-12 Unit 2 Battery, cleaned rainwater from the containment area, and transferred it into the water tank."/>
    <s v="5051057"/>
    <s v="Upstream"/>
    <s v="142658"/>
    <s v="USD"/>
    <n v="1215"/>
    <s v="Dispatched Mobile - Android"/>
    <s v="1"/>
    <s v="Vacuum Truck"/>
    <s v="Vacuum Truck"/>
    <s v=""/>
    <d v="2025-09-17T03:39:00"/>
    <d v="2025-09-17T06:30:00"/>
    <d v="2025-09-17T20:00:00"/>
    <d v="1899-12-30T13:30:00"/>
    <s v="COX 9-12 UNIT 2 BATTERY"/>
    <s v=""/>
    <s v=""/>
    <s v="ANY"/>
    <s v=""/>
    <s v=""/>
    <s v=""/>
    <s v=""/>
    <s v=""/>
    <s v=""/>
    <s v=""/>
    <s v=""/>
    <s v=""/>
    <s v=""/>
    <s v=""/>
    <s v=""/>
    <s v=""/>
    <s v=""/>
    <s v=""/>
    <s v=""/>
    <s v=""/>
    <n v="0"/>
    <s v="bbl"/>
    <s v=""/>
    <s v=""/>
    <s v=""/>
    <s v=""/>
    <s v="8300091700"/>
    <s v="COX 9-12 UNIT 2 BATTERY"/>
    <s v="Upstream"/>
    <s v="1046"/>
    <s v=""/>
    <s v=""/>
    <s v=""/>
    <s v=""/>
    <s v=""/>
    <s v=""/>
    <s v="Hours Worked"/>
    <n v="13.5"/>
    <s v="hour"/>
    <n v="90"/>
    <s v=""/>
    <n v="1215"/>
    <s v="--multiple--"/>
    <s v="711903"/>
    <d v="2025-09-29T11:12:27"/>
    <s v=""/>
    <s v=""/>
    <s v=""/>
    <s v=""/>
  </r>
  <r>
    <s v="61913"/>
    <s v="JAT PARTNER LOGISTICS, LLC"/>
    <x v="4"/>
    <s v="Eduardo Gabaldon"/>
    <s v="Jobe Christon"/>
    <s v="ARRIVED ON LOCATION. MOVED OIL FROM BATTERY TO FRAC TANK."/>
    <s v="5051057"/>
    <s v="Upstream"/>
    <s v="16695"/>
    <s v="USD"/>
    <n v="427.5"/>
    <s v="Dispatched Mobile - Android"/>
    <s v="1"/>
    <s v="Vacuum Truck"/>
    <s v="Vacuum Truck"/>
    <s v=""/>
    <d v="2025-10-01T02:48:26"/>
    <d v="2025-10-01T03:45:00"/>
    <d v="2025-10-01T08:30:00"/>
    <d v="1899-12-30T04:45:00"/>
    <s v="GUARDIAN H BATTERY"/>
    <s v=""/>
    <s v=""/>
    <s v="HOURS"/>
    <s v=""/>
    <s v=""/>
    <s v=""/>
    <s v=""/>
    <s v=""/>
    <s v=""/>
    <s v=""/>
    <s v=""/>
    <s v=""/>
    <s v=""/>
    <s v=""/>
    <s v=""/>
    <s v=""/>
    <s v=""/>
    <s v=""/>
    <s v=""/>
    <s v=""/>
    <n v="0"/>
    <s v="bbl"/>
    <s v=""/>
    <s v=""/>
    <s v=""/>
    <s v=""/>
    <s v="8000301200"/>
    <s v="GUARDIAN H BATTERY"/>
    <s v="Upstream"/>
    <s v="1046"/>
    <s v=""/>
    <s v=""/>
    <s v=""/>
    <s v=""/>
    <s v=""/>
    <s v=""/>
    <s v="Hours Worked"/>
    <n v="4.75"/>
    <s v="hour"/>
    <n v="90"/>
    <s v=""/>
    <n v="427.5"/>
    <s v="--multiple--"/>
    <s v="711903"/>
    <d v="2025-10-09T13:52:04"/>
    <s v=""/>
    <s v=""/>
    <s v=""/>
    <s v=""/>
  </r>
  <r>
    <s v="61912"/>
    <s v="JAT PARTNER LOGISTICS, LLC"/>
    <x v="4"/>
    <s v="Eduardo Gabaldon"/>
    <s v="Jobe Christon"/>
    <s v="Drove to YOUNG FAYE BATTERY, Collected spill and then proceeded to Martin County Station to perform a washout."/>
    <s v="5051057"/>
    <s v="Upstream"/>
    <s v="166915"/>
    <s v="USD"/>
    <n v="945"/>
    <s v="Dispatched Mobile - Android"/>
    <s v="1"/>
    <s v="Vacuum Truck"/>
    <s v="Vacuum Truck"/>
    <s v=""/>
    <d v="2025-10-01T02:42:26"/>
    <d v="2025-10-01T04:00:00"/>
    <d v="2025-10-01T14:30:00"/>
    <d v="1899-12-30T10:30:00"/>
    <s v="YOUNG FAYE BATTERY"/>
    <s v=""/>
    <s v=""/>
    <s v="N/A"/>
    <s v=""/>
    <s v=""/>
    <s v=""/>
    <s v=""/>
    <s v=""/>
    <s v=""/>
    <s v=""/>
    <s v=""/>
    <s v=""/>
    <s v=""/>
    <s v=""/>
    <s v=""/>
    <s v=""/>
    <s v=""/>
    <s v=""/>
    <s v=""/>
    <s v=""/>
    <n v="0"/>
    <s v="bbl"/>
    <s v=""/>
    <s v=""/>
    <s v=""/>
    <s v=""/>
    <s v="8000312700"/>
    <s v="YOUNG FAYE BATTERY"/>
    <s v="Upstream"/>
    <s v="1046"/>
    <s v=""/>
    <s v=""/>
    <s v=""/>
    <s v=""/>
    <s v=""/>
    <s v=""/>
    <s v="Hours Worked"/>
    <n v="10.5"/>
    <s v="hour"/>
    <n v="90"/>
    <s v=""/>
    <n v="945"/>
    <s v="--multiple--"/>
    <s v="711903"/>
    <d v="2025-10-09T14:51:52"/>
    <s v=""/>
    <s v=""/>
    <s v=""/>
    <s v=""/>
  </r>
  <r>
    <s v="61911"/>
    <s v="JAT PARTNER LOGISTICS, LLC"/>
    <x v="4"/>
    <s v="Eduardo Gabaldon"/>
    <s v="Jobe Christon"/>
    <s v="DROVE TO LOCATION. ASSISTED ON SITE CREW AS NEEDED. WAS HELD ON STAND-BY."/>
    <s v="5051057"/>
    <s v="Upstream"/>
    <s v="16695"/>
    <s v="USD"/>
    <n v="675"/>
    <s v="Dispatched Mobile - Android"/>
    <s v="1"/>
    <s v="Vacuum Truck"/>
    <s v="Vacuum Truck"/>
    <s v=""/>
    <d v="2025-10-01T02:40:02"/>
    <d v="2025-10-01T04:30:00"/>
    <d v="2025-10-01T12:00:00"/>
    <d v="1899-12-30T07:30:00"/>
    <s v="YOUNG FAYE BATTERY"/>
    <s v=""/>
    <s v=""/>
    <s v="HOURS"/>
    <s v=""/>
    <s v=""/>
    <s v=""/>
    <s v=""/>
    <s v=""/>
    <s v=""/>
    <s v=""/>
    <s v=""/>
    <s v=""/>
    <s v=""/>
    <s v=""/>
    <s v=""/>
    <s v=""/>
    <s v=""/>
    <s v=""/>
    <s v=""/>
    <s v=""/>
    <n v="0"/>
    <s v="bbl"/>
    <s v=""/>
    <s v=""/>
    <s v=""/>
    <s v=""/>
    <s v="8000312700"/>
    <s v="YOUNG FAYE BATTERY"/>
    <s v="Upstream"/>
    <s v="1046"/>
    <s v=""/>
    <s v=""/>
    <s v=""/>
    <s v=""/>
    <s v=""/>
    <s v=""/>
    <s v="Other"/>
    <n v="7.5"/>
    <s v="HR"/>
    <n v="90"/>
    <s v=""/>
    <n v="675"/>
    <s v="--multiple--"/>
    <s v="711903"/>
    <d v="2025-10-09T14:12:05"/>
    <s v=""/>
    <s v=""/>
    <s v=""/>
    <s v=""/>
  </r>
  <r>
    <s v="61937"/>
    <s v="JAT PARTNER LOGISTICS, LLC"/>
    <x v="4"/>
    <s v="Eduardo Gabaldon"/>
    <s v="Jobe Christon"/>
    <s v="DROVE TO LOCATION. SKIMMED WATER TANKS. TRANSFERRED TO OIL TANK. DID WASHOUT AT MARTIN COUNTY ENVIRONMENTAL. RETURNED TO YARD."/>
    <s v="5051057"/>
    <s v="Upstream"/>
    <s v="16695"/>
    <s v="USD"/>
    <n v="900"/>
    <s v="Dispatched Mobile - Android"/>
    <s v="1"/>
    <s v="Vacuum Truck"/>
    <s v="Vacuum Truck"/>
    <s v=""/>
    <d v="2025-10-01T09:22:23"/>
    <d v="2025-10-01T10:30:00"/>
    <d v="2025-10-01T20:30:00"/>
    <d v="1899-12-30T10:00:00"/>
    <s v="JONES-HOLTON HORIZONTAL BATTERY"/>
    <s v=""/>
    <s v=""/>
    <s v="HOURS"/>
    <s v=""/>
    <s v=""/>
    <s v=""/>
    <s v=""/>
    <s v=""/>
    <s v=""/>
    <s v=""/>
    <s v=""/>
    <s v=""/>
    <s v=""/>
    <s v=""/>
    <s v=""/>
    <s v=""/>
    <s v=""/>
    <s v=""/>
    <s v=""/>
    <s v=""/>
    <n v="0"/>
    <s v="bbl"/>
    <s v=""/>
    <s v=""/>
    <s v=""/>
    <s v=""/>
    <s v="8000042800"/>
    <s v="JONES-HOLTON HORIZONTALS BATTERY"/>
    <s v="Upstream"/>
    <s v="1046"/>
    <s v=""/>
    <s v=""/>
    <s v=""/>
    <s v=""/>
    <s v=""/>
    <s v=""/>
    <s v="Hours Worked"/>
    <n v="10"/>
    <s v="hour"/>
    <n v="90"/>
    <s v=""/>
    <n v="900"/>
    <s v="--multiple--"/>
    <s v="711903"/>
    <d v="2025-10-09T14:03:16"/>
    <s v=""/>
    <s v=""/>
    <s v=""/>
    <s v=""/>
  </r>
  <r>
    <s v="61996"/>
    <s v="JAT PARTNER LOGISTICS, LLC"/>
    <x v="4"/>
    <s v="Eduardo Gabaldon"/>
    <s v="Jobe Christon"/>
    <s v="PULLED PW LOAD FROM TANK BATTERY AND HAULED TO RUGER SWD (120 BBL)  ALSO RAN 4 LOADS OF 80 BBL TO DIAMONDBACK PIT. RETURNED TO YARD"/>
    <s v="5051054"/>
    <s v="Upstream"/>
    <s v="16695"/>
    <s v="USD"/>
    <n v="1515"/>
    <s v="Dispatched Mobile - iOS"/>
    <s v="1"/>
    <s v="Vacuum Truck"/>
    <s v="Vacuum Truck"/>
    <s v=""/>
    <d v="2025-10-02T16:42:47"/>
    <d v="2025-10-02T17:30:00"/>
    <d v="2025-10-03T08:00:00"/>
    <d v="1899-12-30T14:30:00"/>
    <s v="MARGARET M4 BATTERY"/>
    <s v=""/>
    <s v=""/>
    <s v="HOURS"/>
    <s v=""/>
    <s v=""/>
    <s v=""/>
    <s v=""/>
    <s v=""/>
    <s v=""/>
    <s v=""/>
    <s v=""/>
    <s v=""/>
    <s v=""/>
    <s v=""/>
    <s v=""/>
    <s v=""/>
    <s v=""/>
    <s v=""/>
    <s v=""/>
    <s v=""/>
    <n v="0"/>
    <s v="bbl"/>
    <s v=""/>
    <s v=""/>
    <s v=""/>
    <s v=""/>
    <s v="8000133700"/>
    <s v="MARGARET M4 BATTERY"/>
    <s v="Upstream"/>
    <s v="1046"/>
    <s v=""/>
    <s v=""/>
    <s v=""/>
    <s v=""/>
    <s v=""/>
    <s v=""/>
    <s v="Hours Worked"/>
    <n v="14.5"/>
    <s v="hour"/>
    <n v="90"/>
    <s v=""/>
    <n v="1305"/>
    <s v="--multiple--"/>
    <s v="711903"/>
    <d v="2025-10-10T10:28:37"/>
    <s v=""/>
    <s v=""/>
    <s v=""/>
    <s v=""/>
  </r>
  <r>
    <s v="62170"/>
    <s v="JAT PARTNER LOGISTICS, LLC"/>
    <x v="6"/>
    <s v="Eduardo Gabaldon"/>
    <s v="Jobe Christon"/>
    <s v="ASSISTED ON SITE AS NEEDED. HAULED 5 LOADS TO DIRECT MIDSTREAM @ 120 BBL EACH."/>
    <s v="5051054"/>
    <s v="Upstream"/>
    <s v="16695"/>
    <s v="USD"/>
    <n v="1080"/>
    <s v="Direct Entry"/>
    <s v="1"/>
    <s v="Vacuum Truck"/>
    <s v="Vacuum Truck"/>
    <s v=""/>
    <d v="2025-10-07T07:56:36"/>
    <d v="2025-10-02T22:00:00"/>
    <d v="2025-10-03T10:00:00"/>
    <d v="1899-12-30T12:00:00"/>
    <s v="GUARDIAN H BATTERY"/>
    <s v=""/>
    <s v=""/>
    <s v="HOURS"/>
    <s v=""/>
    <s v=""/>
    <s v=""/>
    <s v=""/>
    <s v=""/>
    <s v=""/>
    <s v=""/>
    <s v=""/>
    <s v=""/>
    <s v=""/>
    <s v=""/>
    <s v=""/>
    <s v=""/>
    <s v=""/>
    <s v=""/>
    <s v=""/>
    <s v=""/>
    <n v="0"/>
    <s v="bbl"/>
    <s v=""/>
    <s v=""/>
    <s v=""/>
    <s v=""/>
    <s v="8000301200"/>
    <s v="GUARDIAN H BATTERY"/>
    <s v="Upstream"/>
    <s v="1046"/>
    <s v=""/>
    <s v=""/>
    <s v=""/>
    <s v=""/>
    <s v=""/>
    <s v=""/>
    <s v="Hours Worked"/>
    <n v="12"/>
    <s v="hour"/>
    <n v="90"/>
    <s v=""/>
    <n v="1080"/>
    <s v="--multiple--"/>
    <s v="711903"/>
    <d v="2025-10-13T09:49:15"/>
    <s v=""/>
    <s v=""/>
    <s v=""/>
    <s v=""/>
  </r>
  <r>
    <s v="62019"/>
    <s v="JAT PARTNER LOGISTICS, LLC"/>
    <x v="6"/>
    <s v="Eduardo Gabaldon"/>
    <s v="Jobe Christon"/>
    <s v="ARRIVED ON LOCATION. LOADED AND HAULED 3 LOADS OF 120 BBL. 2 LOADS TO RUGER AND 1 LOAD TO MARTIN COUNTY ENVIRONMENTAL. RETURNED TO YARD."/>
    <s v="5051054"/>
    <s v="Upstream"/>
    <s v="16695"/>
    <s v="USD"/>
    <n v="1680"/>
    <s v="Dispatched Mobile - Android"/>
    <s v="1"/>
    <s v="Vacuum Truck"/>
    <s v="Vacuum Truck"/>
    <s v=""/>
    <d v="2025-10-03T03:39:51"/>
    <d v="2025-10-03T04:30:00"/>
    <d v="2025-10-03T18:30:00"/>
    <d v="1899-12-30T14:00:00"/>
    <s v="MARGARET M4 BATTERY"/>
    <s v=""/>
    <s v=""/>
    <s v="ANY"/>
    <s v=""/>
    <s v=""/>
    <s v=""/>
    <s v=""/>
    <s v=""/>
    <s v=""/>
    <s v=""/>
    <s v=""/>
    <s v=""/>
    <s v=""/>
    <s v=""/>
    <s v=""/>
    <s v=""/>
    <s v=""/>
    <s v=""/>
    <s v=""/>
    <s v=""/>
    <n v="0"/>
    <s v="bbl"/>
    <s v=""/>
    <s v=""/>
    <s v=""/>
    <s v=""/>
    <s v="8000133700"/>
    <s v="MARGARET M4 BATTERY"/>
    <s v="Upstream"/>
    <s v="1046"/>
    <s v=""/>
    <s v=""/>
    <s v=""/>
    <s v=""/>
    <s v=""/>
    <s v=""/>
    <s v="Hours Worked"/>
    <n v="14"/>
    <s v="hour"/>
    <n v="90"/>
    <s v=""/>
    <n v="1260"/>
    <s v="--multiple--"/>
    <s v="711903"/>
    <d v="2025-10-13T10:23:36"/>
    <s v=""/>
    <s v=""/>
    <s v=""/>
    <s v=""/>
  </r>
  <r>
    <s v="62003"/>
    <s v="JAT PARTNER LOGISTICS, LLC"/>
    <x v="6"/>
    <s v="Eduardo Gabaldon"/>
    <s v="Jobe Christon"/>
    <s v="ARRIVED ON LOCATION WHERE ASSISTED AS NEEDED. LOADED AND HAULED 30 BBL TO DIRECT MIDSTREAM WHERE ALSO DID WASHOUT."/>
    <s v="5051054"/>
    <s v="Upstream"/>
    <s v="16695"/>
    <s v="USD"/>
    <n v="607.5"/>
    <s v="Dispatched Mobile - Android"/>
    <s v="1"/>
    <s v="Vacuum Truck"/>
    <s v="Vacuum Truck"/>
    <s v=""/>
    <d v="2025-10-03T02:30:45"/>
    <d v="2025-10-03T10:00:00"/>
    <d v="2025-10-03T16:45:00"/>
    <d v="1899-12-30T06:45:00"/>
    <s v="GUARDIAN H BATTERY"/>
    <s v=""/>
    <s v=""/>
    <s v="HOURS"/>
    <s v=""/>
    <s v=""/>
    <s v=""/>
    <s v=""/>
    <s v=""/>
    <s v=""/>
    <s v=""/>
    <s v=""/>
    <s v=""/>
    <s v=""/>
    <s v=""/>
    <s v=""/>
    <s v=""/>
    <s v=""/>
    <s v=""/>
    <s v=""/>
    <s v=""/>
    <n v="0"/>
    <s v="bbl"/>
    <s v=""/>
    <s v=""/>
    <s v=""/>
    <s v=""/>
    <s v="8000301200"/>
    <s v="GUARDIAN H BATTERY"/>
    <s v="Upstream"/>
    <s v="1046"/>
    <s v=""/>
    <s v=""/>
    <s v=""/>
    <s v=""/>
    <s v=""/>
    <s v=""/>
    <s v="Hours Worked"/>
    <n v="6.75"/>
    <s v="hour"/>
    <n v="90"/>
    <s v=""/>
    <n v="607.5"/>
    <s v="--multiple--"/>
    <s v="711903"/>
    <d v="2025-10-13T09:59:14"/>
    <s v=""/>
    <s v=""/>
    <s v=""/>
    <s v=""/>
  </r>
  <r>
    <s v="210770"/>
    <s v="Basin Trucking LLC"/>
    <x v="1"/>
    <s v="Giovanni Gutierrez"/>
    <s v="Bill Thompson"/>
    <s v="Drove to location monitored the tank farm area for H2s and other hydrocarbons assisted replacing a 4&quot; water line and isolated one tank."/>
    <s v="5051023"/>
    <s v="Upstream"/>
    <s v="162060"/>
    <s v="USD"/>
    <n v="1000"/>
    <s v="Direct Entry"/>
    <s v="1"/>
    <s v="Safety  Man"/>
    <s v="Safety  Man"/>
    <s v=""/>
    <d v="2025-10-06T09:11:34"/>
    <d v="2025-09-24T09:15:00"/>
    <d v="2025-09-24T19:15:00"/>
    <s v=""/>
    <s v="UL 1125 CTB"/>
    <s v=""/>
    <s v=""/>
    <s v=""/>
    <s v=""/>
    <s v=""/>
    <s v=""/>
    <s v=""/>
    <s v=""/>
    <s v=""/>
    <s v=""/>
    <s v=""/>
    <s v=""/>
    <s v=""/>
    <s v=""/>
    <s v=""/>
    <s v=""/>
    <s v=""/>
    <s v=""/>
    <s v=""/>
    <s v=""/>
    <s v=""/>
    <s v=""/>
    <s v="Labor"/>
    <s v=""/>
    <s v=""/>
    <s v=""/>
    <s v="8000130800"/>
    <s v="UL 1125 CTB"/>
    <s v="Upstream"/>
    <s v="1046"/>
    <s v=""/>
    <s v=""/>
    <s v=""/>
    <s v=""/>
    <s v=""/>
    <s v=""/>
    <s v=""/>
    <n v="10"/>
    <s v="HR"/>
    <n v="75"/>
    <s v=""/>
    <n v="750"/>
    <s v="--multiple--"/>
    <s v="703517"/>
    <d v="2025-10-08T10:56:43"/>
    <s v=""/>
    <s v=""/>
    <s v="Validation Overlapping Hours | Validation Overlapping Hours"/>
    <s v=""/>
  </r>
  <r>
    <s v="R-1939"/>
    <s v="ACH Services, LLC"/>
    <x v="2"/>
    <s v="Steven Salcedo"/>
    <s v="Gary Cain"/>
    <s v="Hauled trash trailer to landfill for ticket R-5058"/>
    <s v="5051027"/>
    <s v="Upstream"/>
    <s v="145184"/>
    <s v="USD"/>
    <n v="48.69"/>
    <s v="Direct Entry"/>
    <s v="1"/>
    <s v="LE"/>
    <s v="Landfill"/>
    <s v=""/>
    <d v="2025-10-06T10:24:55"/>
    <d v="2025-08-18T06:15:00"/>
    <d v="2025-08-18T18:30:00"/>
    <s v=""/>
    <s v="GAULT 5 CTB"/>
    <s v=""/>
    <s v=""/>
    <s v=""/>
    <s v=""/>
    <s v=""/>
    <s v=""/>
    <s v=""/>
    <s v=""/>
    <s v=""/>
    <s v=""/>
    <s v=""/>
    <s v=""/>
    <s v=""/>
    <s v=""/>
    <s v=""/>
    <s v=""/>
    <s v=""/>
    <s v=""/>
    <s v=""/>
    <s v=""/>
    <s v=""/>
    <s v=""/>
    <s v="Labor"/>
    <s v=""/>
    <s v=""/>
    <s v=""/>
    <s v="8300182200"/>
    <s v="GAULT 5 CTB"/>
    <s v="Upstream"/>
    <s v="1046"/>
    <s v=""/>
    <s v=""/>
    <s v=""/>
    <s v=""/>
    <s v=""/>
    <s v=""/>
    <s v=""/>
    <n v="1"/>
    <s v="EA"/>
    <n v="48.69"/>
    <s v=""/>
    <n v="48.69"/>
    <s v="Pricebook"/>
    <s v="712932"/>
    <d v="2025-10-06T10:27:14"/>
    <s v=""/>
    <s v=""/>
    <s v=""/>
    <s v=""/>
  </r>
  <r>
    <s v="R-1940"/>
    <s v="ACH Services, LLC"/>
    <x v="2"/>
    <s v="Steven Salcedo"/>
    <s v="Gary Cain"/>
    <s v="Hauled trash trailer to landfill for ticket R-5059"/>
    <s v="5051027"/>
    <s v="Upstream"/>
    <s v="145184"/>
    <s v="USD"/>
    <n v="48.69"/>
    <s v="Direct Entry"/>
    <s v="1"/>
    <s v="LE"/>
    <s v="Landfill"/>
    <s v=""/>
    <d v="2025-10-06T10:22:19"/>
    <d v="2025-08-19T06:00:00"/>
    <d v="2025-08-19T18:00:00"/>
    <s v=""/>
    <s v="GAULT 5 CTB"/>
    <s v=""/>
    <s v=""/>
    <s v=""/>
    <s v=""/>
    <s v=""/>
    <s v=""/>
    <s v=""/>
    <s v=""/>
    <s v=""/>
    <s v=""/>
    <s v=""/>
    <s v=""/>
    <s v=""/>
    <s v=""/>
    <s v=""/>
    <s v=""/>
    <s v=""/>
    <s v=""/>
    <s v=""/>
    <s v=""/>
    <s v=""/>
    <s v=""/>
    <s v="Labor"/>
    <s v=""/>
    <s v=""/>
    <s v=""/>
    <s v="8300182200"/>
    <s v="GAULT 5 CTB"/>
    <s v="Upstream"/>
    <s v="1046"/>
    <s v=""/>
    <s v=""/>
    <s v=""/>
    <s v=""/>
    <s v=""/>
    <s v=""/>
    <s v=""/>
    <n v="1"/>
    <s v="EA"/>
    <n v="48.69"/>
    <s v=""/>
    <n v="48.69"/>
    <s v="Pricebook"/>
    <s v="712932"/>
    <d v="2025-10-06T10:24:20"/>
    <s v=""/>
    <s v=""/>
    <s v=""/>
    <s v=""/>
  </r>
  <r>
    <s v="R-1942"/>
    <s v="ACH Services, LLC"/>
    <x v="2"/>
    <s v="Steven Salcedo"/>
    <s v="Gary Cain"/>
    <s v="Hauled trash trailer to landfill for ticket R-1942"/>
    <s v="5051027"/>
    <s v="Upstream"/>
    <s v="145184"/>
    <s v="USD"/>
    <n v="48.69"/>
    <s v="Direct Entry"/>
    <s v="1"/>
    <s v="LE"/>
    <s v="Landfill"/>
    <s v=""/>
    <d v="2025-10-06T10:12:58"/>
    <d v="2025-08-21T06:00:00"/>
    <d v="2025-08-21T18:15:00"/>
    <s v=""/>
    <s v="GAULT 5 CTB"/>
    <s v=""/>
    <s v=""/>
    <s v=""/>
    <s v=""/>
    <s v=""/>
    <s v=""/>
    <s v=""/>
    <s v=""/>
    <s v=""/>
    <s v=""/>
    <s v=""/>
    <s v=""/>
    <s v=""/>
    <s v=""/>
    <s v=""/>
    <s v=""/>
    <s v=""/>
    <s v=""/>
    <s v=""/>
    <s v=""/>
    <s v=""/>
    <s v=""/>
    <s v="Labor"/>
    <s v=""/>
    <s v=""/>
    <s v=""/>
    <s v="8300182200"/>
    <s v="GAULT 5 CTB"/>
    <s v="Upstream"/>
    <s v="1046"/>
    <s v=""/>
    <s v=""/>
    <s v=""/>
    <s v=""/>
    <s v=""/>
    <s v=""/>
    <s v=""/>
    <n v="1"/>
    <s v="EA"/>
    <n v="48.69"/>
    <s v=""/>
    <n v="48.69"/>
    <s v="Pricebook"/>
    <s v="712932"/>
    <d v="2025-10-06T10:15:02"/>
    <s v=""/>
    <s v=""/>
    <s v=""/>
    <s v=""/>
  </r>
  <r>
    <s v="R-1943"/>
    <s v="ACH Services, LLC"/>
    <x v="2"/>
    <s v="Steven Salcedo"/>
    <s v="Gary Cain"/>
    <s v="Hauled trash trailer to landfill for ticket R-5063"/>
    <s v="5051027"/>
    <s v="Upstream"/>
    <s v="142884"/>
    <s v="USD"/>
    <n v="48.69"/>
    <s v="Direct Entry"/>
    <s v="1"/>
    <s v="LE"/>
    <s v="Landfill"/>
    <s v=""/>
    <d v="2025-10-06T10:10:24"/>
    <d v="2025-08-25T06:45:00"/>
    <d v="2025-08-25T17:15:00"/>
    <s v=""/>
    <s v="GAULT 5 CTB"/>
    <s v=""/>
    <s v=""/>
    <s v=""/>
    <s v=""/>
    <s v=""/>
    <s v=""/>
    <s v=""/>
    <s v=""/>
    <s v=""/>
    <s v=""/>
    <s v=""/>
    <s v=""/>
    <s v=""/>
    <s v=""/>
    <s v=""/>
    <s v=""/>
    <s v=""/>
    <s v=""/>
    <s v=""/>
    <s v=""/>
    <s v=""/>
    <s v=""/>
    <s v="Labor"/>
    <s v=""/>
    <s v=""/>
    <s v=""/>
    <s v="8300182200"/>
    <s v="GAULT 5 CTB"/>
    <s v="Upstream"/>
    <s v="1046"/>
    <s v=""/>
    <s v=""/>
    <s v=""/>
    <s v=""/>
    <s v=""/>
    <s v=""/>
    <s v=""/>
    <n v="1"/>
    <s v="EA"/>
    <n v="48.69"/>
    <s v=""/>
    <n v="48.69"/>
    <s v="Pricebook"/>
    <s v="712932"/>
    <d v="2025-10-06T10:12:24"/>
    <s v=""/>
    <s v=""/>
    <s v=""/>
    <s v=""/>
  </r>
  <r>
    <s v="1001429207"/>
    <s v="Foundation Energy Services LLC"/>
    <x v="8"/>
    <s v="Steven Salcedo"/>
    <s v="Gary Cain"/>
    <s v="LOAD FW GO TO LOCATION HOOK_x000a_UP WASH HOSE HELP CREW_x000a_CLEAN TESTER UNSED 25 BBLS_x000a_FW UNLOAD REMAINING FW TO_x000a_VAC TRUCK"/>
    <s v="5051049"/>
    <s v="Upstream"/>
    <s v="155763"/>
    <s v="USD"/>
    <n v="574.79999999999995"/>
    <s v="Direct Entry"/>
    <s v="1"/>
    <s v=""/>
    <s v="5K PUMP (HOURLY RATE)"/>
    <s v=""/>
    <d v="2025-09-19T13:27:32"/>
    <d v="2025-09-16T11:45:00"/>
    <d v="2025-09-16T16:00:00"/>
    <d v="1899-12-30T04:15:00"/>
    <s v="TB MABEE 13-24SL UNIT 1-2"/>
    <s v=""/>
    <s v=""/>
    <s v="LOAD FW GO TO LOCATION HOOK UP WASH HOSE HELP CREW CLEAN TESTER UNSED 25 BBLS FW UNLOAD REMAINING FW"/>
    <s v=""/>
    <s v=""/>
    <s v=""/>
    <s v=""/>
    <s v=""/>
    <s v=""/>
    <s v=""/>
    <s v=""/>
    <s v=""/>
    <s v=""/>
    <s v=""/>
    <s v=""/>
    <s v=""/>
    <s v=""/>
    <s v=""/>
    <s v=""/>
    <s v=""/>
    <n v="0"/>
    <s v="bbl"/>
    <s v=""/>
    <s v=""/>
    <s v=""/>
    <s v=""/>
    <s v="8300121200"/>
    <s v="MABEE 13-24 SL UNITS 1-2 BATTERY"/>
    <s v="Upstream"/>
    <s v="1046"/>
    <s v=""/>
    <s v=""/>
    <s v=""/>
    <s v=""/>
    <s v=""/>
    <s v=""/>
    <s v="Hours Worked"/>
    <n v="4.25"/>
    <s v="HRS"/>
    <n v="120"/>
    <s v=""/>
    <n v="510"/>
    <s v="EER Vendor"/>
    <s v="712957"/>
    <d v="2025-10-14T07:48:55"/>
    <s v=""/>
    <s v=""/>
    <s v="Requisitioner Error | Requisitioner Error"/>
    <s v=""/>
  </r>
  <r>
    <s v="211562"/>
    <s v="Basin Trucking LLC"/>
    <x v="12"/>
    <s v="Steven Salcedo"/>
    <s v="Gary Cain"/>
    <s v="Drove to location and inspected the heater was free of LEL and monitored two welders and sandblaster crew."/>
    <s v="5051049"/>
    <s v="Upstream"/>
    <s v="152149"/>
    <s v="USD"/>
    <n v="1188.75"/>
    <s v="Direct Entry"/>
    <s v="1"/>
    <s v="Safety  Man"/>
    <s v="Safety  Man"/>
    <s v=""/>
    <d v="2025-10-01T16:44:11"/>
    <d v="2025-09-21T06:00:00"/>
    <d v="2025-09-21T14:15:00"/>
    <s v=""/>
    <s v="Jones 901H"/>
    <s v=""/>
    <s v=""/>
    <s v=""/>
    <s v=""/>
    <s v=""/>
    <s v=""/>
    <s v=""/>
    <s v=""/>
    <s v=""/>
    <s v=""/>
    <s v=""/>
    <s v=""/>
    <s v=""/>
    <s v=""/>
    <s v=""/>
    <s v=""/>
    <s v=""/>
    <s v=""/>
    <s v=""/>
    <s v=""/>
    <s v=""/>
    <s v=""/>
    <s v="Labor"/>
    <s v=""/>
    <s v=""/>
    <s v=""/>
    <s v="1001315100"/>
    <s v="JONES 901H"/>
    <s v="Upstream"/>
    <s v="1046"/>
    <s v=""/>
    <s v=""/>
    <s v=""/>
    <s v=""/>
    <s v=""/>
    <s v=""/>
    <s v=""/>
    <n v="8.25"/>
    <s v="HR"/>
    <n v="75"/>
    <s v=""/>
    <n v="618.75"/>
    <s v="--multiple--"/>
    <s v="703517"/>
    <d v="2025-10-01T16:46:41"/>
    <s v=""/>
    <s v=""/>
    <s v=""/>
    <s v=""/>
  </r>
  <r>
    <s v="205646"/>
    <s v="Basin Trucking LLC"/>
    <x v="10"/>
    <s v="Steven Salcedo"/>
    <s v="Gary Cain"/>
    <s v="Drove to location picked up roll of poly pipe and put on back of trailer truck, picked up base poly and put on utility trailer and discharge all in location."/>
    <s v="5051027"/>
    <s v="Upstream"/>
    <s v="164315"/>
    <s v="USD"/>
    <n v="917.5"/>
    <s v="Direct Entry"/>
    <s v="1"/>
    <s v="3 Man Crew"/>
    <s v="3 Man Crew"/>
    <s v="Roustabout Crew"/>
    <d v="2025-10-06T09:44:40"/>
    <d v="2025-09-27T06:15:00"/>
    <d v="2025-09-27T10:30:00"/>
    <s v=""/>
    <s v="NAIL RANCH 1-12 SLU UNIT PAD 1 BATTERY"/>
    <s v=""/>
    <s v=""/>
    <s v=""/>
    <s v=""/>
    <s v=""/>
    <s v=""/>
    <s v=""/>
    <s v=""/>
    <s v=""/>
    <s v=""/>
    <s v=""/>
    <s v=""/>
    <s v=""/>
    <s v=""/>
    <s v=""/>
    <s v=""/>
    <s v=""/>
    <s v=""/>
    <s v=""/>
    <s v=""/>
    <s v=""/>
    <s v=""/>
    <s v="Labor"/>
    <s v=""/>
    <s v=""/>
    <s v=""/>
    <s v="8300129600"/>
    <s v="NAIL RANCH 1-12 SLU UNIT PAD 1 BATTERY"/>
    <s v="Upstream"/>
    <s v="1046"/>
    <s v=""/>
    <s v=""/>
    <s v=""/>
    <s v=""/>
    <s v=""/>
    <s v=""/>
    <s v=""/>
    <n v="4.25"/>
    <s v="HR"/>
    <n v="130"/>
    <s v=""/>
    <n v="552.5"/>
    <s v="--multiple--"/>
    <s v="703517"/>
    <d v="2025-10-06T09:47:07"/>
    <s v=""/>
    <s v=""/>
    <s v=""/>
    <s v=""/>
  </r>
  <r>
    <s v="F06527"/>
    <s v="Warrior Technologies, LLC"/>
    <x v="10"/>
    <s v="Steven Salcedo"/>
    <s v="Gary Cain"/>
    <s v="ROUSTABOUT WORK - DROVE TO LOCATION, CUT WEEDS AND TRASHED."/>
    <s v="5051027"/>
    <s v="Upstream"/>
    <s v="158392"/>
    <s v="USD"/>
    <n v="857.5"/>
    <s v="B2B"/>
    <s v="1"/>
    <s v="1400000"/>
    <s v="Roustabout Service Crew w/ Truck - 3 Man Crew"/>
    <s v=""/>
    <d v="2025-10-06T09:09:50"/>
    <d v="2025-09-29T06:00:00"/>
    <d v="2025-09-29T11:30:00"/>
    <s v=""/>
    <s v="FRED HALL UNIT 3"/>
    <s v=""/>
    <s v=""/>
    <s v=""/>
    <s v=""/>
    <s v=""/>
    <s v=""/>
    <s v=""/>
    <s v=""/>
    <s v=""/>
    <s v=""/>
    <s v=""/>
    <s v=""/>
    <s v=""/>
    <s v=""/>
    <s v=""/>
    <s v=""/>
    <s v=""/>
    <s v=""/>
    <s v=""/>
    <s v=""/>
    <s v=""/>
    <s v=""/>
    <s v="Labor"/>
    <s v=""/>
    <s v=""/>
    <s v=""/>
    <s v="1001349800"/>
    <s v="FRED HALL UNIT 3"/>
    <s v="Upstream"/>
    <s v="1046"/>
    <s v=""/>
    <s v=""/>
    <s v=""/>
    <s v=""/>
    <s v=""/>
    <s v=""/>
    <s v=""/>
    <n v="5.5"/>
    <s v="HR"/>
    <n v="135"/>
    <s v=""/>
    <n v="742.5"/>
    <s v="Pricebook"/>
    <s v="712996"/>
    <d v="2025-10-09T13:07:09"/>
    <s v=""/>
    <s v=""/>
    <s v=""/>
    <s v=""/>
  </r>
  <r>
    <s v="T-86214"/>
    <s v="ACH Services, LLC"/>
    <x v="10"/>
    <s v="Steven Salcedo"/>
    <s v="Gary Cain"/>
    <s v="Drove to location to assist crew vacuum fluids to replace pipe valve then hauled to disposal."/>
    <s v="5051049"/>
    <s v="Upstream"/>
    <s v="167373"/>
    <s v="USD"/>
    <n v="405"/>
    <s v="Direct Entry"/>
    <s v="1"/>
    <s v="Vacuum Truck"/>
    <s v="Vacuum Truck"/>
    <s v="Vacuum Truck Services"/>
    <d v="2025-10-03T15:07:04"/>
    <d v="2025-10-02T09:30:00"/>
    <d v="2025-10-02T14:00:00"/>
    <d v="1899-12-30T04:30:00"/>
    <s v="ELKINS ATRELLE 31-42 BATTERY"/>
    <s v=""/>
    <s v=""/>
    <s v="-"/>
    <s v=""/>
    <s v=""/>
    <s v=""/>
    <s v=""/>
    <s v=""/>
    <s v=""/>
    <s v=""/>
    <s v=""/>
    <s v=""/>
    <s v=""/>
    <s v=""/>
    <s v=""/>
    <s v=""/>
    <s v=""/>
    <s v=""/>
    <s v=""/>
    <s v=""/>
    <n v="0"/>
    <s v="bbl"/>
    <s v=""/>
    <s v=""/>
    <s v=""/>
    <s v=""/>
    <s v="8300097500"/>
    <s v="ELKINS ATRELLE 31-42 BATTERY"/>
    <s v="Upstream"/>
    <s v="1046"/>
    <s v=""/>
    <s v=""/>
    <s v=""/>
    <s v=""/>
    <s v=""/>
    <s v=""/>
    <s v="Hours Worked"/>
    <n v="4.5"/>
    <s v="hour"/>
    <n v="90"/>
    <s v=""/>
    <n v="405"/>
    <s v="Pricebook"/>
    <s v="712932"/>
    <d v="2025-10-03T15:10:18"/>
    <s v=""/>
    <s v=""/>
    <s v=""/>
    <s v=""/>
  </r>
  <r>
    <s v="243323"/>
    <s v="Royal Oilfield Services LLC"/>
    <x v="0"/>
    <s v="Eduardo Lujan"/>
    <s v="Ruben Alonso"/>
    <s v="EL - Hauled 120 bbls of produced water from Smith 14 battery to the ruger Wilson #1 SWD royal ticket # 134689"/>
    <s v="5051054"/>
    <s v="Upstream"/>
    <s v=""/>
    <s v="USD"/>
    <n v="270"/>
    <s v="Direct Entry"/>
    <s v="1"/>
    <s v="100001"/>
    <s v="Vacuum Truck"/>
    <s v="Vacuum Truck"/>
    <d v="2025-09-25T10:47:47"/>
    <d v="2025-09-15T17:30:00"/>
    <d v="2025-09-15T19:30:00"/>
    <d v="1899-12-30T02:00:00"/>
    <s v="SMITH 14 2 BATTERY"/>
    <s v=""/>
    <s v=""/>
    <s v="Produced Water"/>
    <s v=""/>
    <s v=""/>
    <s v=""/>
    <s v=""/>
    <s v=""/>
    <s v=""/>
    <s v=""/>
    <s v=""/>
    <s v=""/>
    <s v=""/>
    <s v=""/>
    <s v=""/>
    <s v=""/>
    <s v=""/>
    <s v=""/>
    <s v=""/>
    <s v=""/>
    <n v="0"/>
    <s v="bbl"/>
    <s v=""/>
    <s v=""/>
    <s v=""/>
    <s v=""/>
    <s v="8300153000"/>
    <s v="SMITH 14 2 BATTERY"/>
    <s v="Upstream"/>
    <s v="1046"/>
    <s v=""/>
    <s v=""/>
    <s v=""/>
    <s v=""/>
    <s v=""/>
    <s v=""/>
    <s v="Hours Worked"/>
    <n v="2"/>
    <s v="hour"/>
    <n v="90"/>
    <s v=""/>
    <n v="180"/>
    <s v="Pricebook"/>
    <s v="703639"/>
    <d v="2025-09-29T17:38:07"/>
    <s v=""/>
    <s v=""/>
    <s v=""/>
    <s v=""/>
  </r>
  <r>
    <s v="243324"/>
    <s v="Royal Oilfield Services LLC"/>
    <x v="0"/>
    <s v="Eduardo Lujan"/>
    <s v="Ruben Alonso"/>
    <s v="EL - Hauled 120 bbls of produced water from whitten 9 Battery to the Ruger Wilson #1 SWD royal ticket # 134690"/>
    <s v="5051054"/>
    <s v="Upstream"/>
    <s v=""/>
    <s v="USD"/>
    <n v="202.5"/>
    <s v="Direct Entry"/>
    <s v="1"/>
    <s v="100001"/>
    <s v="Vacuum Truck"/>
    <s v="Vacuum Truck"/>
    <d v="2025-09-25T10:25:46"/>
    <d v="2025-09-15T19:30:00"/>
    <d v="2025-09-15T20:45:00"/>
    <d v="1899-12-30T01:15:00"/>
    <s v="WHITTEN -9- (769) BATTERY"/>
    <s v=""/>
    <s v=""/>
    <s v="Produced Water"/>
    <s v=""/>
    <s v=""/>
    <s v=""/>
    <s v=""/>
    <s v=""/>
    <s v=""/>
    <s v=""/>
    <s v=""/>
    <s v=""/>
    <s v=""/>
    <s v=""/>
    <s v=""/>
    <s v=""/>
    <s v=""/>
    <s v=""/>
    <s v=""/>
    <s v=""/>
    <n v="0"/>
    <s v="bbl"/>
    <s v=""/>
    <s v=""/>
    <s v=""/>
    <s v=""/>
    <s v="8000063500"/>
    <s v="WHITTEN -9- (769) BATTERY"/>
    <s v="Upstream"/>
    <s v="1046"/>
    <s v=""/>
    <s v=""/>
    <s v=""/>
    <s v=""/>
    <s v=""/>
    <s v=""/>
    <s v="Hours Worked"/>
    <n v="1.25"/>
    <s v="hour"/>
    <n v="90"/>
    <s v=""/>
    <n v="112.5"/>
    <s v="Pricebook"/>
    <s v="703639"/>
    <d v="2025-09-29T17:38:06"/>
    <s v=""/>
    <s v=""/>
    <s v=""/>
    <s v=""/>
  </r>
  <r>
    <s v="2509303495"/>
    <s v="ASAP Rentals, LLC"/>
    <x v="5"/>
    <s v="Eduardo Lujan"/>
    <s v="Ruben Alonso"/>
    <s v="FRAC TANK"/>
    <s v="5051037"/>
    <s v="Upstream"/>
    <s v=""/>
    <s v="USD"/>
    <n v="675"/>
    <s v="Direct Entry"/>
    <s v="1"/>
    <s v="Frac Tanks"/>
    <s v="Frac Tanks"/>
    <s v=""/>
    <d v="2025-10-08T15:19:16"/>
    <d v="2025-09-16T00:00:00"/>
    <d v="2025-09-30T00:00:00"/>
    <s v=""/>
    <s v="PENROSE OLD HAM 27-3"/>
    <s v=""/>
    <s v=""/>
    <s v=""/>
    <s v=""/>
    <s v=""/>
    <s v=""/>
    <s v=""/>
    <s v=""/>
    <s v=""/>
    <s v=""/>
    <s v=""/>
    <s v=""/>
    <s v=""/>
    <s v=""/>
    <s v=""/>
    <s v=""/>
    <s v=""/>
    <s v=""/>
    <s v=""/>
    <s v=""/>
    <s v=""/>
    <s v=""/>
    <s v="Equipment"/>
    <s v=""/>
    <s v=""/>
    <s v="18"/>
    <s v="8000323100"/>
    <s v="PENROSE OLDHAM 27 3 BATTERY"/>
    <s v="Upstream"/>
    <s v="1046"/>
    <s v=""/>
    <s v=""/>
    <s v=""/>
    <s v=""/>
    <s v=""/>
    <s v=""/>
    <s v=""/>
    <n v="15"/>
    <s v="Day"/>
    <n v="45"/>
    <s v=""/>
    <n v="675"/>
    <s v="--multiple--"/>
    <s v="710590"/>
    <d v="2025-10-08T15:20:08"/>
    <s v=""/>
    <s v=""/>
    <s v=""/>
    <s v=""/>
  </r>
  <r>
    <s v="2509303496"/>
    <s v="ASAP Rentals, LLC"/>
    <x v="5"/>
    <s v="Eduardo Lujan"/>
    <s v="Ruben Alonso"/>
    <s v="FRAC TANK"/>
    <s v="5051037"/>
    <s v="Upstream"/>
    <s v=""/>
    <s v="USD"/>
    <n v="675"/>
    <s v="Direct Entry"/>
    <s v="1"/>
    <s v="Frac Tanks"/>
    <s v="Frac Tanks"/>
    <s v=""/>
    <d v="2025-10-08T15:20:47"/>
    <d v="2025-09-16T00:00:00"/>
    <d v="2025-09-30T00:00:00"/>
    <s v=""/>
    <s v="PENROSE OLD HAM 27-5"/>
    <s v=""/>
    <s v=""/>
    <s v=""/>
    <s v=""/>
    <s v=""/>
    <s v=""/>
    <s v=""/>
    <s v=""/>
    <s v=""/>
    <s v=""/>
    <s v=""/>
    <s v=""/>
    <s v=""/>
    <s v=""/>
    <s v=""/>
    <s v=""/>
    <s v=""/>
    <s v=""/>
    <s v=""/>
    <s v=""/>
    <s v=""/>
    <s v=""/>
    <s v="Equipment"/>
    <s v=""/>
    <s v=""/>
    <s v="193"/>
    <s v="1001777900"/>
    <s v="PENROSE OLDHAM 27 5"/>
    <s v="Upstream"/>
    <s v="1046"/>
    <s v=""/>
    <s v=""/>
    <s v=""/>
    <s v=""/>
    <s v=""/>
    <s v=""/>
    <s v=""/>
    <n v="15"/>
    <s v="Day"/>
    <n v="45"/>
    <s v=""/>
    <n v="675"/>
    <s v="--multiple--"/>
    <s v="710590"/>
    <d v="2025-10-08T15:21:41"/>
    <s v=""/>
    <s v=""/>
    <s v=""/>
    <s v=""/>
  </r>
  <r>
    <s v="241778"/>
    <s v="Royal Oilfield Services LLC"/>
    <x v="0"/>
    <s v="Eduardo Lujan"/>
    <s v="Ruben Alonso"/>
    <s v="EL - Hauled 240 bbls of produced water from oldham ida mae b battery to the ruger Nail #1 SWD royal ticket # 134696, 134697"/>
    <s v="5051054"/>
    <s v="Upstream"/>
    <s v=""/>
    <s v="USD"/>
    <n v="517.5"/>
    <s v="Direct Entry"/>
    <s v="1"/>
    <s v="100001"/>
    <s v="Vacuum Truck"/>
    <s v="Vacuum Truck"/>
    <d v="2025-09-25T10:57:34"/>
    <d v="2025-09-17T08:45:00"/>
    <d v="2025-09-17T12:30:00"/>
    <d v="1899-12-30T03:45:00"/>
    <s v="OLDHAM IDA MAE B BATTERY"/>
    <s v=""/>
    <s v=""/>
    <s v="Produced Water"/>
    <s v=""/>
    <s v=""/>
    <s v=""/>
    <s v=""/>
    <s v=""/>
    <s v=""/>
    <s v=""/>
    <s v=""/>
    <s v=""/>
    <s v=""/>
    <s v=""/>
    <s v=""/>
    <s v=""/>
    <s v=""/>
    <s v=""/>
    <s v=""/>
    <s v=""/>
    <n v="0"/>
    <s v="bbl"/>
    <s v=""/>
    <s v=""/>
    <s v=""/>
    <s v=""/>
    <s v="8000323000"/>
    <s v="OLDHAM IDA MAE B BATTERY"/>
    <s v="Upstream"/>
    <s v="1046"/>
    <s v=""/>
    <s v=""/>
    <s v=""/>
    <s v=""/>
    <s v=""/>
    <s v=""/>
    <s v="Hours Worked"/>
    <n v="3.75"/>
    <s v="hour"/>
    <n v="90"/>
    <s v=""/>
    <n v="337.5"/>
    <s v="Pricebook"/>
    <s v="703639"/>
    <d v="2025-09-29T17:38:01"/>
    <s v=""/>
    <s v=""/>
    <s v=""/>
    <s v=""/>
  </r>
  <r>
    <s v="241876"/>
    <s v="Royal Oilfield Services LLC"/>
    <x v="0"/>
    <s v="Eduardo Lujan"/>
    <s v="Ruben Alonso"/>
    <s v="EL- hauled 480bbls of p/w from LB Epley 34-46 Battery to ruger SWD, Royal Ticket #173652, 173651, 173655, 17364."/>
    <s v="5051054"/>
    <s v="Upstream"/>
    <s v=""/>
    <s v="USD"/>
    <n v="1147.5"/>
    <s v="Direct Entry"/>
    <s v="1"/>
    <s v="100001"/>
    <s v="Vacuum Truck"/>
    <s v="Vacuum Truck"/>
    <d v="2025-09-25T18:17:27"/>
    <d v="2025-09-18T06:00:00"/>
    <d v="2025-09-18T14:45:00"/>
    <d v="1899-12-30T08:45:00"/>
    <s v="LB Epley 34-46 H Battery"/>
    <s v=""/>
    <s v=""/>
    <s v="Produced Water"/>
    <s v=""/>
    <s v=""/>
    <s v=""/>
    <s v=""/>
    <s v=""/>
    <s v=""/>
    <s v=""/>
    <s v=""/>
    <s v=""/>
    <s v=""/>
    <s v=""/>
    <s v=""/>
    <s v=""/>
    <s v=""/>
    <s v=""/>
    <s v=""/>
    <s v=""/>
    <n v="0"/>
    <s v="bbl"/>
    <s v=""/>
    <s v=""/>
    <s v=""/>
    <s v=""/>
    <s v="8000104000"/>
    <s v="LB EPLEY 34-46 H BATTERY"/>
    <s v="Upstream"/>
    <s v="1046"/>
    <s v=""/>
    <s v=""/>
    <s v=""/>
    <s v=""/>
    <s v=""/>
    <s v=""/>
    <s v="Hours Worked"/>
    <n v="8.75"/>
    <s v="hour"/>
    <n v="90"/>
    <s v=""/>
    <n v="787.5"/>
    <s v="Pricebook"/>
    <s v="703639"/>
    <d v="2025-09-29T17:37:57"/>
    <s v=""/>
    <s v=""/>
    <s v=""/>
    <s v=""/>
  </r>
  <r>
    <s v="241214"/>
    <s v="Royal Oilfield Services LLC"/>
    <x v="0"/>
    <s v="Eduardo Lujan"/>
    <s v="Ruben Alonso"/>
    <s v="EL - Hauled 120 bbls of produced Water from water tank on location to Ruger Nail #1 SWD royal ticket # 146922"/>
    <s v="5051054"/>
    <s v="Upstream"/>
    <s v=""/>
    <s v="USD"/>
    <n v="292.5"/>
    <s v="Direct Entry"/>
    <s v="1"/>
    <s v="100001"/>
    <s v="Vacuum Truck"/>
    <s v="Vacuum Truck"/>
    <d v="2025-09-25T13:54:52"/>
    <d v="2025-09-18T11:45:00"/>
    <d v="2025-09-18T14:00:00"/>
    <d v="1899-12-30T02:15:00"/>
    <s v="SMITH 14 2 BATTERY"/>
    <s v=""/>
    <s v=""/>
    <s v="Produced Water"/>
    <s v=""/>
    <s v=""/>
    <s v=""/>
    <s v=""/>
    <s v=""/>
    <s v=""/>
    <s v=""/>
    <s v=""/>
    <s v=""/>
    <s v=""/>
    <s v=""/>
    <s v=""/>
    <s v=""/>
    <s v=""/>
    <s v=""/>
    <s v=""/>
    <s v=""/>
    <n v="0"/>
    <s v="bbl"/>
    <s v=""/>
    <s v=""/>
    <s v=""/>
    <s v=""/>
    <s v="8300153000"/>
    <s v="SMITH 14 2 BATTERY"/>
    <s v="Upstream"/>
    <s v="1046"/>
    <s v=""/>
    <s v=""/>
    <s v=""/>
    <s v=""/>
    <s v=""/>
    <s v=""/>
    <s v="Hours Worked"/>
    <n v="2.25"/>
    <s v="hour"/>
    <n v="90"/>
    <s v=""/>
    <n v="202.5"/>
    <s v="Pricebook"/>
    <s v="703639"/>
    <d v="2025-09-29T12:09:48"/>
    <s v=""/>
    <s v=""/>
    <s v=""/>
    <s v=""/>
  </r>
  <r>
    <s v="241216"/>
    <s v="Royal Oilfield Services LLC"/>
    <x v="0"/>
    <s v="Eduardo Lujan"/>
    <s v="Ruben Alonso"/>
    <s v="EL - Hauled 120 bbls of produced water from water tank on location to Ruger Nail #1 SWD royal ticket # 146923"/>
    <s v="5051054"/>
    <s v="Upstream"/>
    <s v=""/>
    <s v="USD"/>
    <n v="270"/>
    <s v="Direct Entry"/>
    <s v="1"/>
    <s v="100001"/>
    <s v="Vacuum Truck"/>
    <s v="Vacuum Truck"/>
    <d v="2025-09-25T13:47:39"/>
    <d v="2025-09-18T14:00:00"/>
    <d v="2025-09-18T16:00:00"/>
    <d v="1899-12-30T02:00:00"/>
    <s v="WHITTEN -9- (769) BATTERY"/>
    <s v=""/>
    <s v=""/>
    <s v="Produced Water"/>
    <s v=""/>
    <s v=""/>
    <s v=""/>
    <s v=""/>
    <s v=""/>
    <s v=""/>
    <s v=""/>
    <s v=""/>
    <s v=""/>
    <s v=""/>
    <s v=""/>
    <s v=""/>
    <s v=""/>
    <s v=""/>
    <s v=""/>
    <s v=""/>
    <s v=""/>
    <n v="0"/>
    <s v="bbl"/>
    <s v=""/>
    <s v=""/>
    <s v=""/>
    <s v=""/>
    <s v="8000063500"/>
    <s v="WHITTEN -9- (769) BATTERY"/>
    <s v="Upstream"/>
    <s v="1046"/>
    <s v=""/>
    <s v=""/>
    <s v=""/>
    <s v=""/>
    <s v=""/>
    <s v=""/>
    <s v="Hours Worked"/>
    <n v="2"/>
    <s v="hour"/>
    <n v="90"/>
    <s v=""/>
    <n v="180"/>
    <s v="Pricebook"/>
    <s v="703639"/>
    <d v="2025-09-29T12:09:45"/>
    <s v=""/>
    <s v=""/>
    <s v=""/>
    <s v=""/>
  </r>
  <r>
    <s v="241881"/>
    <s v="Royal Oilfield Services LLC"/>
    <x v="0"/>
    <s v="Eduardo Lujan"/>
    <s v="Ruben Alonso"/>
    <s v="EL-Hauled 240bbls of produced water from Rhodes 16A Battery to the Ruger SWD. Royal Ticket #173663, 173662."/>
    <s v="5051054"/>
    <s v="Upstream"/>
    <s v=""/>
    <s v="USD"/>
    <n v="607.5"/>
    <s v="Direct Entry"/>
    <s v="1"/>
    <s v="100001"/>
    <s v="Vacuum Truck"/>
    <s v="Vacuum Truck"/>
    <d v="2025-09-25T17:47:08"/>
    <d v="2025-09-19T15:45:00"/>
    <d v="2025-09-19T20:30:00"/>
    <d v="1899-12-30T04:45:00"/>
    <s v="RHODES -16A- 1"/>
    <s v=""/>
    <s v=""/>
    <s v="Produced Water"/>
    <s v=""/>
    <s v=""/>
    <s v=""/>
    <s v=""/>
    <s v=""/>
    <s v=""/>
    <s v=""/>
    <s v=""/>
    <s v=""/>
    <s v=""/>
    <s v=""/>
    <s v=""/>
    <s v=""/>
    <s v=""/>
    <s v=""/>
    <s v=""/>
    <s v=""/>
    <n v="0"/>
    <s v="bbl"/>
    <s v=""/>
    <s v=""/>
    <s v=""/>
    <s v=""/>
    <s v="1001840700"/>
    <s v="RHODES -16A- 1"/>
    <s v="Upstream"/>
    <s v="1046"/>
    <s v=""/>
    <s v=""/>
    <s v=""/>
    <s v=""/>
    <s v=""/>
    <s v=""/>
    <s v="Hours Worked"/>
    <n v="4.75"/>
    <s v="hour"/>
    <n v="90"/>
    <s v=""/>
    <n v="427.5"/>
    <s v="Pricebook"/>
    <s v="703639"/>
    <d v="2025-09-29T17:37:40"/>
    <s v=""/>
    <s v=""/>
    <s v=""/>
    <s v=""/>
  </r>
  <r>
    <s v="V-55785"/>
    <s v="J&amp;R Roustabout, LLC"/>
    <x v="9"/>
    <s v="Fernando DeHoyos"/>
    <s v="Fabian Lujan"/>
    <s v="DROVE TO LOCATION AND EMPTY OUT TANK #1 AND TANK #2 AND STAND BY FOR CREW TO FINISHED REPLACING VALVES AND FITTINGS, DROVE TO BUCHANAN TO WASH OUT"/>
    <s v="5051057"/>
    <s v="Upstream"/>
    <s v="167736"/>
    <s v="USD"/>
    <n v="382.5"/>
    <s v="Direct Entry"/>
    <s v="1"/>
    <s v="VACUUM TRUCK"/>
    <s v="Vacuum Truck"/>
    <s v="VACUUM"/>
    <d v="2025-10-03T08:33:07"/>
    <d v="2025-10-02T07:00:00"/>
    <d v="2025-10-02T11:15:00"/>
    <d v="1899-12-30T04:15:00"/>
    <s v="O'BRIEN 44"/>
    <s v=""/>
    <s v=""/>
    <s v="LABOR"/>
    <s v=""/>
    <s v=""/>
    <s v=""/>
    <s v=""/>
    <s v=""/>
    <s v=""/>
    <s v=""/>
    <s v=""/>
    <s v=""/>
    <s v=""/>
    <s v=""/>
    <s v=""/>
    <s v=""/>
    <s v=""/>
    <s v=""/>
    <s v=""/>
    <s v=""/>
    <n v="0"/>
    <s v="bbl"/>
    <s v=""/>
    <s v=""/>
    <s v=""/>
    <s v=""/>
    <s v="8300131400"/>
    <s v="OBRIEN 44 1 BATTERY"/>
    <s v="Upstream"/>
    <s v="1046"/>
    <s v=""/>
    <s v=""/>
    <s v=""/>
    <s v=""/>
    <s v=""/>
    <s v=""/>
    <s v="Other"/>
    <n v="4.25"/>
    <s v="HR"/>
    <n v="90"/>
    <s v=""/>
    <n v="382.5"/>
    <s v="Pricebook"/>
    <s v="712950"/>
    <d v="2025-10-14T10:30:12"/>
    <s v=""/>
    <s v=""/>
    <s v="Electronic Field Ticket Issue"/>
    <s v=""/>
  </r>
  <r>
    <s v="1739300890001"/>
    <s v="Sunbelt Rentals Inc"/>
    <x v="9"/>
    <s v="Gabriel Cervantes"/>
    <s v="Britt Gunnels"/>
    <s v="BRITT GUNNELS, RENTAL EQUIPMENT 9/8/25 - 9/15/25, SEM SN 35-26 (1220) BATTERY"/>
    <s v="5051037"/>
    <s v="Upstream"/>
    <s v="156126"/>
    <s v="USD"/>
    <n v="2380.5"/>
    <s v="Direct Entry"/>
    <s v="1"/>
    <s v="945589"/>
    <s v="20' TRAILER TRASH CAGE/POJ COM"/>
    <s v=""/>
    <d v="2025-10-02T11:10:16"/>
    <d v="2025-09-08T00:00:00"/>
    <d v="2025-09-15T00:00:00"/>
    <s v=""/>
    <s v=""/>
    <s v=""/>
    <s v=""/>
    <s v=""/>
    <s v=""/>
    <s v=""/>
    <s v=""/>
    <s v=""/>
    <s v=""/>
    <s v=""/>
    <s v=""/>
    <s v=""/>
    <s v=""/>
    <s v=""/>
    <s v=""/>
    <s v=""/>
    <s v=""/>
    <s v=""/>
    <s v=""/>
    <s v=""/>
    <s v=""/>
    <s v=""/>
    <s v=""/>
    <s v="Equipment"/>
    <s v=""/>
    <s v=""/>
    <s v=""/>
    <s v="8000050400"/>
    <s v="SEM SN 35-26 (1220) BATTERY"/>
    <s v="Upstream"/>
    <s v="1046"/>
    <s v=""/>
    <s v=""/>
    <s v=""/>
    <s v=""/>
    <s v=""/>
    <s v=""/>
    <s v=""/>
    <n v="8"/>
    <s v="EA"/>
    <n v="45"/>
    <s v=""/>
    <n v="360"/>
    <s v="--multiple--"/>
    <s v="709672"/>
    <d v="2025-10-02T11:15:31"/>
    <s v=""/>
    <s v=""/>
    <s v=""/>
    <s v=""/>
  </r>
  <r>
    <s v="243693"/>
    <s v="Royal Oilfield Services LLC"/>
    <x v="13"/>
    <s v="Gabriel Cervantes"/>
    <s v="Britt Gunnels"/>
    <s v="CF, hauled 240bbls of p/w from water tank on loc to pilot, hwy 137 swd. Royal Ticket #155036, 155037"/>
    <s v="5051054"/>
    <s v="Upstream"/>
    <s v=""/>
    <s v="USD"/>
    <n v="540"/>
    <s v="Direct Entry"/>
    <s v="1"/>
    <s v="100001"/>
    <s v="Vacuum Truck"/>
    <s v="Vacuum Truck"/>
    <d v="2025-10-07T07:45:24"/>
    <d v="2025-09-22T07:15:00"/>
    <d v="2025-09-22T11:15:00"/>
    <d v="1899-12-30T04:00:00"/>
    <s v="Buckner Baptist Benevolence Battery"/>
    <s v=""/>
    <s v=""/>
    <s v="Produced Water"/>
    <s v=""/>
    <s v=""/>
    <s v=""/>
    <s v=""/>
    <s v=""/>
    <s v=""/>
    <s v=""/>
    <s v=""/>
    <s v=""/>
    <s v=""/>
    <s v=""/>
    <s v=""/>
    <s v=""/>
    <s v=""/>
    <s v=""/>
    <s v=""/>
    <s v=""/>
    <n v="0"/>
    <s v="bbl"/>
    <s v=""/>
    <s v=""/>
    <s v=""/>
    <s v=""/>
    <s v="8300085800"/>
    <s v="BUCKNER BAPTIST BENEVOLENCE BATTERY"/>
    <s v="Upstream"/>
    <s v="1046"/>
    <s v=""/>
    <s v=""/>
    <s v=""/>
    <s v=""/>
    <s v=""/>
    <s v=""/>
    <s v="Hours Worked"/>
    <n v="4"/>
    <s v="hour"/>
    <n v="90"/>
    <s v=""/>
    <n v="360"/>
    <s v="Pricebook"/>
    <s v="703639"/>
    <d v="2025-10-08T07:54:11"/>
    <s v=""/>
    <s v=""/>
    <s v=""/>
    <s v=""/>
  </r>
  <r>
    <s v="64663"/>
    <s v="Valdez Oil Services, L.L.C."/>
    <x v="10"/>
    <s v="Gabriel Cervantes"/>
    <s v="Britt Gunnels"/>
    <s v="RICKER 37-5/32-46: Picked up spill. *Correction made, reduced hours from 9.25 hrs to 8.75 hrs.*"/>
    <s v="5051057"/>
    <s v="Upstream"/>
    <s v=""/>
    <s v="USD"/>
    <n v="770"/>
    <s v="Direct Entry"/>
    <s v="1"/>
    <s v="Vacuum Truck"/>
    <s v="Vacuum Truck"/>
    <s v=""/>
    <d v="2025-10-01T11:03:29"/>
    <d v="2025-09-23T08:00:00"/>
    <d v="2025-09-23T16:45:00"/>
    <d v="1899-12-30T08:45:00"/>
    <s v="RICKER 37-5/37-46"/>
    <s v=""/>
    <s v=""/>
    <s v="SPILL-CLEAN UP"/>
    <s v=""/>
    <s v=""/>
    <s v=""/>
    <s v=""/>
    <s v=""/>
    <s v=""/>
    <s v=""/>
    <s v=""/>
    <s v=""/>
    <s v=""/>
    <s v=""/>
    <s v=""/>
    <s v=""/>
    <s v=""/>
    <s v=""/>
    <s v=""/>
    <s v=""/>
    <n v="0"/>
    <s v="bbl"/>
    <s v=""/>
    <s v=""/>
    <s v=""/>
    <s v=""/>
    <s v="1001442500"/>
    <s v="RICKER 37- 5 E 251"/>
    <s v="Upstream"/>
    <s v="1046"/>
    <s v=""/>
    <s v=""/>
    <s v=""/>
    <s v=""/>
    <s v=""/>
    <s v=""/>
    <s v="Hours Worked"/>
    <n v="8.75"/>
    <s v="hour"/>
    <n v="88"/>
    <s v=""/>
    <n v="770"/>
    <s v="--multiple--"/>
    <s v="712959"/>
    <d v="2025-10-13T10:42:40"/>
    <s v=""/>
    <s v=""/>
    <s v="Validation Reduce Incorrect Hours | Requisitioner Error"/>
    <s v=""/>
  </r>
  <r>
    <s v="64664"/>
    <s v="Valdez Oil Services, L.L.C."/>
    <x v="10"/>
    <s v="Gabriel Cervantes"/>
    <s v="Britt Gunnels"/>
    <s v="RICKER 37-5: Picked up spill on location."/>
    <s v="5051057"/>
    <s v="Upstream"/>
    <s v=""/>
    <s v="USD"/>
    <n v="1056"/>
    <s v="Direct Entry"/>
    <s v="1"/>
    <s v="Vacuum Truck"/>
    <s v="Vacuum Truck"/>
    <s v=""/>
    <d v="2025-10-01T12:13:20"/>
    <d v="2025-09-24T07:00:00"/>
    <d v="2025-09-24T19:00:00"/>
    <d v="1899-12-30T12:00:00"/>
    <s v="RICKER 37-5"/>
    <s v=""/>
    <s v=""/>
    <s v="SPILL-CLEAN UP"/>
    <s v=""/>
    <s v=""/>
    <s v=""/>
    <s v=""/>
    <s v=""/>
    <s v=""/>
    <s v=""/>
    <s v=""/>
    <s v=""/>
    <s v=""/>
    <s v=""/>
    <s v=""/>
    <s v=""/>
    <s v=""/>
    <s v=""/>
    <s v=""/>
    <s v=""/>
    <n v="0"/>
    <s v="bbl"/>
    <s v=""/>
    <s v=""/>
    <s v=""/>
    <s v=""/>
    <s v="1001442500"/>
    <s v="RICKER 37- 5 E 251"/>
    <s v="Upstream"/>
    <s v="1046"/>
    <s v=""/>
    <s v=""/>
    <s v=""/>
    <s v=""/>
    <s v=""/>
    <s v=""/>
    <s v="Hours Worked"/>
    <n v="12"/>
    <s v="hour"/>
    <n v="88"/>
    <s v=""/>
    <n v="1056"/>
    <s v="--multiple--"/>
    <s v="712959"/>
    <d v="2025-10-02T16:00:40"/>
    <s v=""/>
    <s v=""/>
    <s v="Requisitioner Error"/>
    <s v=""/>
  </r>
  <r>
    <s v="64140"/>
    <s v="Valdez Oil Services, L.L.C."/>
    <x v="5"/>
    <s v="Gabriel Cervantes"/>
    <s v="Britt Gunnels"/>
    <s v="Hauled 120 bbl. of PW from CLARKSON ESTATE to Stout 1D."/>
    <s v="5051054"/>
    <s v="Upstream"/>
    <s v=""/>
    <s v="USD"/>
    <n v="220"/>
    <s v="Direct Entry"/>
    <s v="1"/>
    <s v="Vacuum Truck"/>
    <s v="Vacuum Truck"/>
    <s v=""/>
    <d v="2025-10-01T15:32:23"/>
    <d v="2025-09-25T16:00:00"/>
    <d v="2025-09-25T18:30:00"/>
    <d v="1899-12-30T02:30:00"/>
    <s v="CLARKSON ESTATE"/>
    <s v=""/>
    <s v=""/>
    <s v="Produced Water"/>
    <s v=""/>
    <s v=""/>
    <s v=""/>
    <s v=""/>
    <n v="7"/>
    <n v="8"/>
    <n v="2"/>
    <n v="1"/>
    <s v=""/>
    <s v=""/>
    <s v=""/>
    <s v=""/>
    <s v=""/>
    <s v=""/>
    <s v=""/>
    <s v=""/>
    <s v=""/>
    <n v="120"/>
    <s v="bbl"/>
    <s v=""/>
    <s v=""/>
    <s v=""/>
    <s v=""/>
    <s v="8300088900"/>
    <s v="CLARKSON ESTATE BATTERY"/>
    <s v="Upstream"/>
    <s v="1046"/>
    <s v=""/>
    <s v=""/>
    <s v=""/>
    <s v=""/>
    <s v=""/>
    <s v=""/>
    <s v="Hours Worked"/>
    <n v="2.5"/>
    <s v="hour"/>
    <n v="88"/>
    <s v=""/>
    <n v="220"/>
    <s v="--multiple--"/>
    <s v="712959"/>
    <d v="2025-10-14T12:12:25"/>
    <s v=""/>
    <s v=""/>
    <s v="Requisitioner Error"/>
    <s v=""/>
  </r>
  <r>
    <s v="30033"/>
    <s v="Well Solutions LLC"/>
    <x v="10"/>
    <s v="Gabriel Cervantes"/>
    <s v="Britt Gunnels"/>
    <s v="LOADED WITH 15 BBL HELD 500 PSI, WELL PUMPED, FLUSHED CASING, RUBBER IN BACK PRESSURE VALVE"/>
    <s v="5051057"/>
    <s v="Upstream"/>
    <s v=""/>
    <s v="USD"/>
    <n v="360.5"/>
    <s v="Direct Entry"/>
    <s v="1"/>
    <s v="10000020"/>
    <s v="Scheduled Program Hot Oil per BBL"/>
    <s v="Hot OIl"/>
    <d v="2025-10-06T14:23:08"/>
    <d v="2025-10-02T11:15:00"/>
    <d v="2025-10-02T14:30:00"/>
    <s v=""/>
    <s v=""/>
    <s v=""/>
    <s v=""/>
    <s v=""/>
    <s v=""/>
    <s v=""/>
    <s v=""/>
    <s v=""/>
    <s v=""/>
    <s v=""/>
    <s v=""/>
    <s v=""/>
    <s v=""/>
    <s v=""/>
    <s v=""/>
    <s v=""/>
    <s v=""/>
    <s v=""/>
    <s v=""/>
    <s v=""/>
    <s v=""/>
    <s v=""/>
    <s v=""/>
    <s v="Labor"/>
    <s v=""/>
    <s v=""/>
    <s v=""/>
    <s v="1000067000"/>
    <s v="DANIEL 3 4"/>
    <s v="Upstream"/>
    <s v="1046"/>
    <s v=""/>
    <s v=""/>
    <s v=""/>
    <s v=""/>
    <s v=""/>
    <s v=""/>
    <s v=""/>
    <n v="70"/>
    <s v="BBL"/>
    <n v="5.15"/>
    <s v=""/>
    <n v="360.5"/>
    <s v="--multiple--"/>
    <s v="702744"/>
    <d v="2025-10-06T14:24:49"/>
    <s v=""/>
    <s v=""/>
    <s v=""/>
    <s v=""/>
  </r>
  <r>
    <s v="64588"/>
    <s v="Valdez Oil Services, L.L.C."/>
    <x v="9"/>
    <s v="Gabriel Cervantes"/>
    <s v="P.A. Gonzales"/>
    <s v="Hauled 120 bbl. of PW from ONA 44-3 to T.E.S"/>
    <s v="5051054"/>
    <s v="Upstream"/>
    <s v=""/>
    <s v="USD"/>
    <n v="310"/>
    <s v="Direct Entry"/>
    <s v="1"/>
    <s v="Vacuum Truck"/>
    <s v="Vacuum Truck"/>
    <s v=""/>
    <d v="2025-10-02T11:41:59"/>
    <d v="2025-09-22T21:30:00"/>
    <d v="2025-09-23T00:00:00"/>
    <d v="1899-12-30T02:30:00"/>
    <s v="ONA 44-3"/>
    <s v=""/>
    <s v=""/>
    <s v="Produced Water"/>
    <s v=""/>
    <s v=""/>
    <s v=""/>
    <s v=""/>
    <n v="7"/>
    <s v=""/>
    <n v="5"/>
    <n v="2"/>
    <s v=""/>
    <s v=""/>
    <s v=""/>
    <s v=""/>
    <s v=""/>
    <s v=""/>
    <s v=""/>
    <s v=""/>
    <s v=""/>
    <n v="120"/>
    <s v="bbl"/>
    <s v=""/>
    <s v=""/>
    <s v=""/>
    <s v=""/>
    <s v="8300131600"/>
    <s v="ONA 44-3 BATTERY"/>
    <s v="Upstream"/>
    <s v="1046"/>
    <s v=""/>
    <s v=""/>
    <s v=""/>
    <s v=""/>
    <s v=""/>
    <s v=""/>
    <s v="Hours Worked"/>
    <n v="2.5"/>
    <s v="hour"/>
    <n v="88"/>
    <s v=""/>
    <n v="220"/>
    <s v="--multiple--"/>
    <s v="712959"/>
    <d v="2025-10-02T11:45:07"/>
    <s v=""/>
    <s v=""/>
    <s v=""/>
    <s v=""/>
  </r>
  <r>
    <s v="39998"/>
    <s v="Valdez Oil Services, L.L.C."/>
    <x v="9"/>
    <s v="Gabriel Cervantes"/>
    <s v="P.A. Gonzales"/>
    <s v="Hauled 360 bbl. of PW from ONA 44-3 to 1st-Stout 1D 2nd-Stout 1D and last load to Pinnergy SWD."/>
    <s v="5051054"/>
    <s v="Upstream"/>
    <s v=""/>
    <s v="USD"/>
    <n v="882"/>
    <s v="Direct Entry"/>
    <s v="1"/>
    <s v="Vacuum Truck"/>
    <s v="Vacuum Truck"/>
    <s v=""/>
    <d v="2025-10-10T12:13:07"/>
    <d v="2025-10-08T06:00:00"/>
    <d v="2025-10-08T15:00:00"/>
    <d v="1899-12-30T09:00:00"/>
    <s v="ONA 44-3"/>
    <s v=""/>
    <s v=""/>
    <s v="Produced Water"/>
    <s v=""/>
    <s v=""/>
    <s v=""/>
    <s v=""/>
    <n v="7"/>
    <n v="3"/>
    <n v="2"/>
    <n v="1"/>
    <s v=""/>
    <s v=""/>
    <s v=""/>
    <s v=""/>
    <s v=""/>
    <s v=""/>
    <s v=""/>
    <s v=""/>
    <s v=""/>
    <n v="120"/>
    <s v="bbl"/>
    <s v=""/>
    <s v=""/>
    <s v=""/>
    <s v=""/>
    <s v="8300131600"/>
    <s v="ONA 44-3 BATTERY"/>
    <s v="Upstream"/>
    <s v="1046"/>
    <s v=""/>
    <s v=""/>
    <s v=""/>
    <s v=""/>
    <s v=""/>
    <s v=""/>
    <s v="Hours Worked"/>
    <n v="9"/>
    <s v="hour"/>
    <n v="88"/>
    <s v=""/>
    <n v="792"/>
    <s v="--multiple--"/>
    <s v="712959"/>
    <d v="2025-10-10T12:25:55"/>
    <s v=""/>
    <s v=""/>
    <s v=""/>
    <s v=""/>
  </r>
  <r>
    <s v="34372"/>
    <s v="Montero Energy Services LLC"/>
    <x v="11"/>
    <s v="Ishmel Mesta"/>
    <s v="Jobe Christon"/>
    <s v="The driver operated the vacuum truck to move water from one tank to another when needed."/>
    <s v="5051057"/>
    <s v="Upstream"/>
    <s v="115157"/>
    <s v="USD"/>
    <n v="1353.75"/>
    <s v="Direct Entry"/>
    <s v="1"/>
    <s v="vacuum truck"/>
    <s v="Vacuum Truck"/>
    <s v=""/>
    <d v="2025-10-02T07:47:25"/>
    <d v="2025-09-22T17:15:00"/>
    <d v="2025-09-23T07:30:00"/>
    <d v="1899-12-30T14:15:00"/>
    <s v="Guardian H Battery"/>
    <s v=""/>
    <s v=""/>
    <s v="water"/>
    <s v=""/>
    <s v=""/>
    <s v=""/>
    <s v=""/>
    <s v=""/>
    <s v=""/>
    <s v=""/>
    <s v=""/>
    <s v=""/>
    <s v=""/>
    <s v=""/>
    <s v=""/>
    <s v=""/>
    <s v=""/>
    <s v=""/>
    <s v=""/>
    <s v=""/>
    <n v="14.25"/>
    <s v="bbl"/>
    <s v=""/>
    <s v=""/>
    <s v=""/>
    <s v=""/>
    <s v="8000301200"/>
    <s v="GUARDIAN H BATTERY"/>
    <s v="Upstream"/>
    <s v="1046"/>
    <s v=""/>
    <s v=""/>
    <s v=""/>
    <s v=""/>
    <s v=""/>
    <s v=""/>
    <s v="Other"/>
    <n v="14.25"/>
    <s v="HR"/>
    <n v="95"/>
    <s v=""/>
    <n v="1353.75"/>
    <s v="--multiple--"/>
    <s v="706718"/>
    <d v="2025-10-02T07:49:57"/>
    <s v=""/>
    <s v=""/>
    <s v=""/>
    <s v=""/>
  </r>
  <r>
    <s v="34373"/>
    <s v="Montero Energy Services LLC"/>
    <x v="11"/>
    <s v="Ishmel Mesta"/>
    <s v="Jobe Christon"/>
    <s v="The driver operated the vacuum truck to move water from one tank to another."/>
    <s v="5051057"/>
    <s v="Upstream"/>
    <s v="115157"/>
    <s v="USD"/>
    <n v="1377.5"/>
    <s v="Direct Entry"/>
    <s v="1"/>
    <s v="vacuum truck"/>
    <s v="Vacuum Truck"/>
    <s v=""/>
    <d v="2025-10-02T07:51:07"/>
    <d v="2025-09-23T17:00:00"/>
    <d v="2025-09-24T07:30:00"/>
    <d v="1899-12-30T14:30:00"/>
    <s v="Guardian H Battery"/>
    <s v=""/>
    <s v=""/>
    <s v="water"/>
    <s v=""/>
    <s v=""/>
    <s v=""/>
    <s v=""/>
    <s v=""/>
    <s v=""/>
    <s v=""/>
    <s v=""/>
    <s v=""/>
    <s v=""/>
    <s v=""/>
    <s v=""/>
    <s v=""/>
    <s v=""/>
    <s v=""/>
    <s v=""/>
    <s v=""/>
    <n v="14.5"/>
    <s v="bbl"/>
    <s v=""/>
    <s v=""/>
    <s v=""/>
    <s v=""/>
    <s v="8000301200"/>
    <s v="GUARDIAN H BATTERY"/>
    <s v="Upstream"/>
    <s v="1046"/>
    <s v=""/>
    <s v=""/>
    <s v=""/>
    <s v=""/>
    <s v=""/>
    <s v=""/>
    <s v="Other"/>
    <n v="14.5"/>
    <s v="HR"/>
    <n v="95"/>
    <s v=""/>
    <n v="1377.5"/>
    <s v="--multiple--"/>
    <s v="706718"/>
    <d v="2025-10-02T07:57:34"/>
    <s v=""/>
    <s v=""/>
    <s v=""/>
    <s v=""/>
  </r>
  <r>
    <s v="34375"/>
    <s v="Montero Energy Services LLC"/>
    <x v="11"/>
    <s v="Ishmel Mesta"/>
    <s v="Jobe Christon"/>
    <s v="The driver operated the vacuum truck to move water from the battery to the Rugers SWD."/>
    <s v="5051054"/>
    <s v="Upstream"/>
    <s v="115157"/>
    <s v="USD"/>
    <n v="1737.5"/>
    <s v="Direct Entry"/>
    <s v="1"/>
    <s v="vacuum truck"/>
    <s v="Vacuum Truck"/>
    <s v=""/>
    <d v="2025-10-02T08:59:00"/>
    <d v="2025-09-25T16:45:00"/>
    <d v="2025-09-26T07:15:00"/>
    <d v="1899-12-30T14:30:00"/>
    <s v="Guardian H Battery"/>
    <s v=""/>
    <s v=""/>
    <s v="water"/>
    <s v=""/>
    <s v=""/>
    <s v=""/>
    <s v=""/>
    <s v=""/>
    <s v=""/>
    <s v=""/>
    <s v=""/>
    <s v=""/>
    <s v=""/>
    <s v=""/>
    <s v=""/>
    <s v=""/>
    <s v=""/>
    <s v=""/>
    <s v=""/>
    <s v=""/>
    <n v="14.5"/>
    <s v="bbl"/>
    <s v=""/>
    <s v=""/>
    <s v=""/>
    <s v=""/>
    <s v="8000301200"/>
    <s v="GUARDIAN H BATTERY"/>
    <s v="Upstream"/>
    <s v="1046"/>
    <s v=""/>
    <s v=""/>
    <s v=""/>
    <s v=""/>
    <s v=""/>
    <s v=""/>
    <s v="Hours Worked"/>
    <n v="14.5"/>
    <s v="hour"/>
    <n v="95"/>
    <s v=""/>
    <n v="1377.5"/>
    <s v="--multiple--"/>
    <s v="706718"/>
    <d v="2025-10-03T08:47:27"/>
    <s v=""/>
    <s v=""/>
    <s v=""/>
    <s v=""/>
  </r>
  <r>
    <s v="34441"/>
    <s v="Montero Energy Services LLC"/>
    <x v="4"/>
    <s v="Ishmel Mesta"/>
    <s v="Jobe Christon"/>
    <s v="Bill out for the rent of the trash trailer from 09-26-25 to 10-07-25.  (12days)"/>
    <s v="5051037"/>
    <s v="Upstream"/>
    <s v="166915"/>
    <s v="USD"/>
    <n v="1020"/>
    <s v="Direct Entry"/>
    <s v="1"/>
    <s v="TT- Weekly"/>
    <s v="Trash Trailer"/>
    <s v=""/>
    <d v="2025-10-09T12:39:39"/>
    <d v="2025-09-26T07:00:00"/>
    <d v="2025-10-07T17:00:00"/>
    <s v=""/>
    <s v="FRM RTE-CHRISTON JOBE"/>
    <s v=""/>
    <s v=""/>
    <s v=""/>
    <s v=""/>
    <s v=""/>
    <s v=""/>
    <s v=""/>
    <s v=""/>
    <s v=""/>
    <s v=""/>
    <s v=""/>
    <s v=""/>
    <s v=""/>
    <s v=""/>
    <s v=""/>
    <s v=""/>
    <s v=""/>
    <s v=""/>
    <s v=""/>
    <s v=""/>
    <s v=""/>
    <s v=""/>
    <s v="Equipment"/>
    <s v=""/>
    <s v=""/>
    <s v=""/>
    <s v="9100019600"/>
    <s v="FRM RTE-CHRISTON JOBE"/>
    <s v="Upstream"/>
    <s v="1046"/>
    <s v=""/>
    <s v=""/>
    <s v=""/>
    <s v=""/>
    <s v=""/>
    <s v=""/>
    <s v=""/>
    <n v="12"/>
    <s v="Day"/>
    <n v="85"/>
    <s v=""/>
    <n v="1020"/>
    <s v="--multiple--"/>
    <s v="706718"/>
    <d v="2025-10-09T12:45:50"/>
    <s v=""/>
    <s v=""/>
    <s v=""/>
    <s v=""/>
  </r>
  <r>
    <s v="34376"/>
    <s v="Montero Energy Services LLC"/>
    <x v="11"/>
    <s v="Ishmel Mesta"/>
    <s v="Jobe Christon"/>
    <s v="The driver operated the vacuum truck to move water from one tank to another."/>
    <s v="5051057"/>
    <s v="Upstream"/>
    <s v="115157"/>
    <s v="USD"/>
    <n v="1330"/>
    <s v="Direct Entry"/>
    <s v="1"/>
    <s v="vacuum truck"/>
    <s v="Vacuum Truck"/>
    <s v=""/>
    <d v="2025-10-02T07:58:44"/>
    <d v="2025-09-26T17:15:00"/>
    <d v="2025-09-27T07:15:00"/>
    <d v="1899-12-30T14:00:00"/>
    <s v="Guardian H Battery"/>
    <s v=""/>
    <s v=""/>
    <s v="water"/>
    <s v=""/>
    <s v=""/>
    <s v=""/>
    <s v=""/>
    <s v=""/>
    <s v=""/>
    <s v=""/>
    <s v=""/>
    <s v=""/>
    <s v=""/>
    <s v=""/>
    <s v=""/>
    <s v=""/>
    <s v=""/>
    <s v=""/>
    <s v=""/>
    <s v=""/>
    <n v="14"/>
    <s v="bbl"/>
    <s v=""/>
    <s v=""/>
    <s v=""/>
    <s v=""/>
    <s v="8000301200"/>
    <s v="GUARDIAN H BATTERY"/>
    <s v="Upstream"/>
    <s v="1046"/>
    <s v=""/>
    <s v=""/>
    <s v=""/>
    <s v=""/>
    <s v=""/>
    <s v=""/>
    <s v="Other"/>
    <n v="14"/>
    <s v="HR"/>
    <n v="95"/>
    <s v=""/>
    <n v="1330"/>
    <s v="--multiple--"/>
    <s v="706718"/>
    <d v="2025-10-02T08:00:21"/>
    <s v=""/>
    <s v=""/>
    <s v=""/>
    <s v=""/>
  </r>
  <r>
    <s v="34377"/>
    <s v="Montero Energy Services LLC"/>
    <x v="11"/>
    <s v="Ishmel Mesta"/>
    <s v="Jobe Christon"/>
    <s v="The driver operated the vacuum truck to move water from one tank to another."/>
    <s v="5051057"/>
    <s v="Upstream"/>
    <s v="115157"/>
    <s v="USD"/>
    <n v="1353.75"/>
    <s v="Direct Entry"/>
    <s v="1"/>
    <s v="vacuum truck"/>
    <s v="Vacuum Truck"/>
    <s v=""/>
    <d v="2025-10-02T08:01:17"/>
    <d v="2025-09-27T17:00:00"/>
    <d v="2025-09-28T07:15:00"/>
    <d v="1899-12-30T14:15:00"/>
    <s v="Guardian H Battery"/>
    <s v=""/>
    <s v=""/>
    <s v="water"/>
    <s v=""/>
    <s v=""/>
    <s v=""/>
    <s v=""/>
    <s v=""/>
    <s v=""/>
    <s v=""/>
    <s v=""/>
    <s v=""/>
    <s v=""/>
    <s v=""/>
    <s v=""/>
    <s v=""/>
    <s v=""/>
    <s v=""/>
    <s v=""/>
    <s v=""/>
    <n v="14.25"/>
    <s v="bbl"/>
    <s v=""/>
    <s v=""/>
    <s v=""/>
    <s v=""/>
    <s v="8000301200"/>
    <s v="GUARDIAN H BATTERY"/>
    <s v="Upstream"/>
    <s v="1046"/>
    <s v=""/>
    <s v=""/>
    <s v=""/>
    <s v=""/>
    <s v=""/>
    <s v=""/>
    <s v="Other"/>
    <n v="14.25"/>
    <s v="HR"/>
    <n v="95"/>
    <s v=""/>
    <n v="1353.75"/>
    <s v="--multiple--"/>
    <s v="706718"/>
    <d v="2025-10-02T08:02:46"/>
    <s v=""/>
    <s v=""/>
    <s v=""/>
    <s v=""/>
  </r>
  <r>
    <s v="34378"/>
    <s v="Montero Energy Services LLC"/>
    <x v="11"/>
    <s v="Ishmel Mesta"/>
    <s v="Jobe Christon"/>
    <s v="The driver operated the vacuum truck to move water from one tank to another."/>
    <s v="5051057"/>
    <s v="Upstream"/>
    <s v="115157"/>
    <s v="USD"/>
    <n v="1377.5"/>
    <s v="Direct Entry"/>
    <s v="1"/>
    <s v="vacuum truck"/>
    <s v="Vacuum Truck"/>
    <s v=""/>
    <d v="2025-10-02T08:04:02"/>
    <d v="2025-09-28T17:00:00"/>
    <d v="2025-09-29T07:30:00"/>
    <d v="1899-12-30T14:30:00"/>
    <s v="Guardian H Battery"/>
    <s v=""/>
    <s v=""/>
    <s v="water"/>
    <s v=""/>
    <s v=""/>
    <s v=""/>
    <s v=""/>
    <s v=""/>
    <s v=""/>
    <s v=""/>
    <s v=""/>
    <s v=""/>
    <s v=""/>
    <s v=""/>
    <s v=""/>
    <s v=""/>
    <s v=""/>
    <s v=""/>
    <s v=""/>
    <s v=""/>
    <n v="14.5"/>
    <s v="bbl"/>
    <s v=""/>
    <s v=""/>
    <s v=""/>
    <s v=""/>
    <s v="8000301200"/>
    <s v="GUARDIAN H BATTERY"/>
    <s v="Upstream"/>
    <s v="1046"/>
    <s v=""/>
    <s v=""/>
    <s v=""/>
    <s v=""/>
    <s v=""/>
    <s v=""/>
    <s v="Other"/>
    <n v="14.5"/>
    <s v="HR"/>
    <n v="95"/>
    <s v=""/>
    <n v="1377.5"/>
    <s v="--multiple--"/>
    <s v="706718"/>
    <d v="2025-10-02T08:05:25"/>
    <s v=""/>
    <s v=""/>
    <s v=""/>
    <s v=""/>
  </r>
  <r>
    <s v="211105"/>
    <s v="Basin Trucking LLC"/>
    <x v="0"/>
    <s v="Israel De La Cruz"/>
    <s v="Jack Lau"/>
    <s v="Drove to location we put down 2&quot; pipe into the ditch and connected on the wellhead retightened correctly all pipe to avoid any leak."/>
    <s v="8501210"/>
    <s v="AC-AC"/>
    <s v="158996"/>
    <s v="USD"/>
    <n v="1912.5"/>
    <s v="Direct Entry"/>
    <s v="1"/>
    <s v="3 Man Crew"/>
    <s v="3 Man Crew"/>
    <s v="Roustabout Crew"/>
    <d v="2025-10-04T09:59:08"/>
    <d v="2025-09-24T06:15:00"/>
    <d v="2025-09-24T18:30:00"/>
    <s v=""/>
    <s v="Boss East N 40-45 4214H"/>
    <s v=""/>
    <s v=""/>
    <s v=""/>
    <s v=""/>
    <s v=""/>
    <s v=""/>
    <s v=""/>
    <s v=""/>
    <s v=""/>
    <s v=""/>
    <s v=""/>
    <s v=""/>
    <s v=""/>
    <s v=""/>
    <s v=""/>
    <s v=""/>
    <s v=""/>
    <s v=""/>
    <s v=""/>
    <s v=""/>
    <s v=""/>
    <s v=""/>
    <s v="Labor"/>
    <s v=""/>
    <s v=""/>
    <s v=""/>
    <s v="AC-002040AC"/>
    <s v="BOSS EAST N 40-45 4214H ESP2GL"/>
    <s v="AC-AC"/>
    <s v="1046"/>
    <s v=""/>
    <s v=""/>
    <s v=""/>
    <s v=""/>
    <s v=""/>
    <s v=""/>
    <s v=""/>
    <n v="12.25"/>
    <s v="HR"/>
    <n v="130"/>
    <s v=""/>
    <n v="1592.5"/>
    <s v="--multiple--"/>
    <s v="703517"/>
    <d v="2025-10-04T10:12:08"/>
    <s v=""/>
    <s v=""/>
    <s v=""/>
    <s v=""/>
  </r>
  <r>
    <s v="206295"/>
    <s v="Basin Trucking LLC"/>
    <x v="12"/>
    <s v="Israel De La Cruz"/>
    <s v="Jack Lau"/>
    <s v="Worked on injection line wait for X-Rays test then we connected the line with the meter run and the wellhead."/>
    <s v="8501195"/>
    <s v="AC-AC"/>
    <s v="158996"/>
    <s v="USD"/>
    <n v="1200"/>
    <s v="Direct Entry"/>
    <s v="1"/>
    <s v="Welder"/>
    <s v="Welder"/>
    <s v="Welding Services"/>
    <d v="2025-10-03T13:48:59"/>
    <d v="2025-09-24T06:30:00"/>
    <d v="2025-09-24T18:30:00"/>
    <s v=""/>
    <s v="Boss East N 40-45 4214H"/>
    <s v=""/>
    <s v=""/>
    <s v=""/>
    <s v=""/>
    <s v=""/>
    <s v=""/>
    <s v=""/>
    <s v=""/>
    <s v=""/>
    <s v=""/>
    <s v=""/>
    <s v=""/>
    <s v=""/>
    <s v=""/>
    <s v=""/>
    <s v=""/>
    <s v=""/>
    <s v=""/>
    <s v=""/>
    <s v=""/>
    <s v=""/>
    <s v=""/>
    <s v="Labor"/>
    <s v=""/>
    <s v=""/>
    <s v=""/>
    <s v="AC-002040AC"/>
    <s v="BOSS EAST N 40-45 4214H ESP2GL"/>
    <s v="AC-AC"/>
    <s v="1046"/>
    <s v=""/>
    <s v=""/>
    <s v=""/>
    <s v=""/>
    <s v=""/>
    <s v=""/>
    <s v=""/>
    <n v="12"/>
    <s v="HR"/>
    <n v="100"/>
    <s v=""/>
    <n v="1200"/>
    <s v="--multiple--"/>
    <s v="703517"/>
    <d v="2025-10-03T14:17:55"/>
    <s v=""/>
    <s v=""/>
    <s v=""/>
    <s v=""/>
  </r>
  <r>
    <s v="RNIT_250711_085150"/>
    <s v="Superior Optimization Ltd"/>
    <x v="0"/>
    <s v="Jacob Rodriguez"/>
    <s v="Jack Lau"/>
    <s v="Coms Panel build requested for Jones Holton Horizontals._x000a_Picked up materials from shop and 2 vendors. Travelled to location. Met with electrical crew. _x000a_Mounted communications jbox to the rear of the plc switchrack._x000a_Used 3/4 flex to connect to PLC Panel and brought in existing meter conduit/flex to coms panel._x000a_Installed panduit and panduit covers on back plane. Installed din rail._x000a_Installed panel components (switch/red lion) and terminal blocks for power and coms._x000a_Landed and labelled wiring for switch and red lion to 24v power terminals._x000a_Ran 2 single pair and 1 ethernet line from coms panel to plc panel._x000a_Labelled and rolled wires to PLC."/>
    <s v="5101017"/>
    <s v="EW-EW"/>
    <s v=""/>
    <s v="USD"/>
    <n v="2816"/>
    <s v="B2B"/>
    <s v="1"/>
    <s v="AUTOSP"/>
    <s v="Automation Specialist"/>
    <s v=""/>
    <d v="2025-08-20T14:52:19"/>
    <d v="2025-07-10T08:00:00"/>
    <d v="2025-07-10T16:00:00"/>
    <s v=""/>
    <s v=""/>
    <s v=""/>
    <s v=""/>
    <s v=""/>
    <s v=""/>
    <s v=""/>
    <s v=""/>
    <s v=""/>
    <s v=""/>
    <s v=""/>
    <s v=""/>
    <s v=""/>
    <s v=""/>
    <s v=""/>
    <s v=""/>
    <s v=""/>
    <s v=""/>
    <s v=""/>
    <s v=""/>
    <s v=""/>
    <s v=""/>
    <s v=""/>
    <s v=""/>
    <s v="Labor"/>
    <s v=""/>
    <s v=""/>
    <s v=""/>
    <s v="EW-003385EW"/>
    <s v="PENNYWISE E 5011HU ESP RPR"/>
    <s v="EW-EW"/>
    <s v="1046"/>
    <s v=""/>
    <s v=""/>
    <s v=""/>
    <s v=""/>
    <s v=""/>
    <s v=""/>
    <s v=""/>
    <n v="8"/>
    <s v="HR"/>
    <n v="160"/>
    <s v=""/>
    <n v="1280"/>
    <s v="--multiple--"/>
    <s v="700399"/>
    <d v="2025-10-02T11:12:48"/>
    <s v=""/>
    <s v=""/>
    <s v="Coding/Location Issue"/>
    <s v=""/>
  </r>
  <r>
    <s v="ML19695"/>
    <s v="ML POWER LLC"/>
    <x v="0"/>
    <s v="Kyle Jackson"/>
    <s v="Jack Lau"/>
    <s v="Drove to gas station to fuel up work truck. Drove to location and got a material list and measurments.158998A"/>
    <s v="8501142"/>
    <s v="AC-AC"/>
    <s v=""/>
    <s v="USD"/>
    <n v="869"/>
    <s v="API"/>
    <s v="1"/>
    <s v="Electrician"/>
    <s v="Electrician"/>
    <s v=""/>
    <d v="2025-10-02T18:40:26"/>
    <d v="2025-09-23T13:00:00"/>
    <d v="2025-09-23T17:00:00"/>
    <s v=""/>
    <s v=""/>
    <s v=""/>
    <s v=""/>
    <s v=""/>
    <s v=""/>
    <s v=""/>
    <s v=""/>
    <s v=""/>
    <s v=""/>
    <s v=""/>
    <s v=""/>
    <s v=""/>
    <s v=""/>
    <s v=""/>
    <s v=""/>
    <s v=""/>
    <s v=""/>
    <s v=""/>
    <s v=""/>
    <s v=""/>
    <s v=""/>
    <s v=""/>
    <s v=""/>
    <s v="Labor"/>
    <s v=""/>
    <s v="595273"/>
    <s v=""/>
    <s v="AC-002040AC"/>
    <s v="BOSS EAST N 40-45 4214H ESP2GL"/>
    <s v="AC-AC"/>
    <s v="1046"/>
    <s v=""/>
    <s v=""/>
    <s v=""/>
    <s v=""/>
    <s v=""/>
    <s v=""/>
    <s v=""/>
    <n v="4"/>
    <s v="HR"/>
    <n v="66"/>
    <s v=""/>
    <n v="264"/>
    <s v="--multiple--"/>
    <s v="706076"/>
    <d v="2025-10-02T18:40:26"/>
    <s v=""/>
    <s v=""/>
    <s v=""/>
    <s v=""/>
  </r>
  <r>
    <s v="ML19647"/>
    <s v="ML POWER LLC"/>
    <x v="0"/>
    <s v="Kyle Jackson"/>
    <s v="Jack Lau"/>
    <s v="Drove to Cain Electric and GDL in Midland for matrial. Stopped at gas station to fuel up work truck. Knocked out (2) 1/2in wholes in the PLC cabinet. Added (2) 1/2in CGBs and (2) 1/2in Myers Hubs into the cabinet. Added (2) 1/2in CGBS and (2) 1/2in Myers Hubs into the Meter box. Ran a 10-3 and CAT5 from the PLC to the Meter skid. Added a 24V to 12V power supply into the Meter box. Inserted wires into PLC cabinet and Meter box. Terminated 10-3 into PLC cabinet. Terminated 10-3 into power supply. Verified voltage. Boss East N 4214H is good to go. All stops and trips were made for the Boss East N 4214H.158998A"/>
    <s v="8501142"/>
    <s v="AC-AC"/>
    <s v=""/>
    <s v="USD"/>
    <n v="1174.5"/>
    <s v="API"/>
    <s v="1"/>
    <s v="Electrician"/>
    <s v="Electrician"/>
    <s v=""/>
    <d v="2025-10-02T18:56:14"/>
    <d v="2025-09-24T06:00:00"/>
    <d v="2025-09-24T13:15:00"/>
    <s v=""/>
    <s v=""/>
    <s v=""/>
    <s v=""/>
    <s v=""/>
    <s v=""/>
    <s v=""/>
    <s v=""/>
    <s v=""/>
    <s v=""/>
    <s v=""/>
    <s v=""/>
    <s v=""/>
    <s v=""/>
    <s v=""/>
    <s v=""/>
    <s v=""/>
    <s v=""/>
    <s v=""/>
    <s v=""/>
    <s v=""/>
    <s v=""/>
    <s v=""/>
    <s v=""/>
    <s v="Labor"/>
    <s v=""/>
    <s v="595273"/>
    <s v=""/>
    <s v="AC-002040AC"/>
    <s v="BOSS EAST N 40-45 4214H ESP2GL"/>
    <s v="AC-AC"/>
    <s v="1046"/>
    <s v=""/>
    <s v=""/>
    <s v=""/>
    <s v=""/>
    <s v=""/>
    <s v=""/>
    <s v=""/>
    <n v="7.25"/>
    <s v="HR"/>
    <n v="66"/>
    <s v=""/>
    <n v="478.5"/>
    <s v="--multiple--"/>
    <s v="706076"/>
    <d v="2025-10-02T18:56:14"/>
    <s v=""/>
    <s v=""/>
    <s v=""/>
    <s v=""/>
  </r>
  <r>
    <s v="5319-1114100"/>
    <s v="Cain Electric Supply CORP"/>
    <x v="0"/>
    <s v="Kyle Jackson"/>
    <s v="Jack Lau"/>
    <s v="Electrical Materials"/>
    <s v="8501141"/>
    <s v="AC-AC"/>
    <s v=""/>
    <s v="USD"/>
    <n v="58.12"/>
    <s v=""/>
    <s v="1"/>
    <s v="TB 5232"/>
    <s v="1/2 STR L/T FLEX CONN"/>
    <s v=""/>
    <d v="2025-10-07T19:06:41"/>
    <d v="2025-10-07T08:00:00"/>
    <d v="2025-10-07T08:00:00"/>
    <s v=""/>
    <s v="RICKER 3845 F 261"/>
    <s v=""/>
    <s v=""/>
    <s v=""/>
    <s v=""/>
    <s v=""/>
    <s v=""/>
    <s v=""/>
    <s v=""/>
    <s v=""/>
    <s v=""/>
    <s v=""/>
    <s v=""/>
    <s v=""/>
    <s v=""/>
    <s v=""/>
    <s v=""/>
    <s v=""/>
    <s v=""/>
    <s v=""/>
    <s v=""/>
    <s v=""/>
    <s v=""/>
    <s v="Material"/>
    <s v=""/>
    <s v=""/>
    <s v=""/>
    <s v="AC-001909AC"/>
    <s v="RICKER 38-45 2 261 GL2GAPL"/>
    <s v="AC-AC"/>
    <s v="1046"/>
    <s v=""/>
    <s v=""/>
    <s v=""/>
    <s v=""/>
    <s v=""/>
    <s v=""/>
    <s v=""/>
    <n v="6"/>
    <s v="EA"/>
    <n v="7.53"/>
    <s v=""/>
    <n v="45.18"/>
    <s v="--multiple--"/>
    <s v="703819"/>
    <d v="2025-10-10T10:05:51"/>
    <s v=""/>
    <s v=""/>
    <s v=""/>
    <s v=""/>
  </r>
  <r>
    <s v="N14000321626"/>
    <s v="SES Holdings, LLC"/>
    <x v="4"/>
    <s v="Ishmel Mesta"/>
    <s v="Jobe Christon"/>
    <s v="GUARDIAN H BATTERY; Transfer Fluid Onsite (Water); Jobe Christon"/>
    <s v="5051057"/>
    <s v="Upstream"/>
    <s v=""/>
    <s v="USD"/>
    <n v="900"/>
    <s v=""/>
    <s v="1"/>
    <s v="10-1114HRS"/>
    <s v="TP-Transfer Oil"/>
    <s v="Transport"/>
    <d v="2025-10-03T09:50:06"/>
    <d v="2025-10-01T04:00:00"/>
    <d v="2025-10-01T13:00:00"/>
    <d v="1899-12-30T09:00:00"/>
    <s v="GUARDIAN H BATTERY"/>
    <s v=""/>
    <s v=""/>
    <s v="Oil"/>
    <s v=""/>
    <s v=""/>
    <s v=""/>
    <s v=""/>
    <n v="0"/>
    <n v="0"/>
    <n v="0"/>
    <n v="0"/>
    <s v=""/>
    <s v=""/>
    <s v=""/>
    <s v=""/>
    <s v=""/>
    <s v=""/>
    <s v=""/>
    <s v=""/>
    <s v=""/>
    <n v="130"/>
    <s v="bbl"/>
    <s v=""/>
    <s v=""/>
    <s v=""/>
    <s v=""/>
    <s v="8000301200"/>
    <s v="GUARDIAN H BATTERY"/>
    <s v="Upstream"/>
    <s v="1046"/>
    <s v=""/>
    <s v=""/>
    <s v=""/>
    <s v=""/>
    <s v=""/>
    <s v=""/>
    <s v="Other"/>
    <n v="9"/>
    <s v="HRS"/>
    <n v="100"/>
    <s v=""/>
    <n v="900"/>
    <s v="--multiple--"/>
    <s v="700224"/>
    <d v="2025-10-09T14:40:43"/>
    <s v=""/>
    <s v=""/>
    <s v="Requisitioner Error | Requisitioner Error | Requisitioner Error | Requisitioner Error"/>
    <s v=""/>
  </r>
  <r>
    <s v="9736"/>
    <s v="Blackwing Logistics LLC"/>
    <x v="6"/>
    <s v="Dallen Mize"/>
    <s v="James Compton"/>
    <s v="Drove to location to assist with tank cleaning."/>
    <s v="5051049"/>
    <s v="Upstream"/>
    <s v="169789"/>
    <s v="USD"/>
    <n v="451.25"/>
    <s v="Direct Entry"/>
    <s v="1"/>
    <s v="Vac Truck"/>
    <s v="Vac Truck"/>
    <s v=""/>
    <d v="2025-10-10T14:28:27"/>
    <d v="2025-10-09T11:15:00"/>
    <d v="2025-10-09T16:00:00"/>
    <d v="1899-12-30T04:45:00"/>
    <s v="HOLCOMB 39-40/68-41 BATTERY"/>
    <s v=""/>
    <s v=""/>
    <s v="Produced Water"/>
    <s v=""/>
    <s v=""/>
    <s v=""/>
    <s v=""/>
    <s v=""/>
    <s v=""/>
    <s v=""/>
    <s v=""/>
    <s v=""/>
    <s v=""/>
    <s v=""/>
    <s v=""/>
    <s v=""/>
    <s v=""/>
    <s v=""/>
    <s v=""/>
    <s v=""/>
    <n v="120"/>
    <s v="bbl"/>
    <s v=""/>
    <s v=""/>
    <s v=""/>
    <s v=""/>
    <s v="8300108700"/>
    <s v="HOLCOMB 39-40/68-41 BATTERY"/>
    <s v="Upstream"/>
    <s v="1046"/>
    <s v=""/>
    <s v=""/>
    <s v=""/>
    <s v=""/>
    <s v=""/>
    <s v=""/>
    <s v="Hours Worked"/>
    <n v="4.75"/>
    <s v="hour"/>
    <n v="95"/>
    <s v=""/>
    <n v="451.25"/>
    <s v="Pricebook"/>
    <s v="712347"/>
    <d v="2025-10-13T13:53:46"/>
    <s v=""/>
    <s v=""/>
    <s v="Electronic Field Ticket Issue"/>
    <s v=""/>
  </r>
  <r>
    <s v="9882"/>
    <s v="Blackwing Logistics LLC"/>
    <x v="6"/>
    <s v="Dallen Mize"/>
    <s v="James Compton"/>
    <s v="Hauled fresh water to assist hot oiler on location."/>
    <s v="5051049"/>
    <s v="Upstream"/>
    <s v="169789"/>
    <s v="USD"/>
    <n v="483.75"/>
    <s v="Direct Entry"/>
    <s v="1"/>
    <s v="Vac Truck"/>
    <s v="Vac Truck"/>
    <s v=""/>
    <d v="2025-10-10T13:07:00"/>
    <d v="2025-10-09T11:30:00"/>
    <d v="2025-10-09T16:00:00"/>
    <d v="1899-12-30T04:30:00"/>
    <s v="HOLCOMB 39-40/68-41 BATTERY"/>
    <s v=""/>
    <s v=""/>
    <s v="Fresh Water"/>
    <s v=""/>
    <s v=""/>
    <s v=""/>
    <s v=""/>
    <s v=""/>
    <s v=""/>
    <s v=""/>
    <s v=""/>
    <s v=""/>
    <s v=""/>
    <s v=""/>
    <s v=""/>
    <s v=""/>
    <s v=""/>
    <s v=""/>
    <s v=""/>
    <s v=""/>
    <n v="45"/>
    <s v="bbl"/>
    <s v=""/>
    <s v=""/>
    <s v=""/>
    <s v=""/>
    <s v="8300108700"/>
    <s v="HOLCOMB 39-40/68-41 BATTERY"/>
    <s v="Upstream"/>
    <s v="1046"/>
    <s v=""/>
    <s v=""/>
    <s v=""/>
    <s v=""/>
    <s v=""/>
    <s v=""/>
    <s v="Hours Worked"/>
    <n v="4.5"/>
    <s v="hour"/>
    <n v="95"/>
    <s v=""/>
    <n v="427.5"/>
    <s v="Pricebook"/>
    <s v="712347"/>
    <d v="2025-10-13T13:54:20"/>
    <s v=""/>
    <s v=""/>
    <s v="Electronic Field Ticket Issue"/>
    <s v=""/>
  </r>
  <r>
    <s v="590390"/>
    <s v="Bay Ltd"/>
    <x v="7"/>
    <s v="Francisco Chavez III"/>
    <s v="James Compton"/>
    <s v="REMOVE PIPE FOR REPAIRS/CLEANING AND THEN PUT BACK IN PLACE."/>
    <s v="5051049"/>
    <s v="Upstream"/>
    <s v="154435"/>
    <s v="USD"/>
    <n v="1750"/>
    <s v="Direct Entry"/>
    <s v="1"/>
    <s v=""/>
    <s v="50 ton Crane"/>
    <s v=""/>
    <d v="2025-10-01T09:36:28"/>
    <d v="2025-09-09T13:00:00"/>
    <d v="2025-09-09T19:00:00"/>
    <s v=""/>
    <s v="HOLCOMB 39-40/68-41 BATTERY"/>
    <s v=""/>
    <s v=""/>
    <s v=""/>
    <s v=""/>
    <s v=""/>
    <s v=""/>
    <s v=""/>
    <s v=""/>
    <s v=""/>
    <s v=""/>
    <s v=""/>
    <s v=""/>
    <s v=""/>
    <s v=""/>
    <s v=""/>
    <s v=""/>
    <s v=""/>
    <s v=""/>
    <s v=""/>
    <s v=""/>
    <s v=""/>
    <s v=""/>
    <s v="Equipment"/>
    <s v=""/>
    <s v=""/>
    <s v="10108"/>
    <s v="8300108700"/>
    <s v="HOLCOMB 39-40/68-41 BATTERY"/>
    <s v="Upstream"/>
    <s v="1046"/>
    <s v=""/>
    <s v=""/>
    <s v=""/>
    <s v=""/>
    <s v=""/>
    <s v=""/>
    <s v=""/>
    <n v="6"/>
    <s v="HR"/>
    <n v="275"/>
    <s v=""/>
    <n v="1650"/>
    <s v="Pricebook"/>
    <s v="703740"/>
    <d v="2025-10-09T14:12:54"/>
    <s v=""/>
    <s v=""/>
    <s v="Validation GPS Detail | Validation GPS Detail"/>
    <s v=""/>
  </r>
  <r>
    <s v="211467"/>
    <s v="Basin Trucking LLC"/>
    <x v="1"/>
    <s v="Francisco Chavez III"/>
    <s v="James Compton"/>
    <s v="Drove to Jett then to location had made out 2&quot; line on the water inlet cleaned up around location cleaned drove to the next job."/>
    <s v="5051049"/>
    <s v="Upstream"/>
    <s v="162886"/>
    <s v="USD"/>
    <n v="772.5"/>
    <s v="Direct Entry"/>
    <s v="1"/>
    <s v="3 Man Crew"/>
    <s v="3 Man Crew"/>
    <s v="Roustabout Crew"/>
    <d v="2025-10-04T10:41:09"/>
    <d v="2025-09-24T06:15:00"/>
    <d v="2025-09-24T09:30:00"/>
    <s v=""/>
    <s v="McKaskle 3"/>
    <s v=""/>
    <s v=""/>
    <s v=""/>
    <s v=""/>
    <s v=""/>
    <s v=""/>
    <s v=""/>
    <s v=""/>
    <s v=""/>
    <s v=""/>
    <s v=""/>
    <s v=""/>
    <s v=""/>
    <s v=""/>
    <s v=""/>
    <s v=""/>
    <s v=""/>
    <s v=""/>
    <s v=""/>
    <s v=""/>
    <s v=""/>
    <s v=""/>
    <s v="Labor"/>
    <s v=""/>
    <s v=""/>
    <s v=""/>
    <s v="8300124800"/>
    <s v="MCKASKLE 3 BATTERY"/>
    <s v="Upstream"/>
    <s v="1046"/>
    <s v=""/>
    <s v=""/>
    <s v=""/>
    <s v=""/>
    <s v=""/>
    <s v=""/>
    <s v=""/>
    <n v="3.25"/>
    <s v="HR"/>
    <n v="130"/>
    <s v=""/>
    <n v="422.5"/>
    <s v="--multiple--"/>
    <s v="703517"/>
    <d v="2025-10-08T10:56:07"/>
    <s v=""/>
    <s v=""/>
    <s v="Validation Overlapping Hours | Validation Overlapping Hours"/>
    <s v=""/>
  </r>
  <r>
    <s v="396602"/>
    <s v="Tommy White Supply Company, Inc."/>
    <x v="3"/>
    <s v="Francisco Chavez III"/>
    <s v="James Compton"/>
    <s v="DEGREASER"/>
    <s v="5051049"/>
    <s v="Upstream"/>
    <s v="166516"/>
    <s v="USD"/>
    <n v="85.5"/>
    <s v="Direct Entry"/>
    <s v="1"/>
    <s v="PRODUCT"/>
    <s v="DEGREASER &quot;HOTTER-N-HELL&quot;"/>
    <s v=""/>
    <d v="2025-10-09T15:27:36"/>
    <d v="2025-10-03T00:00:00"/>
    <d v="2025-10-03T00:00:00"/>
    <s v=""/>
    <s v="HOLCOMB 39-40/68-41 BATTERY"/>
    <s v=""/>
    <s v=""/>
    <s v=""/>
    <s v=""/>
    <s v=""/>
    <s v=""/>
    <s v=""/>
    <s v=""/>
    <s v=""/>
    <s v=""/>
    <s v=""/>
    <s v=""/>
    <s v=""/>
    <s v=""/>
    <s v=""/>
    <s v=""/>
    <s v=""/>
    <s v=""/>
    <s v=""/>
    <s v=""/>
    <s v=""/>
    <s v=""/>
    <s v="Material"/>
    <s v=""/>
    <s v=""/>
    <s v=""/>
    <s v="8300108700"/>
    <s v="HOLCOMB 39-40/68-41 BATTERY"/>
    <s v="Upstream"/>
    <s v="1046"/>
    <s v=""/>
    <s v=""/>
    <s v=""/>
    <s v=""/>
    <s v=""/>
    <s v=""/>
    <s v=""/>
    <n v="1"/>
    <s v="EA"/>
    <n v="85.5"/>
    <s v=""/>
    <n v="85.5"/>
    <s v=""/>
    <s v="706526"/>
    <d v="2025-10-13T11:54:53"/>
    <s v=""/>
    <s v=""/>
    <s v="Attachment Issue"/>
    <s v=""/>
  </r>
  <r>
    <s v="211487"/>
    <s v="Basin Trucking LLC"/>
    <x v="3"/>
    <s v="Francisco Chavez III"/>
    <s v="James Compton"/>
    <s v="Drove to location cleaned up around tanks picked up junk"/>
    <s v="5051027"/>
    <s v="Upstream"/>
    <s v="166516"/>
    <s v="USD"/>
    <n v="910"/>
    <s v="Direct Entry"/>
    <s v="1"/>
    <s v="3 Man Crew"/>
    <s v="3 Man Crew"/>
    <s v="Roustabout Crew"/>
    <d v="2025-10-09T15:08:23"/>
    <d v="2025-10-03T06:15:00"/>
    <d v="2025-10-03T13:15:00"/>
    <s v=""/>
    <s v="HOLCOMB 39-40/68-41 BATTERY"/>
    <s v=""/>
    <s v=""/>
    <s v=""/>
    <s v=""/>
    <s v=""/>
    <s v=""/>
    <s v=""/>
    <s v=""/>
    <s v=""/>
    <s v=""/>
    <s v=""/>
    <s v=""/>
    <s v=""/>
    <s v=""/>
    <s v=""/>
    <s v=""/>
    <s v=""/>
    <s v=""/>
    <s v=""/>
    <s v=""/>
    <s v=""/>
    <s v=""/>
    <s v="Labor"/>
    <s v=""/>
    <s v=""/>
    <s v=""/>
    <s v="8300108700"/>
    <s v="HOLCOMB 39-40/68-41 BATTERY"/>
    <s v="Upstream"/>
    <s v="1046"/>
    <s v=""/>
    <s v=""/>
    <s v=""/>
    <s v=""/>
    <s v=""/>
    <s v=""/>
    <s v=""/>
    <n v="7"/>
    <s v="HR"/>
    <n v="130"/>
    <s v=""/>
    <n v="910"/>
    <s v="--multiple--"/>
    <s v="703517"/>
    <d v="2025-10-09T15:09:27"/>
    <s v=""/>
    <s v=""/>
    <s v=""/>
    <s v=""/>
  </r>
  <r>
    <s v="211500"/>
    <s v="Basin Trucking LLC"/>
    <x v="6"/>
    <s v="Francisco Chavez III"/>
    <s v="James Compton"/>
    <s v="Drove to the supply store picked up parts and drove to location and changed 2&quot; turbine meter from the water line of the vessel and made sure everything was correct."/>
    <s v="5051049"/>
    <s v="Upstream"/>
    <s v="159645"/>
    <s v="USD"/>
    <n v="1040"/>
    <s v="Direct Entry"/>
    <s v="1"/>
    <s v="3 Man Crew"/>
    <s v="3 Man Crew"/>
    <s v="Roustabout Crew"/>
    <d v="2025-10-13T12:02:50"/>
    <d v="2025-10-06T06:15:00"/>
    <d v="2025-10-06T14:15:00"/>
    <s v=""/>
    <s v="LIBERTY BELLE 23-18 1 BATTERY"/>
    <s v=""/>
    <s v=""/>
    <s v=""/>
    <s v=""/>
    <s v=""/>
    <s v=""/>
    <s v=""/>
    <s v=""/>
    <s v=""/>
    <s v=""/>
    <s v=""/>
    <s v=""/>
    <s v=""/>
    <s v=""/>
    <s v=""/>
    <s v=""/>
    <s v=""/>
    <s v=""/>
    <s v=""/>
    <s v=""/>
    <s v=""/>
    <s v=""/>
    <s v="Labor"/>
    <s v=""/>
    <s v=""/>
    <s v=""/>
    <s v="8300173500"/>
    <s v="LIBERTY BELLE 23-18 1 BATTERY"/>
    <s v="Upstream"/>
    <s v="1046"/>
    <s v=""/>
    <s v=""/>
    <s v=""/>
    <s v=""/>
    <s v=""/>
    <s v=""/>
    <s v=""/>
    <n v="8"/>
    <s v="HR"/>
    <n v="130"/>
    <s v=""/>
    <n v="1040"/>
    <s v="--multiple--"/>
    <s v="703517"/>
    <d v="2025-10-13T12:03:44"/>
    <s v=""/>
    <s v=""/>
    <s v=""/>
    <s v=""/>
  </r>
  <r>
    <s v="211549"/>
    <s v="Basin Trucking LLC"/>
    <x v="7"/>
    <s v="Francisco Chavez III"/>
    <s v="James Compton"/>
    <s v="Delivered forklift at the location to be ready for use."/>
    <s v="5051049"/>
    <s v="Upstream"/>
    <s v="168698"/>
    <s v="USD"/>
    <n v="487.5"/>
    <s v="Direct Entry"/>
    <s v="1"/>
    <s v="lowboy"/>
    <s v="Lowboy"/>
    <s v="freight"/>
    <d v="2025-10-13T10:27:08"/>
    <d v="2025-10-06T06:45:00"/>
    <d v="2025-10-06T10:00:00"/>
    <s v=""/>
    <s v="WILLIAMS 9 1-2"/>
    <s v=""/>
    <s v=""/>
    <s v=""/>
    <s v=""/>
    <s v=""/>
    <s v=""/>
    <s v=""/>
    <s v=""/>
    <s v=""/>
    <s v=""/>
    <s v=""/>
    <s v=""/>
    <s v=""/>
    <s v=""/>
    <s v=""/>
    <s v=""/>
    <s v=""/>
    <s v=""/>
    <s v=""/>
    <s v=""/>
    <s v=""/>
    <s v=""/>
    <s v="Equipment"/>
    <s v=""/>
    <s v=""/>
    <s v=""/>
    <s v="1001301800"/>
    <s v="WILLIAMS 9 1-2"/>
    <s v="Upstream"/>
    <s v="1046"/>
    <s v=""/>
    <s v=""/>
    <s v=""/>
    <s v=""/>
    <s v=""/>
    <s v=""/>
    <s v=""/>
    <n v="3.25"/>
    <s v="HR"/>
    <n v="150"/>
    <s v=""/>
    <n v="487.5"/>
    <s v="--multiple--"/>
    <s v="703517"/>
    <d v="2025-10-13T10:47:04"/>
    <s v=""/>
    <s v=""/>
    <s v=""/>
    <s v=""/>
  </r>
  <r>
    <s v="213601"/>
    <s v="Basin Trucking LLC"/>
    <x v="7"/>
    <s v="Francisco Chavez III"/>
    <s v="James Compton"/>
    <s v="Drove to location inspected the pump unit was off and used the forklift to remove the belt guard and put new belts turn on the pump unit we made sure work correctly"/>
    <s v="5051035"/>
    <s v="Upstream"/>
    <s v="168698"/>
    <s v="USD"/>
    <n v="515"/>
    <s v="Direct Entry"/>
    <s v="1"/>
    <s v="3 Man Crew"/>
    <s v="3 Man Crew"/>
    <s v="Roustabout Crew"/>
    <d v="2025-10-13T10:00:24"/>
    <d v="2025-10-06T14:15:00"/>
    <d v="2025-10-06T15:45:00"/>
    <s v=""/>
    <s v="WILLIAMS 9 1-2"/>
    <s v=""/>
    <s v=""/>
    <s v=""/>
    <s v=""/>
    <s v=""/>
    <s v=""/>
    <s v=""/>
    <s v=""/>
    <s v=""/>
    <s v=""/>
    <s v=""/>
    <s v=""/>
    <s v=""/>
    <s v=""/>
    <s v=""/>
    <s v=""/>
    <s v=""/>
    <s v=""/>
    <s v=""/>
    <s v=""/>
    <s v=""/>
    <s v=""/>
    <s v="Labor"/>
    <s v=""/>
    <s v=""/>
    <s v=""/>
    <s v="1001301800"/>
    <s v="WILLIAMS 9 1-2"/>
    <s v="Upstream"/>
    <s v="1046"/>
    <s v=""/>
    <s v=""/>
    <s v=""/>
    <s v=""/>
    <s v=""/>
    <s v=""/>
    <s v=""/>
    <n v="1.5"/>
    <s v="HR"/>
    <n v="130"/>
    <s v=""/>
    <n v="195"/>
    <s v="--multiple--"/>
    <s v="703517"/>
    <d v="2025-10-13T10:01:40"/>
    <s v=""/>
    <s v=""/>
    <s v=""/>
    <s v=""/>
  </r>
  <r>
    <s v="305937"/>
    <s v="JTA SERVICE LLC"/>
    <x v="4"/>
    <s v="Francisco Chavez III"/>
    <s v="James Compton"/>
    <s v="Vacuum truck service- Drove to hauling 70bbls of fresh water to be used for tank washout."/>
    <s v="5051049"/>
    <s v="Upstream"/>
    <s v="169639"/>
    <s v="USD"/>
    <n v="558.5"/>
    <s v="Direct Entry"/>
    <s v="1"/>
    <s v="Vacuum Truck"/>
    <s v="Vacuum Truck"/>
    <s v=""/>
    <d v="2025-10-09T12:50:17"/>
    <d v="2025-10-08T06:15:00"/>
    <d v="2025-10-08T12:00:00"/>
    <d v="1899-12-30T05:45:00"/>
    <s v="Airstrip Battery"/>
    <s v=""/>
    <s v=""/>
    <s v="70bbls"/>
    <s v=""/>
    <s v=""/>
    <s v=""/>
    <s v=""/>
    <s v=""/>
    <s v=""/>
    <s v=""/>
    <s v=""/>
    <s v=""/>
    <s v=""/>
    <s v=""/>
    <s v=""/>
    <s v=""/>
    <s v=""/>
    <s v=""/>
    <s v=""/>
    <s v=""/>
    <n v="70"/>
    <s v="bbl"/>
    <s v=""/>
    <s v=""/>
    <s v=""/>
    <s v=""/>
    <s v="8000108400"/>
    <s v="AIRSTRIP BATTERY"/>
    <s v="Upstream"/>
    <s v="1046"/>
    <s v=""/>
    <s v=""/>
    <s v=""/>
    <s v=""/>
    <s v=""/>
    <s v=""/>
    <s v="Other"/>
    <n v="5.75"/>
    <s v="HR"/>
    <n v="88"/>
    <s v=""/>
    <n v="506"/>
    <s v="Pricebook"/>
    <s v="708067"/>
    <d v="2025-10-09T12:56:42"/>
    <s v=""/>
    <s v=""/>
    <s v=""/>
    <s v=""/>
  </r>
  <r>
    <s v="306519"/>
    <s v="JTA SERVICE LLC"/>
    <x v="3"/>
    <s v="Francisco Chavez III"/>
    <s v="James Compton"/>
    <s v="Roustabout work- Drove to part's store and loaded up supplies needed.  Replaced 2 lines from circulation pump to oil tank #1.  Also replaced nipple 90, and unions.  Cleaned up work area."/>
    <s v="5051049"/>
    <s v="Upstream"/>
    <s v="170010"/>
    <s v="USD"/>
    <n v="937.5"/>
    <s v="Direct Entry"/>
    <s v="1"/>
    <s v="Roustabout-3"/>
    <s v="Roustabout 3 man crew"/>
    <s v=""/>
    <d v="2025-10-09T11:59:29"/>
    <d v="2025-10-08T06:30:00"/>
    <d v="2025-10-08T14:00:00"/>
    <s v=""/>
    <s v=""/>
    <s v=""/>
    <s v=""/>
    <s v=""/>
    <s v=""/>
    <s v=""/>
    <s v=""/>
    <s v=""/>
    <s v=""/>
    <s v=""/>
    <s v=""/>
    <s v=""/>
    <s v=""/>
    <s v=""/>
    <s v=""/>
    <s v=""/>
    <s v=""/>
    <s v=""/>
    <s v=""/>
    <s v=""/>
    <s v=""/>
    <s v=""/>
    <s v=""/>
    <s v="Labor"/>
    <s v=""/>
    <s v=""/>
    <s v=""/>
    <s v="8300120200"/>
    <s v="LIBERTY DYER 42 BATTERY"/>
    <s v="Upstream"/>
    <s v="1046"/>
    <s v=""/>
    <s v=""/>
    <s v=""/>
    <s v=""/>
    <s v=""/>
    <s v=""/>
    <s v=""/>
    <n v="7.5"/>
    <s v="HR"/>
    <n v="125"/>
    <s v=""/>
    <n v="937.5"/>
    <s v="Pricebook"/>
    <s v="708067"/>
    <d v="2025-10-13T09:15:24"/>
    <s v=""/>
    <s v=""/>
    <s v="Attachment Issue"/>
    <s v=""/>
  </r>
  <r>
    <s v="OP0000124849"/>
    <s v="Odessa Pumps &amp; Equipment, Inc."/>
    <x v="1"/>
    <s v="Missael Silva"/>
    <s v="James Compton"/>
    <s v="LEASE: PRUDIE 9 1 BATTERY_x000a_COST CODE: 8300140100_x000a_FOREMAN: BOBBY COMPTON_x000a_O/B: MISSAEL SILVA_x000a_REQUISITIONER: MSRODRIGUEZ@DIAMONDBACKENERGY.COM"/>
    <s v="5051049"/>
    <s v="Upstream"/>
    <s v=""/>
    <s v="USD"/>
    <n v="920.9"/>
    <s v="Direct Entry"/>
    <s v="1"/>
    <s v="PRODUCT"/>
    <s v="IMPELLER, 1.5X1-62 CD4MCU"/>
    <s v=""/>
    <d v="2025-09-16T10:06:03"/>
    <d v="2025-09-03T00:00:00"/>
    <d v="2025-09-03T00:00:00"/>
    <s v=""/>
    <s v="PRUDIE 9 1 BATTERY"/>
    <s v=""/>
    <s v=""/>
    <s v=""/>
    <s v=""/>
    <s v=""/>
    <s v=""/>
    <s v=""/>
    <s v=""/>
    <s v=""/>
    <s v=""/>
    <s v=""/>
    <s v=""/>
    <s v=""/>
    <s v=""/>
    <s v=""/>
    <s v=""/>
    <s v=""/>
    <s v=""/>
    <s v=""/>
    <s v=""/>
    <s v=""/>
    <s v=""/>
    <s v="Material"/>
    <s v=""/>
    <s v=""/>
    <s v=""/>
    <s v="8300140100"/>
    <s v="PRUDIE 9 1 BATTERY"/>
    <s v="Upstream"/>
    <s v="1046"/>
    <s v=""/>
    <s v=""/>
    <s v=""/>
    <s v=""/>
    <s v=""/>
    <s v=""/>
    <s v=""/>
    <n v="1"/>
    <s v="EA"/>
    <n v="850"/>
    <s v=""/>
    <n v="850"/>
    <s v="--multiple--"/>
    <s v="708737"/>
    <d v="2025-10-07T13:34:51"/>
    <s v=""/>
    <s v=""/>
    <s v="Electronic Field Ticket Issue | Electronic Field Ticket Issue"/>
    <s v=""/>
  </r>
  <r>
    <s v="306510"/>
    <s v="JTA SERVICE LLC"/>
    <x v="1"/>
    <s v="Paden Black"/>
    <s v="James Compton"/>
    <s v="Drove to location to clean and grease gaskets on thief hatches.  Cleaned up work area."/>
    <s v="5051064"/>
    <s v="Upstream"/>
    <s v="164468"/>
    <s v="USD"/>
    <n v="375"/>
    <s v="Direct Entry"/>
    <s v="1"/>
    <s v="Thief hatch 1-6"/>
    <s v="Regular maintenance on 1-6 thief hatches"/>
    <s v=""/>
    <d v="2025-10-07T11:23:37"/>
    <d v="2025-10-06T09:15:00"/>
    <d v="2025-10-06T10:15:00"/>
    <s v=""/>
    <s v=""/>
    <s v=""/>
    <s v=""/>
    <s v=""/>
    <s v=""/>
    <s v=""/>
    <s v=""/>
    <s v=""/>
    <s v=""/>
    <s v=""/>
    <s v=""/>
    <s v=""/>
    <s v=""/>
    <s v=""/>
    <s v=""/>
    <s v=""/>
    <s v=""/>
    <s v=""/>
    <s v=""/>
    <s v=""/>
    <s v=""/>
    <s v=""/>
    <s v=""/>
    <s v="Labor"/>
    <s v=""/>
    <s v=""/>
    <s v=""/>
    <s v="8300109100"/>
    <s v="HOLCOMB 67 BATTERY"/>
    <s v="Upstream"/>
    <s v="1046"/>
    <s v=""/>
    <s v=""/>
    <s v=""/>
    <s v=""/>
    <s v=""/>
    <s v=""/>
    <s v=""/>
    <n v="1"/>
    <s v="EA"/>
    <n v="375"/>
    <s v=""/>
    <n v="375"/>
    <s v="Pricebook"/>
    <s v="708067"/>
    <d v="2025-10-07T11:26:23"/>
    <s v=""/>
    <s v=""/>
    <s v=""/>
    <s v=""/>
  </r>
  <r>
    <s v="PM00279"/>
    <s v="Onit Energy Solutions"/>
    <x v="1"/>
    <s v="Paden Black"/>
    <s v="James Compton"/>
    <s v="Flare/Arrester PM"/>
    <s v="5051064"/>
    <s v="Upstream"/>
    <s v="153480"/>
    <s v="USD"/>
    <n v="3000"/>
    <s v="Direct Entry"/>
    <s v="1"/>
    <s v="OES-SFA-PM-1"/>
    <s v="1.5&quot; - 4&quot; ARRESTER PM RATE #1"/>
    <s v=""/>
    <d v="2025-10-07T11:52:32"/>
    <d v="2025-10-07T07:00:00"/>
    <d v="2025-10-07T12:00:00"/>
    <s v=""/>
    <s v="HUNTER 33-26 UNIT 2 BATTERY"/>
    <s v=""/>
    <s v=""/>
    <s v=""/>
    <s v=""/>
    <s v=""/>
    <s v=""/>
    <s v=""/>
    <s v=""/>
    <s v=""/>
    <s v=""/>
    <s v=""/>
    <s v=""/>
    <s v=""/>
    <s v=""/>
    <s v=""/>
    <s v=""/>
    <s v=""/>
    <s v=""/>
    <s v=""/>
    <s v=""/>
    <s v=""/>
    <s v=""/>
    <s v="Labor"/>
    <s v=""/>
    <s v=""/>
    <s v=""/>
    <s v="8300112900"/>
    <s v="HUNTER 33-26 UNIT 2 BATTERY"/>
    <s v="Upstream"/>
    <s v="1046"/>
    <s v=""/>
    <s v=""/>
    <s v=""/>
    <s v=""/>
    <s v=""/>
    <s v=""/>
    <s v=""/>
    <n v="1"/>
    <s v="EA"/>
    <n v="800"/>
    <s v=""/>
    <n v="800"/>
    <s v="Pricebook"/>
    <s v="712949"/>
    <d v="2025-10-07T11:54:58"/>
    <s v=""/>
    <s v=""/>
    <s v=""/>
    <s v=""/>
  </r>
  <r>
    <s v="207053"/>
    <s v="Double D Supply Inc"/>
    <x v="12"/>
    <s v="Israel De La Cruz"/>
    <s v="Dalton Gray"/>
    <s v="RETAIL SUPPLIES"/>
    <s v="5051023"/>
    <s v="Upstream"/>
    <s v="162974"/>
    <s v="USD"/>
    <n v="175.88"/>
    <s v="Direct Entry"/>
    <s v="1"/>
    <s v="line pipe:2lp"/>
    <s v="2&quot; x 25' API line pipe"/>
    <s v=""/>
    <d v="2025-10-02T09:51:51"/>
    <d v="2025-09-22T12:00:00"/>
    <d v="2025-09-22T12:00:00"/>
    <s v=""/>
    <s v="CALVERLEY 4 BATTERY"/>
    <s v=""/>
    <s v=""/>
    <s v=""/>
    <s v=""/>
    <s v=""/>
    <s v=""/>
    <s v=""/>
    <s v=""/>
    <s v=""/>
    <s v=""/>
    <s v=""/>
    <s v=""/>
    <s v=""/>
    <s v=""/>
    <s v=""/>
    <s v=""/>
    <s v=""/>
    <s v=""/>
    <s v=""/>
    <s v=""/>
    <s v=""/>
    <s v=""/>
    <s v="Equipment"/>
    <s v=""/>
    <s v=""/>
    <s v=""/>
    <s v="8000061600"/>
    <s v="CALVERLEY 4 BATTERY"/>
    <s v="Upstream"/>
    <s v="1046"/>
    <s v=""/>
    <s v=""/>
    <s v=""/>
    <s v=""/>
    <s v=""/>
    <s v=""/>
    <s v=""/>
    <n v="1"/>
    <s v="EA"/>
    <n v="149.26"/>
    <s v=""/>
    <n v="149.26"/>
    <s v=""/>
    <s v="703999"/>
    <d v="2025-10-02T09:54:02"/>
    <s v=""/>
    <s v=""/>
    <s v=""/>
    <s v=""/>
  </r>
  <r>
    <s v="285700"/>
    <s v="Cowboy Pump &amp; Supply"/>
    <x v="7"/>
    <s v="Shannon Turner Jr."/>
    <s v="James Compton"/>
    <s v="PARTS DELIVERED"/>
    <s v="5051049"/>
    <s v="Upstream"/>
    <s v=""/>
    <s v="USD"/>
    <n v="23.4"/>
    <s v="Direct Entry"/>
    <s v="1"/>
    <s v="68-3CVCLAPSEALV"/>
    <s v="3&quot; CLAPPER O-RING VITON"/>
    <s v="VALVE PARTS AND VALVES"/>
    <d v="2025-10-09T14:43:06"/>
    <d v="2025-06-03T00:00:00"/>
    <d v="2025-06-03T00:00:00"/>
    <s v=""/>
    <s v=""/>
    <s v=""/>
    <s v=""/>
    <s v=""/>
    <s v=""/>
    <s v=""/>
    <s v=""/>
    <s v=""/>
    <s v=""/>
    <s v=""/>
    <s v=""/>
    <s v=""/>
    <s v=""/>
    <s v=""/>
    <s v=""/>
    <s v=""/>
    <s v=""/>
    <s v=""/>
    <s v=""/>
    <s v=""/>
    <s v=""/>
    <s v=""/>
    <s v=""/>
    <s v="Material"/>
    <s v=""/>
    <s v=""/>
    <s v=""/>
    <s v="1000746100"/>
    <s v="VANDENBERG EAST 12-24 UNIT 5WA"/>
    <s v="Upstream"/>
    <s v="1046"/>
    <s v=""/>
    <s v=""/>
    <s v=""/>
    <s v=""/>
    <s v=""/>
    <s v=""/>
    <s v=""/>
    <n v="1"/>
    <s v="EA"/>
    <n v="23.4"/>
    <s v=""/>
    <n v="23.4"/>
    <s v="E-Maintenance"/>
    <s v="703921"/>
    <d v="2025-10-09T14:45:38"/>
    <s v=""/>
    <s v=""/>
    <s v=""/>
    <s v=""/>
  </r>
  <r>
    <s v="285701"/>
    <s v="Cowboy Pump &amp; Supply"/>
    <x v="7"/>
    <s v="Shannon Turner Jr."/>
    <s v="James Compton"/>
    <s v="PARTS DELIVERED"/>
    <s v="5051049"/>
    <s v="Upstream"/>
    <s v=""/>
    <s v="USD"/>
    <n v="23.4"/>
    <s v="Direct Entry"/>
    <s v="1"/>
    <s v="68-3CVCLAPSEALV"/>
    <s v="3&quot; CLAPPER O-RING VITON"/>
    <s v="VALVE PARTS AND VALVES"/>
    <d v="2025-10-09T14:46:52"/>
    <d v="2025-06-03T00:00:00"/>
    <d v="2025-06-03T00:00:00"/>
    <s v=""/>
    <s v=""/>
    <s v=""/>
    <s v=""/>
    <s v=""/>
    <s v=""/>
    <s v=""/>
    <s v=""/>
    <s v=""/>
    <s v=""/>
    <s v=""/>
    <s v=""/>
    <s v=""/>
    <s v=""/>
    <s v=""/>
    <s v=""/>
    <s v=""/>
    <s v=""/>
    <s v=""/>
    <s v=""/>
    <s v=""/>
    <s v=""/>
    <s v=""/>
    <s v=""/>
    <s v="Material"/>
    <s v=""/>
    <s v=""/>
    <s v=""/>
    <s v="1000746200"/>
    <s v="VANDENBERG EAST 12-24 UNIT 5WB"/>
    <s v="Upstream"/>
    <s v="1046"/>
    <s v=""/>
    <s v=""/>
    <s v=""/>
    <s v=""/>
    <s v=""/>
    <s v=""/>
    <s v=""/>
    <n v="1"/>
    <s v="EA"/>
    <n v="23.4"/>
    <s v=""/>
    <n v="23.4"/>
    <s v="E-Maintenance"/>
    <s v="703921"/>
    <d v="2025-10-09T15:04:54"/>
    <s v=""/>
    <s v=""/>
    <s v=""/>
    <s v=""/>
  </r>
  <r>
    <s v="285702"/>
    <s v="Cowboy Pump &amp; Supply"/>
    <x v="7"/>
    <s v="Shannon Turner Jr."/>
    <s v="James Compton"/>
    <s v="PARTS DELIVERED"/>
    <s v="5051049"/>
    <s v="Upstream"/>
    <s v=""/>
    <s v="USD"/>
    <n v="23.4"/>
    <s v="Direct Entry"/>
    <s v="1"/>
    <s v="68-3CVCLAPSEALV"/>
    <s v="3&quot; CLAPPER O-RING VITON"/>
    <s v="VALVE PARTS AND VALVES"/>
    <d v="2025-10-09T15:05:46"/>
    <d v="2025-06-03T00:00:00"/>
    <d v="2025-06-03T00:00:00"/>
    <s v=""/>
    <s v=""/>
    <s v=""/>
    <s v=""/>
    <s v=""/>
    <s v=""/>
    <s v=""/>
    <s v=""/>
    <s v=""/>
    <s v=""/>
    <s v=""/>
    <s v=""/>
    <s v=""/>
    <s v=""/>
    <s v=""/>
    <s v=""/>
    <s v=""/>
    <s v=""/>
    <s v=""/>
    <s v=""/>
    <s v=""/>
    <s v=""/>
    <s v=""/>
    <s v=""/>
    <s v="Material"/>
    <s v=""/>
    <s v=""/>
    <s v=""/>
    <s v="1000745900"/>
    <s v="VANDENBERG EAST 12-24 UNIT 5LS"/>
    <s v="Upstream"/>
    <s v="1046"/>
    <s v=""/>
    <s v=""/>
    <s v=""/>
    <s v=""/>
    <s v=""/>
    <s v=""/>
    <s v=""/>
    <n v="1"/>
    <s v="EA"/>
    <n v="23.4"/>
    <s v=""/>
    <n v="23.4"/>
    <s v="E-Maintenance"/>
    <s v="703921"/>
    <d v="2025-10-09T15:07:17"/>
    <s v=""/>
    <s v=""/>
    <s v=""/>
    <s v=""/>
  </r>
  <r>
    <s v="285704"/>
    <s v="Cowboy Pump &amp; Supply"/>
    <x v="7"/>
    <s v="Shannon Turner Jr."/>
    <s v="James Compton"/>
    <s v="PARTS DELIVERED"/>
    <s v="5051049"/>
    <s v="Upstream"/>
    <s v=""/>
    <s v="USD"/>
    <n v="23.4"/>
    <s v="Direct Entry"/>
    <s v="1"/>
    <s v="68-3CVCLAPSEALV"/>
    <s v="3&quot; CLAPPER O-RING VITON"/>
    <s v="VALVE PARTS AND VALVES"/>
    <d v="2025-10-09T15:08:06"/>
    <d v="2025-06-03T00:00:00"/>
    <d v="2025-06-03T00:00:00"/>
    <s v=""/>
    <s v=""/>
    <s v=""/>
    <s v=""/>
    <s v=""/>
    <s v=""/>
    <s v=""/>
    <s v=""/>
    <s v=""/>
    <s v=""/>
    <s v=""/>
    <s v=""/>
    <s v=""/>
    <s v=""/>
    <s v=""/>
    <s v=""/>
    <s v=""/>
    <s v=""/>
    <s v=""/>
    <s v=""/>
    <s v=""/>
    <s v=""/>
    <s v=""/>
    <s v=""/>
    <s v="Material"/>
    <s v=""/>
    <s v=""/>
    <s v=""/>
    <s v="1000746300"/>
    <s v="VANDENBERG EAST 12-24 UNIT 6MS"/>
    <s v="Upstream"/>
    <s v="1046"/>
    <s v=""/>
    <s v=""/>
    <s v=""/>
    <s v=""/>
    <s v=""/>
    <s v=""/>
    <s v=""/>
    <n v="1"/>
    <s v="EA"/>
    <n v="23.4"/>
    <s v=""/>
    <n v="23.4"/>
    <s v="E-Maintenance"/>
    <s v="703921"/>
    <d v="2025-10-09T15:09:52"/>
    <s v=""/>
    <s v=""/>
    <s v=""/>
    <s v=""/>
  </r>
  <r>
    <s v="285696"/>
    <s v="Cowboy Pump &amp; Supply"/>
    <x v="7"/>
    <s v="Shannon Turner Jr."/>
    <s v="James Compton"/>
    <s v="PARTS DELIVERED"/>
    <s v="5051049"/>
    <s v="Upstream"/>
    <s v=""/>
    <s v="USD"/>
    <n v="23.4"/>
    <s v="Direct Entry"/>
    <s v="1"/>
    <s v="68-3CVCLAPSEALV"/>
    <s v="3&quot; CLAPPER O-RING VITON"/>
    <s v="VALVE PARTS AND VALVES"/>
    <d v="2025-10-09T16:44:13"/>
    <d v="2025-06-03T00:00:00"/>
    <d v="2025-06-03T00:00:00"/>
    <s v=""/>
    <s v=""/>
    <s v=""/>
    <s v=""/>
    <s v=""/>
    <s v=""/>
    <s v=""/>
    <s v=""/>
    <s v=""/>
    <s v=""/>
    <s v=""/>
    <s v=""/>
    <s v=""/>
    <s v=""/>
    <s v=""/>
    <s v=""/>
    <s v=""/>
    <s v=""/>
    <s v=""/>
    <s v=""/>
    <s v=""/>
    <s v=""/>
    <s v=""/>
    <s v=""/>
    <s v="Material"/>
    <s v=""/>
    <s v=""/>
    <s v=""/>
    <s v="1000746000"/>
    <s v="VANDENBERG EAST 12-24 UNIT 5JM"/>
    <s v="Upstream"/>
    <s v="1046"/>
    <s v=""/>
    <s v=""/>
    <s v=""/>
    <s v=""/>
    <s v=""/>
    <s v=""/>
    <s v=""/>
    <n v="1"/>
    <s v="EA"/>
    <n v="23.4"/>
    <s v=""/>
    <n v="23.4"/>
    <s v="E-Maintenance"/>
    <s v="703921"/>
    <d v="2025-10-09T16:45:16"/>
    <s v=""/>
    <s v=""/>
    <s v=""/>
    <s v=""/>
  </r>
  <r>
    <s v="298814"/>
    <s v="Cowboy Pump &amp; Supply"/>
    <x v="7"/>
    <s v="Shannon Turner Jr."/>
    <s v="James Compton"/>
    <s v="PARTS DELIVERED"/>
    <s v="5051049"/>
    <s v="Upstream"/>
    <s v=""/>
    <s v="USD"/>
    <n v="713.02"/>
    <s v="Direct Entry"/>
    <s v="1"/>
    <s v="99-IBOMATERIALS"/>
    <s v="2&quot; BMD DUMP REPAIR KIT"/>
    <s v="PRODUCTION MAINTENANCE"/>
    <d v="2025-10-13T12:58:27"/>
    <d v="2025-08-28T00:00:00"/>
    <d v="2025-08-28T00:00:00"/>
    <s v=""/>
    <s v=""/>
    <s v=""/>
    <s v=""/>
    <s v=""/>
    <s v=""/>
    <s v=""/>
    <s v=""/>
    <s v=""/>
    <s v=""/>
    <s v=""/>
    <s v=""/>
    <s v=""/>
    <s v=""/>
    <s v=""/>
    <s v=""/>
    <s v=""/>
    <s v=""/>
    <s v=""/>
    <s v=""/>
    <s v=""/>
    <s v=""/>
    <s v=""/>
    <s v=""/>
    <s v="Material"/>
    <s v=""/>
    <s v=""/>
    <s v=""/>
    <s v="8000108700"/>
    <s v="FRANKLIN 23 BATTERY"/>
    <s v="Upstream"/>
    <s v="1046"/>
    <s v=""/>
    <s v=""/>
    <s v=""/>
    <s v=""/>
    <s v=""/>
    <s v=""/>
    <s v=""/>
    <n v="2"/>
    <s v="EA"/>
    <n v="356.51"/>
    <s v=""/>
    <n v="713.02"/>
    <s v="E-Maintenance"/>
    <s v="703921"/>
    <d v="2025-10-13T12:59:58"/>
    <s v=""/>
    <s v=""/>
    <s v=""/>
    <s v=""/>
  </r>
  <r>
    <s v="52262"/>
    <s v="Redhead Services LLC"/>
    <x v="1"/>
    <s v="Shannon Turner Jr."/>
    <s v="James Compton"/>
    <s v="Monthly Rental"/>
    <s v="5051064"/>
    <s v="Upstream"/>
    <s v=""/>
    <s v="USD"/>
    <n v="1500"/>
    <s v="B2B"/>
    <s v="1"/>
    <s v="Compressor #116"/>
    <s v="Quincy, 4125, Skid Mounted Compressor Package, Monthly Rental Fee, Unit #116"/>
    <s v=""/>
    <d v="2025-09-30T12:48:55"/>
    <d v="2025-09-01T00:00:00"/>
    <d v="2025-09-30T00:00:00"/>
    <s v=""/>
    <s v="RHEA 1-6 BATTERY"/>
    <s v=""/>
    <s v=""/>
    <s v=""/>
    <s v=""/>
    <s v=""/>
    <s v=""/>
    <s v=""/>
    <s v=""/>
    <s v=""/>
    <s v=""/>
    <s v=""/>
    <s v=""/>
    <s v=""/>
    <s v=""/>
    <s v=""/>
    <s v=""/>
    <s v=""/>
    <s v=""/>
    <s v=""/>
    <s v=""/>
    <s v=""/>
    <s v=""/>
    <s v="Equipment"/>
    <s v=""/>
    <s v=""/>
    <s v=""/>
    <s v="8300193500"/>
    <s v="RHEA 1-6 BATTERY"/>
    <s v="Upstream"/>
    <s v="1046"/>
    <s v=""/>
    <s v=""/>
    <s v=""/>
    <s v=""/>
    <s v=""/>
    <s v=""/>
    <s v="Other"/>
    <n v="1"/>
    <s v=""/>
    <n v="1500"/>
    <s v=""/>
    <n v="1500"/>
    <s v="--multiple--"/>
    <s v="709146"/>
    <d v="2025-10-08T11:40:04"/>
    <s v=""/>
    <s v=""/>
    <s v="Electronic Field Ticket Issue"/>
    <s v=""/>
  </r>
  <r>
    <s v="N14000324749"/>
    <s v="SES Holdings, LLC"/>
    <x v="4"/>
    <s v="Ishmel Mesta"/>
    <s v="Jobe Christon"/>
    <s v="GUARDIAN H BATTERY; Transfer Fluid Onsite (Water); Jobe Christon"/>
    <s v="5051057"/>
    <s v="Upstream"/>
    <s v=""/>
    <s v="USD"/>
    <n v="400"/>
    <s v=""/>
    <s v="1"/>
    <s v="10-1114HRS"/>
    <s v="TP-Transfer Oil"/>
    <s v="Transport"/>
    <d v="2025-10-03T09:47:32"/>
    <d v="2025-10-01T04:30:00"/>
    <d v="2025-10-01T08:30:00"/>
    <d v="1899-12-30T04:00:00"/>
    <s v="GUARDIAN H BATTERY"/>
    <s v=""/>
    <s v=""/>
    <s v="Oil"/>
    <s v=""/>
    <s v=""/>
    <s v=""/>
    <s v=""/>
    <n v="0"/>
    <n v="0"/>
    <n v="0"/>
    <n v="0"/>
    <s v=""/>
    <s v=""/>
    <s v=""/>
    <s v=""/>
    <s v=""/>
    <s v=""/>
    <s v=""/>
    <s v=""/>
    <s v=""/>
    <n v="100"/>
    <s v="bbl"/>
    <s v=""/>
    <s v=""/>
    <s v=""/>
    <s v=""/>
    <s v="8000301200"/>
    <s v="GUARDIAN H BATTERY"/>
    <s v="Upstream"/>
    <s v="1046"/>
    <s v=""/>
    <s v=""/>
    <s v=""/>
    <s v=""/>
    <s v=""/>
    <s v=""/>
    <s v="Other"/>
    <n v="4"/>
    <s v="HRS"/>
    <n v="100"/>
    <s v=""/>
    <n v="400"/>
    <s v="--multiple--"/>
    <s v="700224"/>
    <d v="2025-10-09T14:37:48"/>
    <s v=""/>
    <s v=""/>
    <s v="Requisitioner Error | Requisitioner Error | Requisitioner Error | Requisitioner Error"/>
    <s v=""/>
  </r>
  <r>
    <s v="301691"/>
    <s v="Cowboy Pump &amp; Supply"/>
    <x v="7"/>
    <s v="Shannon Turner Jr."/>
    <s v="James Compton"/>
    <s v="PARTS DELIVERED"/>
    <s v="5051028"/>
    <s v="Upstream"/>
    <s v=""/>
    <s v="USD"/>
    <n v="334.64"/>
    <s v="Direct Entry"/>
    <s v="1"/>
    <s v="15-XXXXXXXXXXXX"/>
    <s v="HUSKY TOOL BOX"/>
    <s v="CREDIT CARD PURCHASE"/>
    <d v="2025-10-13T13:07:02"/>
    <d v="2025-09-12T00:00:00"/>
    <d v="2025-09-12T00:00:00"/>
    <s v=""/>
    <s v=""/>
    <s v=""/>
    <s v=""/>
    <s v=""/>
    <s v=""/>
    <s v=""/>
    <s v=""/>
    <s v=""/>
    <s v=""/>
    <s v=""/>
    <s v=""/>
    <s v=""/>
    <s v=""/>
    <s v=""/>
    <s v=""/>
    <s v=""/>
    <s v=""/>
    <s v=""/>
    <s v=""/>
    <s v=""/>
    <s v=""/>
    <s v=""/>
    <s v=""/>
    <s v="Material"/>
    <s v=""/>
    <s v=""/>
    <s v=""/>
    <s v="9000001400"/>
    <s v="FRM RTE-COMPTON BOBBY"/>
    <s v="Upstream"/>
    <s v="1046"/>
    <s v=""/>
    <s v=""/>
    <s v=""/>
    <s v=""/>
    <s v=""/>
    <s v=""/>
    <s v=""/>
    <n v="2"/>
    <s v="EA"/>
    <n v="72.75"/>
    <s v=""/>
    <n v="145.5"/>
    <s v="E-Maintenance"/>
    <s v="703921"/>
    <d v="2025-10-13T13:38:17"/>
    <s v=""/>
    <s v=""/>
    <s v=""/>
    <s v=""/>
  </r>
  <r>
    <s v="N11001862663"/>
    <s v="SES Holdings, LLC"/>
    <x v="4"/>
    <s v="Ishmel Mesta"/>
    <s v="Jobe Christon"/>
    <s v="JO GREGORY BATTERY; ; Jobe Christon"/>
    <s v="5051054"/>
    <s v="Upstream"/>
    <s v=""/>
    <s v="USD"/>
    <n v="432"/>
    <s v=""/>
    <s v="1"/>
    <s v="10-1223HRS"/>
    <s v="TP-Pick-Up Production / Lease Water"/>
    <s v="Transport"/>
    <d v="2025-10-03T09:43:42"/>
    <d v="2025-10-01T13:00:00"/>
    <d v="2025-10-01T17:00:00"/>
    <d v="1899-12-30T04:00:00"/>
    <s v="JO GREGORY BATTERY"/>
    <s v="33890"/>
    <s v="Pilot Water Solutions Permian LLC"/>
    <s v="Production / Lease / Salt Water"/>
    <s v=""/>
    <s v=""/>
    <s v=""/>
    <s v=""/>
    <n v="0"/>
    <n v="0"/>
    <n v="0"/>
    <n v="0"/>
    <s v=""/>
    <s v=""/>
    <s v=""/>
    <s v=""/>
    <s v=""/>
    <s v=""/>
    <s v=""/>
    <s v=""/>
    <s v=""/>
    <n v="40"/>
    <s v="bbl"/>
    <s v=""/>
    <s v=""/>
    <s v=""/>
    <s v=""/>
    <s v="8000301100"/>
    <s v="JO GREGORY BATTERY"/>
    <s v="Upstream"/>
    <s v="1046"/>
    <s v=""/>
    <s v=""/>
    <s v=""/>
    <s v=""/>
    <s v=""/>
    <s v=""/>
    <s v="Other"/>
    <n v="4"/>
    <s v="HRS"/>
    <n v="100"/>
    <s v=""/>
    <n v="400"/>
    <s v="--multiple--"/>
    <s v="700224"/>
    <d v="2025-10-10T10:03:19"/>
    <s v=""/>
    <s v=""/>
    <s v="Requisitioner Error | Requisitioner Error | Requisitioner Error"/>
    <s v=""/>
  </r>
  <r>
    <s v="301901"/>
    <s v="Cowboy Pump &amp; Supply"/>
    <x v="7"/>
    <s v="Shannon Turner Jr."/>
    <s v="James Compton"/>
    <s v="PARTS DELIVERED"/>
    <s v="5051028"/>
    <s v="Upstream"/>
    <s v=""/>
    <s v="USD"/>
    <n v="291.70999999999998"/>
    <s v="Direct Entry"/>
    <s v="1"/>
    <s v="AS-MYSTIKHITEMP"/>
    <s v="MYSTIK JT6 HI-TEMP 14OZ TUBE"/>
    <s v="MILL SUPPLIES AND TOOLS"/>
    <d v="2025-10-13T11:44:15"/>
    <d v="2025-09-15T00:00:00"/>
    <d v="2025-09-15T00:00:00"/>
    <s v=""/>
    <s v=""/>
    <s v=""/>
    <s v=""/>
    <s v=""/>
    <s v=""/>
    <s v=""/>
    <s v=""/>
    <s v=""/>
    <s v=""/>
    <s v=""/>
    <s v=""/>
    <s v=""/>
    <s v=""/>
    <s v=""/>
    <s v=""/>
    <s v=""/>
    <s v=""/>
    <s v=""/>
    <s v=""/>
    <s v=""/>
    <s v=""/>
    <s v=""/>
    <s v=""/>
    <s v="Material"/>
    <s v=""/>
    <s v=""/>
    <s v=""/>
    <s v="8300193500"/>
    <s v="RHEA 1-6 BATTERY"/>
    <s v="Upstream"/>
    <s v="1046"/>
    <s v=""/>
    <s v=""/>
    <s v=""/>
    <s v=""/>
    <s v=""/>
    <s v=""/>
    <s v=""/>
    <n v="10"/>
    <s v="EA"/>
    <n v="5.89"/>
    <s v=""/>
    <n v="58.9"/>
    <s v="E-Maintenance"/>
    <s v="703921"/>
    <d v="2025-10-13T11:51:55"/>
    <s v=""/>
    <s v=""/>
    <s v=""/>
    <s v=""/>
  </r>
  <r>
    <s v="302012"/>
    <s v="Cowboy Pump &amp; Supply"/>
    <x v="7"/>
    <s v="Shannon Turner Jr."/>
    <s v="James Compton"/>
    <s v="PARTS DELIVERED"/>
    <s v="5051049"/>
    <s v="Upstream"/>
    <s v=""/>
    <s v="USD"/>
    <n v="1365.68"/>
    <s v="Direct Entry"/>
    <s v="1"/>
    <s v="36-TURBINEF012P"/>
    <s v="F012-P SWIVEL TURBINE METER DISPLAY"/>
    <s v="PRODUCTION MAINTENANCE"/>
    <d v="2025-10-13T11:13:07"/>
    <d v="2025-09-17T00:00:00"/>
    <d v="2025-09-17T00:00:00"/>
    <s v=""/>
    <s v=""/>
    <s v=""/>
    <s v=""/>
    <s v=""/>
    <s v=""/>
    <s v=""/>
    <s v=""/>
    <s v=""/>
    <s v=""/>
    <s v=""/>
    <s v=""/>
    <s v=""/>
    <s v=""/>
    <s v=""/>
    <s v=""/>
    <s v=""/>
    <s v=""/>
    <s v=""/>
    <s v=""/>
    <s v=""/>
    <s v=""/>
    <s v=""/>
    <s v=""/>
    <s v="Material"/>
    <s v=""/>
    <s v=""/>
    <s v=""/>
    <s v="8300190600"/>
    <s v="MCREYNOLDS 8 BATTERY"/>
    <s v="Upstream"/>
    <s v="1046"/>
    <s v=""/>
    <s v=""/>
    <s v=""/>
    <s v=""/>
    <s v=""/>
    <s v=""/>
    <s v=""/>
    <n v="1"/>
    <s v="EA"/>
    <n v="634.86"/>
    <s v=""/>
    <n v="634.86"/>
    <s v="E-Maintenance"/>
    <s v="703921"/>
    <d v="2025-10-13T11:42:48"/>
    <s v=""/>
    <s v=""/>
    <s v=""/>
    <s v=""/>
  </r>
  <r>
    <s v="302009"/>
    <s v="Cowboy Pump &amp; Supply"/>
    <x v="7"/>
    <s v="Shannon Turner Jr."/>
    <s v="James Compton"/>
    <s v="PARTS DELIVERED"/>
    <s v="5051028"/>
    <s v="Upstream"/>
    <s v=""/>
    <s v="USD"/>
    <n v="145.63"/>
    <s v="Direct Entry"/>
    <s v="1"/>
    <s v="15-XXXXXXXXXXXX"/>
    <s v="500 WATT POWER INVERTER"/>
    <s v="CREDIT CARD PURCHASE"/>
    <d v="2025-10-13T13:40:05"/>
    <d v="2025-09-17T00:00:00"/>
    <d v="2025-09-17T00:00:00"/>
    <s v=""/>
    <s v=""/>
    <s v=""/>
    <s v=""/>
    <s v=""/>
    <s v=""/>
    <s v=""/>
    <s v=""/>
    <s v=""/>
    <s v=""/>
    <s v=""/>
    <s v=""/>
    <s v=""/>
    <s v=""/>
    <s v=""/>
    <s v=""/>
    <s v=""/>
    <s v=""/>
    <s v=""/>
    <s v=""/>
    <s v=""/>
    <s v=""/>
    <s v=""/>
    <s v=""/>
    <s v="Material"/>
    <s v=""/>
    <s v=""/>
    <s v=""/>
    <s v="8300193500"/>
    <s v="RHEA 1-6 BATTERY"/>
    <s v="Upstream"/>
    <s v="1046"/>
    <s v=""/>
    <s v=""/>
    <s v=""/>
    <s v=""/>
    <s v=""/>
    <s v=""/>
    <s v=""/>
    <n v="1"/>
    <s v="EA"/>
    <n v="145.63"/>
    <s v=""/>
    <n v="145.63"/>
    <s v="E-Maintenance"/>
    <s v="703921"/>
    <d v="2025-10-13T13:45:01"/>
    <s v=""/>
    <s v=""/>
    <s v=""/>
    <s v=""/>
  </r>
  <r>
    <s v="V-55827"/>
    <s v="J&amp;R Roustabout, LLC"/>
    <x v="6"/>
    <s v="Ishmel Mesta"/>
    <s v="Jobe Christon"/>
    <s v="DROVE TO LOCATION, GAUGED TANK, PULLED 110 BBLS OF P/W TO BLUE DUCK #2 SWD, AND UNLOADED."/>
    <s v="5051054"/>
    <s v="Upstream"/>
    <s v=""/>
    <s v="USD"/>
    <n v="414.5"/>
    <s v="Direct Entry"/>
    <s v="1"/>
    <s v="VACUUM TRUCK"/>
    <s v="Vacuum Truck"/>
    <s v="VACUUM"/>
    <d v="2025-10-13T08:39:22"/>
    <d v="2025-10-10T09:15:00"/>
    <d v="2025-10-10T13:00:00"/>
    <d v="1899-12-30T03:45:00"/>
    <s v="BREEDLOVE G"/>
    <s v=""/>
    <s v=""/>
    <s v="LABOR"/>
    <s v=""/>
    <s v=""/>
    <s v=""/>
    <s v=""/>
    <s v=""/>
    <s v=""/>
    <s v=""/>
    <s v=""/>
    <s v=""/>
    <s v=""/>
    <s v=""/>
    <s v=""/>
    <s v=""/>
    <s v=""/>
    <s v=""/>
    <s v=""/>
    <s v=""/>
    <n v="0"/>
    <s v="bbl"/>
    <s v=""/>
    <s v=""/>
    <s v=""/>
    <s v=""/>
    <s v="8300176300"/>
    <s v="BREEDLOVE G BATTERY"/>
    <s v="Upstream"/>
    <s v="1046"/>
    <s v=""/>
    <s v=""/>
    <s v=""/>
    <s v=""/>
    <s v=""/>
    <s v=""/>
    <s v="Other"/>
    <n v="3.75"/>
    <s v="HR"/>
    <n v="90"/>
    <s v=""/>
    <n v="337.5"/>
    <s v="Pricebook"/>
    <s v="712950"/>
    <d v="2025-10-13T08:41:28"/>
    <s v=""/>
    <s v=""/>
    <s v=""/>
    <s v=""/>
  </r>
  <r>
    <s v="V-55828"/>
    <s v="J&amp;R Roustabout, LLC"/>
    <x v="6"/>
    <s v="Ishmel Mesta"/>
    <s v="Jobe Christon"/>
    <s v="DROVE TO LOCATION, GAUGED TANK, PULLED 110 BBLS OF P/W TO BLUE DUCK #2 SWD, AND UNLOADED."/>
    <s v="5051054"/>
    <s v="Upstream"/>
    <s v=""/>
    <s v="USD"/>
    <n v="279.5"/>
    <s v="Direct Entry"/>
    <s v="1"/>
    <s v="VACUUM TRUCK"/>
    <s v="Vacuum Truck"/>
    <s v="VACUUM"/>
    <d v="2025-10-13T08:42:17"/>
    <d v="2025-10-10T13:00:00"/>
    <d v="2025-10-10T15:15:00"/>
    <d v="1899-12-30T02:15:00"/>
    <s v="BREEDLOVE C"/>
    <s v=""/>
    <s v=""/>
    <s v="LABOR"/>
    <s v=""/>
    <s v=""/>
    <s v=""/>
    <s v=""/>
    <s v=""/>
    <s v=""/>
    <s v=""/>
    <s v=""/>
    <s v=""/>
    <s v=""/>
    <s v=""/>
    <s v=""/>
    <s v=""/>
    <s v=""/>
    <s v=""/>
    <s v=""/>
    <s v=""/>
    <n v="0"/>
    <s v="bbl"/>
    <s v=""/>
    <s v=""/>
    <s v=""/>
    <s v=""/>
    <s v="8300175900"/>
    <s v="BREEDLOVE C BATTERY"/>
    <s v="Upstream"/>
    <s v="1046"/>
    <s v=""/>
    <s v=""/>
    <s v=""/>
    <s v=""/>
    <s v=""/>
    <s v=""/>
    <s v="Other"/>
    <n v="2.25"/>
    <s v="HR"/>
    <n v="90"/>
    <s v=""/>
    <n v="202.5"/>
    <s v="Pricebook"/>
    <s v="712950"/>
    <d v="2025-10-13T08:43:55"/>
    <s v=""/>
    <s v=""/>
    <s v=""/>
    <s v=""/>
  </r>
  <r>
    <s v="77870"/>
    <s v="RTI Services, LLC"/>
    <x v="7"/>
    <s v="Shannon Turner Jr."/>
    <s v="James Compton"/>
    <s v="PRE TRIP GO TOLOCATION WITH TO WORK 9 LOADS OF CALICHE DRIVE BACK"/>
    <s v="5051027"/>
    <s v="Upstream"/>
    <s v="18699"/>
    <s v="USD"/>
    <n v="1012.5"/>
    <s v="Direct Entry"/>
    <s v="1"/>
    <s v="BELLY DUMP"/>
    <s v="BELLY DUMP"/>
    <s v="BELLY DUMP"/>
    <d v="2025-10-07T09:22:00"/>
    <d v="2025-09-25T07:00:00"/>
    <d v="2025-09-25T18:15:00"/>
    <s v=""/>
    <s v="BLOCKER 24 2"/>
    <s v=""/>
    <s v=""/>
    <s v=""/>
    <s v=""/>
    <s v=""/>
    <s v=""/>
    <s v=""/>
    <s v=""/>
    <s v=""/>
    <s v=""/>
    <s v=""/>
    <s v=""/>
    <s v=""/>
    <s v=""/>
    <s v=""/>
    <s v=""/>
    <s v=""/>
    <s v=""/>
    <s v=""/>
    <s v=""/>
    <s v=""/>
    <s v=""/>
    <s v="Equipment"/>
    <s v=""/>
    <s v=""/>
    <s v=""/>
    <s v="1001241900"/>
    <s v="BLOCKER 24 2"/>
    <s v="Upstream"/>
    <s v="1046"/>
    <s v=""/>
    <s v=""/>
    <s v=""/>
    <s v=""/>
    <s v=""/>
    <s v=""/>
    <s v=""/>
    <n v="11.25"/>
    <s v="HR"/>
    <n v="90"/>
    <s v=""/>
    <n v="1012.5"/>
    <s v="--multiple--"/>
    <s v="707090"/>
    <d v="2025-10-07T09:24:08"/>
    <s v=""/>
    <s v=""/>
    <s v=""/>
    <s v=""/>
  </r>
  <r>
    <s v="15171"/>
    <s v="RHINO POWER, LLC"/>
    <x v="5"/>
    <s v="Shannon Turner Jr."/>
    <s v="James Compton"/>
    <s v="Drove to location. Created and reviewed JHA.  Walk through jobsite._x000a_Then we started to strip all the labels and installed the connectors and CGB connectors, then we ordered a new load center and installed it and connected it to the transformer and connect all breakers"/>
    <s v="5051049"/>
    <s v="Upstream"/>
    <s v=""/>
    <s v="USD"/>
    <n v="1200"/>
    <s v="Direct Entry"/>
    <s v="1"/>
    <s v="RHINO-03"/>
    <s v="Journeyman Electrician"/>
    <s v=""/>
    <d v="2025-10-13T17:07:27"/>
    <d v="2025-09-25T07:00:00"/>
    <d v="2025-09-25T15:00:00"/>
    <s v=""/>
    <s v=""/>
    <s v=""/>
    <s v=""/>
    <s v=""/>
    <s v=""/>
    <s v=""/>
    <s v=""/>
    <s v=""/>
    <s v=""/>
    <s v=""/>
    <s v=""/>
    <s v=""/>
    <s v=""/>
    <s v=""/>
    <s v=""/>
    <s v=""/>
    <s v=""/>
    <s v=""/>
    <s v=""/>
    <s v=""/>
    <s v=""/>
    <s v=""/>
    <s v=""/>
    <s v="Labor"/>
    <s v=""/>
    <s v=""/>
    <s v=""/>
    <s v="8000108400"/>
    <s v="AIRSTRIP BATTERY"/>
    <s v="Upstream"/>
    <s v="1046"/>
    <s v=""/>
    <s v=""/>
    <s v=""/>
    <s v=""/>
    <s v=""/>
    <s v=""/>
    <s v=""/>
    <n v="8"/>
    <s v="HR"/>
    <n v="63"/>
    <s v=""/>
    <n v="504"/>
    <s v="Pricebook"/>
    <s v="713511"/>
    <d v="2025-10-13T17:10:44"/>
    <s v=""/>
    <s v=""/>
    <s v=""/>
    <s v=""/>
  </r>
  <r>
    <s v="77871"/>
    <s v="RTI Services, LLC"/>
    <x v="7"/>
    <s v="Shannon Turner Jr."/>
    <s v="James Compton"/>
    <s v="PRE TRIP GO TO LOCATION WITH BELLY &amp; LOAD TWO _x000a_DIFFERENT LOCATION"/>
    <s v="5051027"/>
    <s v="Upstream"/>
    <s v="168699"/>
    <s v="USD"/>
    <n v="990"/>
    <s v="Direct Entry"/>
    <s v="1"/>
    <s v="BELLY DUMP"/>
    <s v="BELLY DUMP"/>
    <s v="BELLY DUMP"/>
    <d v="2025-10-07T09:48:46"/>
    <d v="2025-09-26T07:30:00"/>
    <d v="2025-09-26T18:30:00"/>
    <s v=""/>
    <s v="JOEL GARCIA"/>
    <s v=""/>
    <s v=""/>
    <s v=""/>
    <s v=""/>
    <s v=""/>
    <s v=""/>
    <s v=""/>
    <s v=""/>
    <s v=""/>
    <s v=""/>
    <s v=""/>
    <s v=""/>
    <s v=""/>
    <s v=""/>
    <s v=""/>
    <s v=""/>
    <s v=""/>
    <s v=""/>
    <s v=""/>
    <s v=""/>
    <s v=""/>
    <s v=""/>
    <s v="Equipment"/>
    <s v=""/>
    <s v=""/>
    <s v=""/>
    <s v="1001241900"/>
    <s v="BLOCKER 24 2"/>
    <s v="Upstream"/>
    <s v="1046"/>
    <s v=""/>
    <s v=""/>
    <s v=""/>
    <s v=""/>
    <s v=""/>
    <s v=""/>
    <s v=""/>
    <n v="11"/>
    <s v="HR"/>
    <n v="90"/>
    <s v=""/>
    <n v="990"/>
    <s v="--multiple--"/>
    <s v="707090"/>
    <d v="2025-10-07T09:51:45"/>
    <s v=""/>
    <s v=""/>
    <s v=""/>
    <s v=""/>
  </r>
  <r>
    <s v="V-55796"/>
    <s v="J&amp;R Roustabout, LLC"/>
    <x v="6"/>
    <s v="Ishmel Mesta"/>
    <s v="Jobe Christon"/>
    <s v="DROVE TO LOCATION, GAUGED TANK, PULLED 110 BBLS OF P/W TO BLUE DUCK #2 SWD, AND UNLOADED."/>
    <s v="5051054"/>
    <s v="Upstream"/>
    <s v=""/>
    <s v="USD"/>
    <n v="257"/>
    <s v="Direct Entry"/>
    <s v="1"/>
    <s v="VACUUM TRUCK"/>
    <s v="Vacuum Truck"/>
    <s v="VACUUM"/>
    <d v="2025-10-13T09:46:55"/>
    <d v="2025-10-10T11:00:00"/>
    <d v="2025-10-10T13:00:00"/>
    <d v="1899-12-30T02:00:00"/>
    <s v="BREEDLOVE D"/>
    <s v=""/>
    <s v=""/>
    <s v="LABOR"/>
    <s v=""/>
    <s v=""/>
    <s v=""/>
    <s v=""/>
    <s v=""/>
    <s v=""/>
    <s v=""/>
    <s v=""/>
    <s v=""/>
    <s v=""/>
    <s v=""/>
    <s v=""/>
    <s v=""/>
    <s v=""/>
    <s v=""/>
    <s v=""/>
    <s v=""/>
    <n v="0"/>
    <s v="bbl"/>
    <s v=""/>
    <s v=""/>
    <s v=""/>
    <s v=""/>
    <s v="8300176000"/>
    <s v="BREEDLOVE D BATTERY"/>
    <s v="Upstream"/>
    <s v="1046"/>
    <s v=""/>
    <s v=""/>
    <s v=""/>
    <s v=""/>
    <s v=""/>
    <s v=""/>
    <s v="Other"/>
    <n v="2"/>
    <s v="HR"/>
    <n v="90"/>
    <s v=""/>
    <n v="180"/>
    <s v="Pricebook"/>
    <s v="712950"/>
    <d v="2025-10-13T09:49:05"/>
    <s v=""/>
    <s v=""/>
    <s v=""/>
    <s v=""/>
  </r>
  <r>
    <s v="V-55858"/>
    <s v="J&amp;R Roustabout, LLC"/>
    <x v="6"/>
    <s v="Ishmel Mesta"/>
    <s v="Jobe Christon"/>
    <s v="DROVE TO LOCATION AND HAULED PW TO SWD AND UNLOADED."/>
    <s v="5051054"/>
    <s v="Upstream"/>
    <s v=""/>
    <s v="USD"/>
    <n v="347"/>
    <s v="Direct Entry"/>
    <s v="1"/>
    <s v="VACUUM TRUCK"/>
    <s v="Vacuum Truck"/>
    <s v="VACUUM"/>
    <d v="2025-10-13T09:12:19"/>
    <d v="2025-10-11T12:30:00"/>
    <d v="2025-10-11T15:30:00"/>
    <d v="1899-12-30T03:00:00"/>
    <s v="BREEDLOVE G"/>
    <s v=""/>
    <s v=""/>
    <s v="LABOR"/>
    <s v=""/>
    <s v=""/>
    <s v=""/>
    <s v=""/>
    <s v=""/>
    <s v=""/>
    <s v=""/>
    <s v=""/>
    <s v=""/>
    <s v=""/>
    <s v=""/>
    <s v=""/>
    <s v=""/>
    <s v=""/>
    <s v=""/>
    <s v=""/>
    <s v=""/>
    <n v="0"/>
    <s v="bbl"/>
    <s v=""/>
    <s v=""/>
    <s v=""/>
    <s v=""/>
    <s v="8300176300"/>
    <s v="BREEDLOVE G BATTERY"/>
    <s v="Upstream"/>
    <s v="1046"/>
    <s v=""/>
    <s v=""/>
    <s v=""/>
    <s v=""/>
    <s v=""/>
    <s v=""/>
    <s v="Other"/>
    <n v="3"/>
    <s v="HR"/>
    <n v="90"/>
    <s v=""/>
    <n v="270"/>
    <s v="Pricebook"/>
    <s v="712950"/>
    <d v="2025-10-13T09:14:11"/>
    <s v=""/>
    <s v=""/>
    <s v=""/>
    <s v=""/>
  </r>
  <r>
    <s v="V-55809"/>
    <s v="J&amp;R Roustabout, LLC"/>
    <x v="0"/>
    <s v="Ishmel Mesta"/>
    <s v="Mason Rutledge"/>
    <s v="DROVE TO LOCATION, GAUGED TANK, PULLED 110 BBLS OF P/W TO BLUE DUCK #1 SWD, AND UNLOADED."/>
    <s v="5051054"/>
    <s v="Upstream"/>
    <s v=""/>
    <s v="USD"/>
    <n v="279.5"/>
    <s v="Direct Entry"/>
    <s v="1"/>
    <s v="VACUUM TRUCK"/>
    <s v="Vacuum Truck"/>
    <s v="VACUUM"/>
    <d v="2025-09-29T11:58:06"/>
    <d v="2025-09-26T07:15:00"/>
    <d v="2025-09-26T09:30:00"/>
    <d v="1899-12-30T02:15:00"/>
    <s v="FM HALL 20"/>
    <s v=""/>
    <s v=""/>
    <s v="LABOR"/>
    <s v=""/>
    <s v=""/>
    <s v=""/>
    <s v=""/>
    <s v=""/>
    <s v=""/>
    <s v=""/>
    <s v=""/>
    <s v=""/>
    <s v=""/>
    <s v=""/>
    <s v=""/>
    <s v=""/>
    <s v=""/>
    <s v=""/>
    <s v=""/>
    <s v=""/>
    <n v="0"/>
    <s v="bbl"/>
    <s v=""/>
    <s v=""/>
    <s v=""/>
    <s v=""/>
    <s v="8300099100"/>
    <s v="FM HALL 20 BATTERY"/>
    <s v="Upstream"/>
    <s v="1046"/>
    <s v=""/>
    <s v=""/>
    <s v=""/>
    <s v=""/>
    <s v=""/>
    <s v=""/>
    <s v="Other"/>
    <n v="2.25"/>
    <s v="HR"/>
    <n v="90"/>
    <s v=""/>
    <n v="202.5"/>
    <s v="Pricebook"/>
    <s v="712950"/>
    <d v="2025-09-29T11:59:43"/>
    <s v=""/>
    <s v=""/>
    <s v=""/>
    <s v=""/>
  </r>
  <r>
    <s v="V-55792"/>
    <s v="J&amp;R Roustabout, LLC"/>
    <x v="4"/>
    <s v="Ishmel Mesta"/>
    <s v="Mason Rutledge"/>
    <s v="DROVE TO LOCATION AND GAUGE TANK PULLED ONE LOAD 110 BBLS OF PRODUCED WATER AND HAULED TO CHANDLER #1 SWD AND UNLOADED."/>
    <s v="5051054"/>
    <s v="Upstream"/>
    <s v=""/>
    <s v="USD"/>
    <n v="212"/>
    <s v="Direct Entry"/>
    <s v="1"/>
    <s v="VACUUM TRUCK"/>
    <s v="Vacuum Truck"/>
    <s v="VACUUM"/>
    <d v="2025-10-09T08:29:27"/>
    <d v="2025-10-08T12:00:00"/>
    <d v="2025-10-08T13:30:00"/>
    <d v="1899-12-30T01:30:00"/>
    <s v="NAIL RANCH CBT"/>
    <s v=""/>
    <s v=""/>
    <s v="LABOR"/>
    <s v=""/>
    <s v=""/>
    <s v=""/>
    <s v=""/>
    <s v=""/>
    <s v=""/>
    <s v=""/>
    <s v=""/>
    <s v=""/>
    <s v=""/>
    <s v=""/>
    <s v=""/>
    <s v=""/>
    <s v=""/>
    <s v=""/>
    <s v=""/>
    <s v=""/>
    <n v="0"/>
    <s v="bbl"/>
    <s v=""/>
    <s v=""/>
    <s v=""/>
    <s v=""/>
    <s v="8000129400"/>
    <s v="NAIL RANCH CTB"/>
    <s v="Upstream"/>
    <s v="1046"/>
    <s v=""/>
    <s v=""/>
    <s v=""/>
    <s v=""/>
    <s v=""/>
    <s v=""/>
    <s v="Other"/>
    <n v="1.5"/>
    <s v="HR"/>
    <n v="90"/>
    <s v=""/>
    <n v="135"/>
    <s v="Pricebook"/>
    <s v="712950"/>
    <d v="2025-10-09T08:31:26"/>
    <s v=""/>
    <s v=""/>
    <s v=""/>
    <s v=""/>
  </r>
  <r>
    <s v="V-55683"/>
    <s v="J&amp;R Roustabout, LLC"/>
    <x v="4"/>
    <s v="Ishmel Mesta"/>
    <s v="Mason Rutledge"/>
    <s v="DROVE TO LOCATION, GAUGED TANK, PULLED 110 BBLS OF P/W TO NAIL #1 SWD, AND UNLOADED."/>
    <s v="5051054"/>
    <s v="Upstream"/>
    <s v=""/>
    <s v="USD"/>
    <n v="212"/>
    <s v="Direct Entry"/>
    <s v="1"/>
    <s v="VACUUM TRUCK"/>
    <s v="Vacuum Truck"/>
    <s v="VACUUM"/>
    <d v="2025-10-09T09:55:10"/>
    <d v="2025-10-08T13:15:00"/>
    <d v="2025-10-08T14:45:00"/>
    <d v="1899-12-30T01:30:00"/>
    <s v="NAIL RANCH CTB"/>
    <s v=""/>
    <s v=""/>
    <s v="LABOR"/>
    <s v=""/>
    <s v=""/>
    <s v=""/>
    <s v=""/>
    <s v=""/>
    <s v=""/>
    <s v=""/>
    <s v=""/>
    <s v=""/>
    <s v=""/>
    <s v=""/>
    <s v=""/>
    <s v=""/>
    <s v=""/>
    <s v=""/>
    <s v=""/>
    <s v=""/>
    <n v="0"/>
    <s v="bbl"/>
    <s v=""/>
    <s v=""/>
    <s v=""/>
    <s v=""/>
    <s v="8000129400"/>
    <s v="NAIL RANCH CTB"/>
    <s v="Upstream"/>
    <s v="1046"/>
    <s v=""/>
    <s v=""/>
    <s v=""/>
    <s v=""/>
    <s v=""/>
    <s v=""/>
    <s v="Other"/>
    <n v="1.5"/>
    <s v="HR"/>
    <n v="90"/>
    <s v=""/>
    <n v="135"/>
    <s v="Pricebook"/>
    <s v="712950"/>
    <d v="2025-10-09T09:56:44"/>
    <s v=""/>
    <s v=""/>
    <s v=""/>
    <s v=""/>
  </r>
  <r>
    <s v="V-55752"/>
    <s v="J&amp;R Roustabout, LLC"/>
    <x v="4"/>
    <s v="Ishmel Mesta"/>
    <s v="Mason Rutledge"/>
    <s v="DROVE TO LOCATION AND GAUGE TANK PULLED ONE LOAD 110 BBLS OF PRODUCED WATER AND HAULED TO NAIL #1 SWD AND UNLOADED."/>
    <s v="5051054"/>
    <s v="Upstream"/>
    <s v=""/>
    <s v="USD"/>
    <n v="302"/>
    <s v="Direct Entry"/>
    <s v="1"/>
    <s v="VACUUM TRUCK"/>
    <s v="Vacuum Truck"/>
    <s v="VACUUM"/>
    <d v="2025-10-10T08:01:05"/>
    <d v="2025-10-09T06:00:00"/>
    <d v="2025-10-09T08:30:00"/>
    <d v="1899-12-30T02:30:00"/>
    <s v="NAIL RANCH CBT"/>
    <s v=""/>
    <s v=""/>
    <s v="LABOR"/>
    <s v=""/>
    <s v=""/>
    <s v=""/>
    <s v=""/>
    <s v=""/>
    <s v=""/>
    <s v=""/>
    <s v=""/>
    <s v=""/>
    <s v=""/>
    <s v=""/>
    <s v=""/>
    <s v=""/>
    <s v=""/>
    <s v=""/>
    <s v=""/>
    <s v=""/>
    <n v="0"/>
    <s v="bbl"/>
    <s v=""/>
    <s v=""/>
    <s v=""/>
    <s v=""/>
    <s v="8000129400"/>
    <s v="NAIL RANCH CTB"/>
    <s v="Upstream"/>
    <s v="1046"/>
    <s v=""/>
    <s v=""/>
    <s v=""/>
    <s v=""/>
    <s v=""/>
    <s v=""/>
    <s v="Other"/>
    <n v="2.5"/>
    <s v="HR"/>
    <n v="90"/>
    <s v=""/>
    <n v="225"/>
    <s v="Pricebook"/>
    <s v="712950"/>
    <d v="2025-10-10T08:07:57"/>
    <s v=""/>
    <s v=""/>
    <s v=""/>
    <s v=""/>
  </r>
  <r>
    <s v="306528"/>
    <s v="JTA SERVICE LLC"/>
    <x v="4"/>
    <s v="Tracy Harris"/>
    <s v="James Compton"/>
    <s v="Newmont Unit-Roustabout services-Revise gaskets and springs, washout and grease thief hatches. Clean up work area."/>
    <s v="5051064"/>
    <s v="Upstream"/>
    <s v="164294"/>
    <s v="USD"/>
    <n v="375"/>
    <s v="Direct Entry"/>
    <s v="1"/>
    <s v="Thief hatch 1-6"/>
    <s v="Regular maintenance on 1-6 thief hatches"/>
    <s v=""/>
    <d v="2025-10-10T12:19:57"/>
    <d v="2025-10-09T14:15:00"/>
    <d v="2025-10-09T14:30:00"/>
    <s v=""/>
    <s v="Newmont Unit"/>
    <s v=""/>
    <s v=""/>
    <s v=""/>
    <s v=""/>
    <s v=""/>
    <s v=""/>
    <s v=""/>
    <s v=""/>
    <s v=""/>
    <s v=""/>
    <s v=""/>
    <s v=""/>
    <s v=""/>
    <s v=""/>
    <s v=""/>
    <s v=""/>
    <s v=""/>
    <s v=""/>
    <s v=""/>
    <s v=""/>
    <s v=""/>
    <s v=""/>
    <s v="Labor"/>
    <s v=""/>
    <s v=""/>
    <s v=""/>
    <s v="8300130300"/>
    <s v="NEWMONT UNIT BATTERY"/>
    <s v="Upstream"/>
    <s v="1046"/>
    <s v=""/>
    <s v=""/>
    <s v=""/>
    <s v=""/>
    <s v=""/>
    <s v=""/>
    <s v=""/>
    <n v="1"/>
    <s v="EA"/>
    <n v="375"/>
    <s v=""/>
    <n v="375"/>
    <s v="Pricebook"/>
    <s v="708067"/>
    <d v="2025-10-10T12:22:24"/>
    <s v=""/>
    <s v=""/>
    <s v=""/>
    <s v=""/>
  </r>
  <r>
    <s v="OD1336161"/>
    <s v="Jet Specialty Inc"/>
    <x v="10"/>
    <s v="Andy Sensibaugh"/>
    <s v="Jamie Willingham"/>
    <s v="LEASE: PECK A BATTERY; BUYER: ANDY S; PO: 153390"/>
    <s v="5051049"/>
    <s v="Upstream"/>
    <s v="153390"/>
    <s v="USD"/>
    <n v="232.56"/>
    <s v="API"/>
    <s v="1"/>
    <s v="219506"/>
    <s v="4&quot; GRV COOPLOK COUPLING"/>
    <s v="E&amp;M"/>
    <d v="2025-10-03T08:25:20"/>
    <d v="2025-09-22T00:01:00"/>
    <d v="2025-09-22T00:01:00"/>
    <s v=""/>
    <s v=""/>
    <s v=""/>
    <s v=""/>
    <s v=""/>
    <s v=""/>
    <s v=""/>
    <s v=""/>
    <s v=""/>
    <s v=""/>
    <s v=""/>
    <s v=""/>
    <s v=""/>
    <s v=""/>
    <s v=""/>
    <s v=""/>
    <s v=""/>
    <s v=""/>
    <s v=""/>
    <s v=""/>
    <s v=""/>
    <s v=""/>
    <s v=""/>
    <s v=""/>
    <s v="Material"/>
    <s v=""/>
    <s v=""/>
    <s v=""/>
    <s v="8300135500"/>
    <s v="PECK A BATTERY"/>
    <s v="Upstream"/>
    <s v="1046"/>
    <s v=""/>
    <s v=""/>
    <s v=""/>
    <s v=""/>
    <s v=""/>
    <s v=""/>
    <s v=""/>
    <n v="4"/>
    <s v="each"/>
    <n v="51.79"/>
    <s v=""/>
    <n v="207.16"/>
    <s v="--multiple--"/>
    <s v="708023"/>
    <d v="2025-10-03T08:29:27"/>
    <s v=""/>
    <s v=""/>
    <s v=""/>
    <s v=""/>
  </r>
  <r>
    <s v="F07088"/>
    <s v="Warrior Technologies, LLC"/>
    <x v="10"/>
    <s v="Israel De La Cruz"/>
    <s v="Marco Rodriguez"/>
    <s v="ROUSTABOUT WORK - DROVE TO LOCATION AND BROKE 4&quot; FLOWLINE, CHANGED OUT 4&quot; TEE ON FLOWLINE, PRESSURED UP, CHECKED FOR LEAKS AND CLEANED AROUND LOCATION."/>
    <s v="5051023"/>
    <s v="Upstream"/>
    <s v="156614"/>
    <s v="USD"/>
    <n v="540"/>
    <s v="B2B"/>
    <s v="1"/>
    <s v="1400000"/>
    <s v="Roustabout Service Crew w/ Truck - 3 Man Crew"/>
    <s v=""/>
    <d v="2025-09-15T16:13:12"/>
    <d v="2025-09-05T14:00:00"/>
    <d v="2025-09-05T18:00:00"/>
    <s v=""/>
    <s v="HASEL 53 UNIT TB"/>
    <s v=""/>
    <s v=""/>
    <s v=""/>
    <s v=""/>
    <s v=""/>
    <s v=""/>
    <s v=""/>
    <s v=""/>
    <s v=""/>
    <s v=""/>
    <s v=""/>
    <s v=""/>
    <s v=""/>
    <s v=""/>
    <s v=""/>
    <s v=""/>
    <s v=""/>
    <s v=""/>
    <s v=""/>
    <s v=""/>
    <s v=""/>
    <s v=""/>
    <s v="Labor"/>
    <s v=""/>
    <s v=""/>
    <s v=""/>
    <s v="8000316100"/>
    <s v="HASEL 53 UNIT BATTERY"/>
    <s v="Upstream"/>
    <s v="1046"/>
    <s v=""/>
    <s v=""/>
    <s v=""/>
    <s v=""/>
    <s v=""/>
    <s v=""/>
    <s v=""/>
    <n v="4"/>
    <s v="HR"/>
    <n v="135"/>
    <s v=""/>
    <n v="540"/>
    <s v="Pricebook"/>
    <s v="712996"/>
    <d v="2025-10-03T08:49:16"/>
    <s v=""/>
    <s v=""/>
    <s v=""/>
    <s v=""/>
  </r>
  <r>
    <s v="6501501482"/>
    <s v="Applied US Energy Inc."/>
    <x v="4"/>
    <s v="Garrett Skelton"/>
    <s v="Jamie Willingham"/>
    <s v="Supplies"/>
    <s v="5051031"/>
    <s v="Upstream"/>
    <s v=""/>
    <s v="USD"/>
    <n v="2431.1999999999998"/>
    <s v="B2B"/>
    <s v="10"/>
    <s v="110823544"/>
    <s v="MAKO_SMEI-6-2N"/>
    <s v=""/>
    <d v="2025-10-09T14:21:48"/>
    <d v="2025-10-07T00:00:00"/>
    <d v="2025-10-07T00:00:00"/>
    <s v=""/>
    <s v="CARBON 12-13 1 242"/>
    <s v=""/>
    <s v=""/>
    <s v=""/>
    <s v=""/>
    <s v=""/>
    <s v=""/>
    <s v=""/>
    <s v=""/>
    <s v=""/>
    <s v=""/>
    <s v=""/>
    <s v=""/>
    <s v=""/>
    <s v=""/>
    <s v=""/>
    <s v=""/>
    <s v=""/>
    <s v=""/>
    <s v=""/>
    <s v=""/>
    <s v=""/>
    <s v=""/>
    <s v="Material"/>
    <s v=""/>
    <s v=""/>
    <s v=""/>
    <s v="1001477400"/>
    <s v="CARBON 12-13 1 242"/>
    <s v="Upstream"/>
    <s v="1046"/>
    <s v=""/>
    <s v=""/>
    <s v=""/>
    <s v=""/>
    <s v=""/>
    <s v=""/>
    <s v=""/>
    <n v="30"/>
    <s v="EA"/>
    <n v="63.55"/>
    <s v=""/>
    <n v="1906.5"/>
    <s v="E-Maintenance"/>
    <s v="708146"/>
    <d v="2025-10-09T14:26:57"/>
    <s v=""/>
    <s v=""/>
    <s v=""/>
    <s v=""/>
  </r>
  <r>
    <s v="6501501483"/>
    <s v="Applied US Energy Inc."/>
    <x v="4"/>
    <s v="Garrett Skelton"/>
    <s v="Jamie Willingham"/>
    <s v="Supplies"/>
    <s v="5051031"/>
    <s v="Upstream"/>
    <s v=""/>
    <s v="USD"/>
    <n v="2414.1999999999998"/>
    <s v="B2B"/>
    <s v="10"/>
    <s v="110823544"/>
    <s v="MAKO_SMEI-6-2N"/>
    <s v=""/>
    <d v="2025-10-09T14:21:49"/>
    <d v="2025-10-07T00:00:00"/>
    <d v="2025-10-07T00:00:00"/>
    <s v=""/>
    <s v="CARBON 12-13 1 212"/>
    <s v=""/>
    <s v=""/>
    <s v=""/>
    <s v=""/>
    <s v=""/>
    <s v=""/>
    <s v=""/>
    <s v=""/>
    <s v=""/>
    <s v=""/>
    <s v=""/>
    <s v=""/>
    <s v=""/>
    <s v=""/>
    <s v=""/>
    <s v=""/>
    <s v=""/>
    <s v=""/>
    <s v=""/>
    <s v=""/>
    <s v=""/>
    <s v=""/>
    <s v="Material"/>
    <s v=""/>
    <s v=""/>
    <s v=""/>
    <s v="1001477500"/>
    <s v="CARBON 12-13 1 212"/>
    <s v="Upstream"/>
    <s v="1046"/>
    <s v=""/>
    <s v=""/>
    <s v=""/>
    <s v=""/>
    <s v=""/>
    <s v=""/>
    <s v=""/>
    <n v="30"/>
    <s v="EA"/>
    <n v="63.55"/>
    <s v=""/>
    <n v="1906.5"/>
    <s v="E-Maintenance"/>
    <s v="708146"/>
    <d v="2025-10-09T14:25:55"/>
    <s v=""/>
    <s v=""/>
    <s v=""/>
    <s v=""/>
  </r>
  <r>
    <s v="V-55690"/>
    <s v="J&amp;R Roustabout, LLC"/>
    <x v="4"/>
    <s v="Ishmel Mesta"/>
    <s v="Mason Rutledge"/>
    <s v="DROVE TO LOCATION, GAUGED TANK, PULLED 110 BBLS OF P/W TO WILDCAT SWD, AND UNLOADED."/>
    <s v="5051054"/>
    <s v="Upstream"/>
    <s v=""/>
    <s v="USD"/>
    <n v="206.5"/>
    <s v="Direct Entry"/>
    <s v="1"/>
    <s v="VACUUM TRUCK"/>
    <s v="Vacuum Truck"/>
    <s v="VACUUM"/>
    <d v="2025-10-10T08:34:31"/>
    <d v="2025-10-09T13:30:00"/>
    <d v="2025-10-09T15:00:00"/>
    <d v="1899-12-30T01:30:00"/>
    <s v="FM HALL 20"/>
    <s v=""/>
    <s v=""/>
    <s v="LABOR"/>
    <s v=""/>
    <s v=""/>
    <s v=""/>
    <s v=""/>
    <s v=""/>
    <s v=""/>
    <s v=""/>
    <s v=""/>
    <s v=""/>
    <s v=""/>
    <s v=""/>
    <s v=""/>
    <s v=""/>
    <s v=""/>
    <s v=""/>
    <s v=""/>
    <s v=""/>
    <n v="0"/>
    <s v="bbl"/>
    <s v=""/>
    <s v=""/>
    <s v=""/>
    <s v=""/>
    <s v="8300099100"/>
    <s v="FM HALL 20 BATTERY"/>
    <s v="Upstream"/>
    <s v="1046"/>
    <s v=""/>
    <s v=""/>
    <s v=""/>
    <s v=""/>
    <s v=""/>
    <s v=""/>
    <s v="Other"/>
    <n v="1.5"/>
    <s v="HR"/>
    <n v="90"/>
    <s v=""/>
    <n v="135"/>
    <s v="Pricebook"/>
    <s v="712950"/>
    <d v="2025-10-10T08:35:49"/>
    <s v=""/>
    <s v=""/>
    <s v=""/>
    <s v=""/>
  </r>
  <r>
    <s v="23316"/>
    <s v="Belloc Energy Services &amp; Transport,LLC"/>
    <x v="9"/>
    <s v="Luis Figueroa"/>
    <s v="Jamie Willingham"/>
    <s v="PICKED UP TRAILER FROM LOCATION AND TOOK TO LANDFILL"/>
    <s v="5051027"/>
    <s v="Upstream"/>
    <s v=""/>
    <s v="USD"/>
    <n v="447.99"/>
    <s v="Direct Entry"/>
    <s v="1"/>
    <s v="Roustabout - 3-Man"/>
    <s v="Roustabout - 3-Man"/>
    <s v=""/>
    <d v="2025-09-28T22:19:16"/>
    <d v="2025-09-19T13:15:00"/>
    <d v="2025-09-19T16:00:00"/>
    <s v=""/>
    <s v="CARBON 12-13"/>
    <s v=""/>
    <s v=""/>
    <s v=""/>
    <s v=""/>
    <s v=""/>
    <s v=""/>
    <s v=""/>
    <s v=""/>
    <s v=""/>
    <s v=""/>
    <s v=""/>
    <s v=""/>
    <s v=""/>
    <s v=""/>
    <s v=""/>
    <s v=""/>
    <s v=""/>
    <s v=""/>
    <s v=""/>
    <s v=""/>
    <s v=""/>
    <s v=""/>
    <s v="Labor"/>
    <s v=""/>
    <s v=""/>
    <s v=""/>
    <s v="8300086400"/>
    <s v="CARBON 12-13 BATTERY"/>
    <s v="Upstream"/>
    <s v="1046"/>
    <s v=""/>
    <s v=""/>
    <s v=""/>
    <s v=""/>
    <s v=""/>
    <s v=""/>
    <s v=""/>
    <n v="2.75"/>
    <s v="HR"/>
    <n v="128"/>
    <s v=""/>
    <n v="352"/>
    <s v="Pricebook"/>
    <s v="712945"/>
    <d v="2025-10-02T16:00:29"/>
    <s v=""/>
    <s v=""/>
    <s v=""/>
    <s v=""/>
  </r>
  <r>
    <s v="V-55830"/>
    <s v="J&amp;R Roustabout, LLC"/>
    <x v="6"/>
    <s v="Ishmel Mesta"/>
    <s v="Mason Rutledge"/>
    <s v="DROVE TO LOCATION, GAUGED TANK, PULLED 110 BBLS OF P/W TO WILSON #1 SWD, AND UNLOADED."/>
    <s v="5051054"/>
    <s v="Upstream"/>
    <s v=""/>
    <s v="USD"/>
    <n v="279.5"/>
    <s v="Direct Entry"/>
    <s v="1"/>
    <s v="VACUUM TRUCK"/>
    <s v="Vacuum Truck"/>
    <s v="VACUUM"/>
    <d v="2025-10-13T08:47:58"/>
    <d v="2025-10-10T17:00:00"/>
    <d v="2025-10-10T19:15:00"/>
    <d v="1899-12-30T02:15:00"/>
    <s v="FM HALL 20"/>
    <s v=""/>
    <s v=""/>
    <s v="LABOR"/>
    <s v=""/>
    <s v=""/>
    <s v=""/>
    <s v=""/>
    <s v=""/>
    <s v=""/>
    <s v=""/>
    <s v=""/>
    <s v=""/>
    <s v=""/>
    <s v=""/>
    <s v=""/>
    <s v=""/>
    <s v=""/>
    <s v=""/>
    <s v=""/>
    <s v=""/>
    <n v="0"/>
    <s v="bbl"/>
    <s v=""/>
    <s v=""/>
    <s v=""/>
    <s v=""/>
    <s v="8300099100"/>
    <s v="FM HALL 20 BATTERY"/>
    <s v="Upstream"/>
    <s v="1046"/>
    <s v=""/>
    <s v=""/>
    <s v=""/>
    <s v=""/>
    <s v=""/>
    <s v=""/>
    <s v="Other"/>
    <n v="2.25"/>
    <s v="HR"/>
    <n v="90"/>
    <s v=""/>
    <n v="202.5"/>
    <s v="Pricebook"/>
    <s v="712950"/>
    <d v="2025-10-13T08:49:39"/>
    <s v=""/>
    <s v=""/>
    <s v=""/>
    <s v=""/>
  </r>
  <r>
    <s v="10207"/>
    <s v="Belloc Energy Services &amp; Transport,LLC"/>
    <x v="0"/>
    <s v="Luis Figueroa"/>
    <s v="Jamie Willingham"/>
    <s v="hydrotested to 150 psi for an hour no leaks detected sandblasted and coated vessel"/>
    <s v="5051049"/>
    <s v="Upstream"/>
    <s v="118863"/>
    <s v="USD"/>
    <n v="4400"/>
    <s v="Direct Entry"/>
    <s v="1"/>
    <s v="PRODUCT"/>
    <s v="HYDROTEST"/>
    <s v=""/>
    <d v="2025-10-08T07:58:11"/>
    <d v="2025-09-22T00:00:00"/>
    <d v="2025-09-22T00:00:00"/>
    <s v=""/>
    <s v="TIPPETT 10 BATTERY"/>
    <s v=""/>
    <s v=""/>
    <s v=""/>
    <s v=""/>
    <s v=""/>
    <s v=""/>
    <s v=""/>
    <s v=""/>
    <s v=""/>
    <s v=""/>
    <s v=""/>
    <s v=""/>
    <s v=""/>
    <s v=""/>
    <s v=""/>
    <s v=""/>
    <s v=""/>
    <s v=""/>
    <s v=""/>
    <s v=""/>
    <s v=""/>
    <s v=""/>
    <s v="Labor"/>
    <s v=""/>
    <s v=""/>
    <s v=""/>
    <s v="8300159400"/>
    <s v="TIPPETT 10 BATTERY"/>
    <s v="Upstream"/>
    <s v="1046"/>
    <s v=""/>
    <s v=""/>
    <s v=""/>
    <s v=""/>
    <s v=""/>
    <s v=""/>
    <s v=""/>
    <n v="1"/>
    <s v="EA"/>
    <n v="900"/>
    <s v=""/>
    <n v="900"/>
    <s v="Pricebook"/>
    <s v="712945"/>
    <d v="2025-10-09T17:15:19"/>
    <s v=""/>
    <s v=""/>
    <s v=""/>
    <s v=""/>
  </r>
  <r>
    <s v="V-55755"/>
    <s v="J&amp;R Roustabout, LLC"/>
    <x v="7"/>
    <s v="Ishmel Mesta"/>
    <s v="Mason Rutledge"/>
    <s v="DROVE TO LOCATION, GAUGED TANK, PULLED 110 BBLS OF P/W TO NAIL #1 SWD, AND UNLOADED."/>
    <s v="5051054"/>
    <s v="Upstream"/>
    <s v=""/>
    <s v="USD"/>
    <n v="279.5"/>
    <s v="Direct Entry"/>
    <s v="1"/>
    <s v="VACUUM TRUCK"/>
    <s v="Vacuum Truck"/>
    <s v="VACUUM"/>
    <d v="2025-10-13T09:19:43"/>
    <d v="2025-10-10T06:45:00"/>
    <d v="2025-10-10T09:00:00"/>
    <d v="1899-12-30T02:15:00"/>
    <s v="NAIL RANCH CTB"/>
    <s v=""/>
    <s v=""/>
    <s v="LABOR"/>
    <s v=""/>
    <s v=""/>
    <s v=""/>
    <s v=""/>
    <s v=""/>
    <s v=""/>
    <s v=""/>
    <s v=""/>
    <s v=""/>
    <s v=""/>
    <s v=""/>
    <s v=""/>
    <s v=""/>
    <s v=""/>
    <s v=""/>
    <s v=""/>
    <s v=""/>
    <n v="0"/>
    <s v="bbl"/>
    <s v=""/>
    <s v=""/>
    <s v=""/>
    <s v=""/>
    <s v="8000129400"/>
    <s v="NAIL RANCH CTB"/>
    <s v="Upstream"/>
    <s v="1046"/>
    <s v=""/>
    <s v=""/>
    <s v=""/>
    <s v=""/>
    <s v=""/>
    <s v=""/>
    <s v="Other"/>
    <n v="2.25"/>
    <s v="HR"/>
    <n v="90"/>
    <s v=""/>
    <n v="202.5"/>
    <s v="Pricebook"/>
    <s v="712950"/>
    <d v="2025-10-13T09:25:35"/>
    <s v=""/>
    <s v=""/>
    <s v=""/>
    <s v=""/>
  </r>
  <r>
    <s v="V-55756"/>
    <s v="J&amp;R Roustabout, LLC"/>
    <x v="6"/>
    <s v="Ishmel Mesta"/>
    <s v="Mason Rutledge"/>
    <s v="DROVE TO LOCATION, GAUGED TANK, PULLED 110 BBLS OF P/W TO CHANDLER #1 SWD, AND UNLOADED."/>
    <s v="5051054"/>
    <s v="Upstream"/>
    <s v=""/>
    <s v="USD"/>
    <n v="212"/>
    <s v="Direct Entry"/>
    <s v="1"/>
    <s v="VACUUM TRUCK"/>
    <s v="Vacuum Truck"/>
    <s v="VACUUM"/>
    <d v="2025-10-13T09:27:08"/>
    <d v="2025-10-10T09:00:00"/>
    <d v="2025-10-10T10:30:00"/>
    <d v="1899-12-30T01:30:00"/>
    <s v="DICKENSON B"/>
    <s v=""/>
    <s v=""/>
    <s v="LABOR"/>
    <s v=""/>
    <s v=""/>
    <s v=""/>
    <s v=""/>
    <s v=""/>
    <s v=""/>
    <s v=""/>
    <s v=""/>
    <s v=""/>
    <s v=""/>
    <s v=""/>
    <s v=""/>
    <s v=""/>
    <s v=""/>
    <s v=""/>
    <s v=""/>
    <s v=""/>
    <n v="0"/>
    <s v="bbl"/>
    <s v=""/>
    <s v=""/>
    <s v=""/>
    <s v=""/>
    <s v="8000128200"/>
    <s v="DICKENSON B CTB"/>
    <s v="Upstream"/>
    <s v="1046"/>
    <s v=""/>
    <s v=""/>
    <s v=""/>
    <s v=""/>
    <s v=""/>
    <s v=""/>
    <s v="Other"/>
    <n v="1.5"/>
    <s v="HR"/>
    <n v="90"/>
    <s v=""/>
    <n v="135"/>
    <s v="Pricebook"/>
    <s v="712950"/>
    <d v="2025-10-13T09:30:42"/>
    <s v=""/>
    <s v=""/>
    <s v=""/>
    <s v=""/>
  </r>
  <r>
    <s v="30289"/>
    <s v="Well Solutions LLC"/>
    <x v="7"/>
    <s v="Ishmel Mesta"/>
    <s v="Mason Rutledge"/>
    <s v="HOT WATER CASING/FL 70 BBL"/>
    <s v="5051026"/>
    <s v="Upstream"/>
    <s v=""/>
    <s v="USD"/>
    <n v="535.5"/>
    <s v="Direct Entry"/>
    <s v="1"/>
    <s v="10000020"/>
    <s v="Scheduled Program Hot Oil per BBL"/>
    <s v="Hot OIl"/>
    <d v="2025-10-13T14:29:06"/>
    <d v="2025-10-10T12:45:00"/>
    <d v="2025-10-10T14:45:00"/>
    <s v=""/>
    <s v=""/>
    <s v=""/>
    <s v=""/>
    <s v=""/>
    <s v=""/>
    <s v=""/>
    <s v=""/>
    <s v=""/>
    <s v=""/>
    <s v=""/>
    <s v=""/>
    <s v=""/>
    <s v=""/>
    <s v=""/>
    <s v=""/>
    <s v=""/>
    <s v=""/>
    <s v=""/>
    <s v=""/>
    <s v=""/>
    <s v=""/>
    <s v=""/>
    <s v=""/>
    <s v="Labor"/>
    <s v=""/>
    <s v=""/>
    <s v=""/>
    <s v="1001205400"/>
    <s v="TOM, ROSALIE 4"/>
    <s v="Upstream"/>
    <s v="1046"/>
    <s v=""/>
    <s v=""/>
    <s v=""/>
    <s v=""/>
    <s v=""/>
    <s v=""/>
    <s v=""/>
    <n v="70"/>
    <s v="BBL"/>
    <n v="7.65"/>
    <s v=""/>
    <n v="535.5"/>
    <s v="--multiple--"/>
    <s v="702744"/>
    <d v="2025-10-13T14:30:16"/>
    <s v=""/>
    <s v=""/>
    <s v=""/>
    <s v=""/>
  </r>
  <r>
    <s v="V-55855"/>
    <s v="J&amp;R Roustabout, LLC"/>
    <x v="7"/>
    <s v="Ishmel Mesta"/>
    <s v="Mason Rutledge"/>
    <s v="DROVE TO LOCATION AND HAULED PW TO SWD AND UNLOADED."/>
    <s v="5051054"/>
    <s v="Upstream"/>
    <s v=""/>
    <s v="USD"/>
    <n v="302"/>
    <s v="Direct Entry"/>
    <s v="1"/>
    <s v="VACUUM TRUCK"/>
    <s v="Vacuum Truck"/>
    <s v="VACUUM"/>
    <d v="2025-10-13T09:04:38"/>
    <d v="2025-10-11T07:00:00"/>
    <d v="2025-10-11T09:30:00"/>
    <d v="1899-12-30T02:30:00"/>
    <s v="NAIL RANCH CBT"/>
    <s v=""/>
    <s v=""/>
    <s v="LABOR"/>
    <s v=""/>
    <s v=""/>
    <s v=""/>
    <s v=""/>
    <s v=""/>
    <s v=""/>
    <s v=""/>
    <s v=""/>
    <s v=""/>
    <s v=""/>
    <s v=""/>
    <s v=""/>
    <s v=""/>
    <s v=""/>
    <s v=""/>
    <s v=""/>
    <s v=""/>
    <n v="0"/>
    <s v="bbl"/>
    <s v=""/>
    <s v=""/>
    <s v=""/>
    <s v=""/>
    <s v="8000129400"/>
    <s v="NAIL RANCH CTB"/>
    <s v="Upstream"/>
    <s v="1046"/>
    <s v=""/>
    <s v=""/>
    <s v=""/>
    <s v=""/>
    <s v=""/>
    <s v=""/>
    <s v="Other"/>
    <n v="2.5"/>
    <s v="HR"/>
    <n v="90"/>
    <s v=""/>
    <n v="225"/>
    <s v="Pricebook"/>
    <s v="712950"/>
    <d v="2025-10-13T09:06:22"/>
    <s v=""/>
    <s v=""/>
    <s v=""/>
    <s v=""/>
  </r>
  <r>
    <s v="15804184"/>
    <s v="Weatherford International Inc."/>
    <x v="3"/>
    <s v="Ruston Pardue"/>
    <s v="Jamie Willingham"/>
    <s v="REQUISITIONER NAME : JANET LOCKLAR; REQUISITIONER PHONE NO. : 432-221-7400; SALES ORDER # : 15804184; AFE/WBS/CC # : 1001324000; FIELD TICKET/DT/SO : 15804184; CONTRACT NO. : WEATHERFORD PROD; WELL : 10-1; LEASE: TIPPETT"/>
    <s v="5051035"/>
    <s v="Upstream"/>
    <s v="147257"/>
    <s v="USD"/>
    <n v="180"/>
    <s v="B2B"/>
    <s v="5000001"/>
    <s v="SA-2312492"/>
    <s v="Bill Type: Sale ; DT Seq: 1 ; . DT Line : 1 ; . Inv Line : 1 ; Rate ; Add    1.00  Days @  180.0000  =  180.00 SERVICE CHARGE, PUS-MAINTENANC E PU LUBE AND INSPECT ; Internal Use Only XML ID : 15804184-79240746"/>
    <s v=""/>
    <d v="2025-10-10T16:05:02"/>
    <d v="2025-09-22T17:05:01"/>
    <d v="2025-09-22T17:05:01"/>
    <s v=""/>
    <s v="10-1"/>
    <s v=""/>
    <s v=""/>
    <s v=""/>
    <s v=""/>
    <s v=""/>
    <s v=""/>
    <s v=""/>
    <s v=""/>
    <s v=""/>
    <s v=""/>
    <s v=""/>
    <s v=""/>
    <s v=""/>
    <s v=""/>
    <s v=""/>
    <s v=""/>
    <s v=""/>
    <s v=""/>
    <s v=""/>
    <s v=""/>
    <s v=""/>
    <s v=""/>
    <s v=""/>
    <s v=""/>
    <s v=""/>
    <s v=""/>
    <s v="1001324000"/>
    <s v="TIPPETT 10 1"/>
    <s v="Upstream"/>
    <s v="1046"/>
    <s v=""/>
    <s v=""/>
    <s v=""/>
    <s v=""/>
    <s v=""/>
    <s v=""/>
    <s v=""/>
    <n v="1"/>
    <s v="EA"/>
    <n v="180"/>
    <s v=""/>
    <n v="180"/>
    <s v="--multiple--"/>
    <s v="700000"/>
    <d v="2025-10-10T16:05:02"/>
    <s v=""/>
    <s v=""/>
    <s v=""/>
    <s v=""/>
  </r>
  <r>
    <s v="15804186"/>
    <s v="Weatherford International Inc."/>
    <x v="3"/>
    <s v="Ruston Pardue"/>
    <s v="Jamie Willingham"/>
    <s v="REQUISITIONER NAME : JANET LOCKLAR; REQUISITIONER PHONE NO. : 432-221-7400; SALES ORDER # : 15804186; AFE/WBS/CC # : 1001313700; FIELD TICKET/DT/SO : 15804186; CONTRACT NO. : WEATHERFORD PROD; WELL : 10-3; LEASE: TIPPETT"/>
    <s v="5051035"/>
    <s v="Upstream"/>
    <s v="147297"/>
    <s v="USD"/>
    <n v="180"/>
    <s v="B2B"/>
    <s v="5000001"/>
    <s v="SA-2312492"/>
    <s v="Bill Type: Sale ; DT Seq: 1 ; . DT Line : 1 ; . Inv Line : 1 ; Rate ; Add    1.00  Days @  180.0000  =  180.00 SERVICE CHARGE, PUS-MAINTENANC E PU LUBE AND INSPECT ; Internal Use Only XML ID : 15804186-79187136"/>
    <s v=""/>
    <d v="2025-10-10T16:05:05"/>
    <d v="2025-09-22T17:05:01"/>
    <d v="2025-09-22T17:05:01"/>
    <s v=""/>
    <s v="10-3"/>
    <s v=""/>
    <s v=""/>
    <s v=""/>
    <s v=""/>
    <s v=""/>
    <s v=""/>
    <s v=""/>
    <s v=""/>
    <s v=""/>
    <s v=""/>
    <s v=""/>
    <s v=""/>
    <s v=""/>
    <s v=""/>
    <s v=""/>
    <s v=""/>
    <s v=""/>
    <s v=""/>
    <s v=""/>
    <s v=""/>
    <s v=""/>
    <s v=""/>
    <s v=""/>
    <s v=""/>
    <s v=""/>
    <s v=""/>
    <s v="1001313700"/>
    <s v="TIPPETT 10 3"/>
    <s v="Upstream"/>
    <s v="1046"/>
    <s v=""/>
    <s v=""/>
    <s v=""/>
    <s v=""/>
    <s v=""/>
    <s v=""/>
    <s v=""/>
    <n v="1"/>
    <s v="EA"/>
    <n v="180"/>
    <s v=""/>
    <n v="180"/>
    <s v="--multiple--"/>
    <s v="700000"/>
    <d v="2025-10-10T16:05:05"/>
    <s v=""/>
    <s v=""/>
    <s v=""/>
    <s v=""/>
  </r>
  <r>
    <s v="15804199"/>
    <s v="Weatherford International Inc."/>
    <x v="3"/>
    <s v="Ruston Pardue"/>
    <s v="Jamie Willingham"/>
    <s v="REQUISITIONER NAME : JANET LOCKLAR; REQUISITIONER PHONE NO. : 432-221-7400; SALES ORDER # : 15804199; AFE/WBS/CC # : 1000781100; FIELD TICKET/DT/SO : 15804199; CONTRACT NO. : WEATHERFORD PROD; LOCATION: ODESSA WEST; WELL : 2904C; LEASE: FOUR CORNERS TXL FEE 2904C"/>
    <s v="5051035"/>
    <s v="Upstream"/>
    <s v="147343"/>
    <s v="USD"/>
    <n v="180"/>
    <s v="B2B"/>
    <s v="5000001"/>
    <s v="SA-2312492"/>
    <s v="Bill Type: Sale ; DT Seq: 1 ; . DT Line : 1 ; . Inv Line : 1 ; Rate ; Add    1.00  Days @  180.0000  =  180.00 SERVICE CHARGE, PUS-MAINTENANC E PU LUBE AND INSPECT ; Internal Use Only XML ID : 15804199-79187166"/>
    <s v=""/>
    <d v="2025-10-10T16:06:10"/>
    <d v="2025-09-23T17:06:09"/>
    <d v="2025-09-23T17:06:09"/>
    <s v=""/>
    <s v="ODESSA WEST"/>
    <s v=""/>
    <s v=""/>
    <s v=""/>
    <s v=""/>
    <s v=""/>
    <s v=""/>
    <s v=""/>
    <s v=""/>
    <s v=""/>
    <s v=""/>
    <s v=""/>
    <s v=""/>
    <s v=""/>
    <s v=""/>
    <s v=""/>
    <s v=""/>
    <s v=""/>
    <s v=""/>
    <s v=""/>
    <s v=""/>
    <s v=""/>
    <s v=""/>
    <s v=""/>
    <s v=""/>
    <s v=""/>
    <s v=""/>
    <s v="1000781100"/>
    <s v="FOUR CORNERS TXL FEE 2904C"/>
    <s v="Upstream"/>
    <s v="1046"/>
    <s v=""/>
    <s v=""/>
    <s v=""/>
    <s v=""/>
    <s v=""/>
    <s v=""/>
    <s v=""/>
    <n v="1"/>
    <s v="EA"/>
    <n v="180"/>
    <s v=""/>
    <n v="180"/>
    <s v="--multiple--"/>
    <s v="700000"/>
    <d v="2025-10-10T16:06:10"/>
    <s v=""/>
    <s v=""/>
    <s v=""/>
    <s v=""/>
  </r>
  <r>
    <s v="15804200"/>
    <s v="Weatherford International Inc."/>
    <x v="3"/>
    <s v="Ruston Pardue"/>
    <s v="Jamie Willingham"/>
    <s v="REQUISITIONER NAME : JANET LOCKLAR; REQUISITIONER PHONE NO. : 432-221-7400; SALES ORDER # : 15804200; AFE/WBS/CC # : 1000781200; FIELD TICKET/DT/SO : 15804200; CONTRACT NO. : WEATHERFORD PROD; WELL : 2905C; LEASE: FOUR CORNERS TXL FEE"/>
    <s v="5051035"/>
    <s v="Upstream"/>
    <s v="147306"/>
    <s v="USD"/>
    <n v="180"/>
    <s v="B2B"/>
    <s v="5000001"/>
    <s v="SA-2312492"/>
    <s v="Bill Type: Sale ; DT Seq: 1 ; . DT Line : 1 ; . Inv Line : 1 ; Rate ; Add    1.00  Days @  180.0000  =  180.00 SERVICE CHARGE, PUS-MAINTENANC E PU LUBE AND INSPECT ; Internal Use Only XML ID : 15804200-79240880"/>
    <s v=""/>
    <d v="2025-10-10T16:06:10"/>
    <d v="2025-09-23T17:06:09"/>
    <d v="2025-09-23T17:06:09"/>
    <s v=""/>
    <s v="2905C"/>
    <s v=""/>
    <s v=""/>
    <s v=""/>
    <s v=""/>
    <s v=""/>
    <s v=""/>
    <s v=""/>
    <s v=""/>
    <s v=""/>
    <s v=""/>
    <s v=""/>
    <s v=""/>
    <s v=""/>
    <s v=""/>
    <s v=""/>
    <s v=""/>
    <s v=""/>
    <s v=""/>
    <s v=""/>
    <s v=""/>
    <s v=""/>
    <s v=""/>
    <s v=""/>
    <s v=""/>
    <s v=""/>
    <s v=""/>
    <s v="1000781200"/>
    <s v="FOUR CORNERS TXL FEE 2905C"/>
    <s v="Upstream"/>
    <s v="1046"/>
    <s v=""/>
    <s v=""/>
    <s v=""/>
    <s v=""/>
    <s v=""/>
    <s v=""/>
    <s v=""/>
    <n v="1"/>
    <s v="EA"/>
    <n v="180"/>
    <s v=""/>
    <n v="180"/>
    <s v="--multiple--"/>
    <s v="700000"/>
    <d v="2025-10-10T16:06:10"/>
    <s v=""/>
    <s v=""/>
    <s v=""/>
    <s v=""/>
  </r>
  <r>
    <s v="15804198"/>
    <s v="Weatherford International Inc."/>
    <x v="3"/>
    <s v="Ruston Pardue"/>
    <s v="Jamie Willingham"/>
    <s v="REQUISITIONER NAME : JANET LOCKLAR; REQUISITIONER PHONE NO. : 432-221-7400; SALES ORDER # : 15804198; AFE/WBS/CC # : 1000781600; FIELD TICKET/DT/SO : 15804198; CONTRACT NO. : WEATHERFORD PROD; LOCATION: ODESSA WEST; WELL : 2911C; LEASE: FOUR CORNERS TXL FEE"/>
    <s v="5051035"/>
    <s v="Upstream"/>
    <s v="147463"/>
    <s v="USD"/>
    <n v="180"/>
    <s v="B2B"/>
    <s v="5000001"/>
    <s v="SA-2312492"/>
    <s v="Bill Type: Sale ; DT Seq: 1 ; . DT Line : 1 ; . Inv Line : 1 ; Rate ; Add    1.00  Days @  180.0000  =  180.00 SERVICE CHARGE, PUS-MAINTENANC E PU LUBE AND INSPECT ; Internal Use Only XML ID : 15804198-79240883"/>
    <s v=""/>
    <d v="2025-10-10T16:06:10"/>
    <d v="2025-09-23T17:06:10"/>
    <d v="2025-09-23T17:06:10"/>
    <s v=""/>
    <s v="ODESSA WEST"/>
    <s v=""/>
    <s v=""/>
    <s v=""/>
    <s v=""/>
    <s v=""/>
    <s v=""/>
    <s v=""/>
    <s v=""/>
    <s v=""/>
    <s v=""/>
    <s v=""/>
    <s v=""/>
    <s v=""/>
    <s v=""/>
    <s v=""/>
    <s v=""/>
    <s v=""/>
    <s v=""/>
    <s v=""/>
    <s v=""/>
    <s v=""/>
    <s v=""/>
    <s v=""/>
    <s v=""/>
    <s v=""/>
    <s v=""/>
    <s v="1000781600"/>
    <s v="FOUR CORNERS TXL FEE 2911C"/>
    <s v="Upstream"/>
    <s v="1046"/>
    <s v=""/>
    <s v=""/>
    <s v=""/>
    <s v=""/>
    <s v=""/>
    <s v=""/>
    <s v=""/>
    <n v="1"/>
    <s v="EA"/>
    <n v="180"/>
    <s v=""/>
    <n v="180"/>
    <s v="--multiple--"/>
    <s v="700000"/>
    <d v="2025-10-10T16:06:10"/>
    <s v=""/>
    <s v=""/>
    <s v=""/>
    <s v=""/>
  </r>
  <r>
    <s v="15804197"/>
    <s v="Weatherford International Inc."/>
    <x v="3"/>
    <s v="Ruston Pardue"/>
    <s v="Jamie Willingham"/>
    <s v="REQUISITIONER NAME : JANET LOCKLAR; REQUISITIONER PHONE NO. : 432-221-7400; SALES ORDER # : 15804197; AFE/WBS/CC # : 1000781300; FIELD TICKET/DT/SO : 15804197; CONTRACT NO. : WEATHERFORD PROD; WELL : 2907C; LEASE: FOUR CORNERS TXL FEE"/>
    <s v="5051035"/>
    <s v="Upstream"/>
    <s v="147245"/>
    <s v="USD"/>
    <n v="180"/>
    <s v="B2B"/>
    <s v="5000001"/>
    <s v="SA-2312492"/>
    <s v="Bill Type: Sale ; DT Seq: 1 ; . DT Line : 1 ; . Inv Line : 1 ; Rate ; Add    1.00  Days @  180.0000  =  180.00 SERVICE CHARGE, PUS-MAINTENANC E PU LUBE AND INSPECT ; Internal Use Only XML ID : 15804197-79187170"/>
    <s v=""/>
    <d v="2025-10-10T16:06:11"/>
    <d v="2025-09-23T17:06:10"/>
    <d v="2025-09-23T17:06:10"/>
    <s v=""/>
    <s v="2907C"/>
    <s v=""/>
    <s v=""/>
    <s v=""/>
    <s v=""/>
    <s v=""/>
    <s v=""/>
    <s v=""/>
    <s v=""/>
    <s v=""/>
    <s v=""/>
    <s v=""/>
    <s v=""/>
    <s v=""/>
    <s v=""/>
    <s v=""/>
    <s v=""/>
    <s v=""/>
    <s v=""/>
    <s v=""/>
    <s v=""/>
    <s v=""/>
    <s v=""/>
    <s v=""/>
    <s v=""/>
    <s v=""/>
    <s v=""/>
    <s v="1000781300"/>
    <s v="FOUR CORNERS TXL FEE 2907C"/>
    <s v="Upstream"/>
    <s v="1046"/>
    <s v=""/>
    <s v=""/>
    <s v=""/>
    <s v=""/>
    <s v=""/>
    <s v=""/>
    <s v=""/>
    <n v="1"/>
    <s v="EA"/>
    <n v="180"/>
    <s v=""/>
    <n v="180"/>
    <s v="--multiple--"/>
    <s v="700000"/>
    <d v="2025-10-10T16:06:11"/>
    <s v=""/>
    <s v=""/>
    <s v=""/>
    <s v=""/>
  </r>
  <r>
    <s v="OD1336178"/>
    <s v="Jet Specialty Inc"/>
    <x v="10"/>
    <s v="Andy Sensibaugh"/>
    <s v="Jared Miller"/>
    <s v="LEASE: MALCOM BATTERY; BUYER: ANDY; PO: 165989"/>
    <s v="5051049"/>
    <s v="Upstream"/>
    <s v="165989"/>
    <s v="USD"/>
    <n v="788.96"/>
    <s v="API"/>
    <s v="1"/>
    <s v="NS680"/>
    <s v="3&quot; 150# WYE STRAINER"/>
    <s v="MISC FITTINGS AND SUPPLIES"/>
    <d v="2025-10-03T08:26:00"/>
    <d v="2025-09-25T00:01:00"/>
    <d v="2025-09-25T00:01:00"/>
    <s v=""/>
    <s v=""/>
    <s v=""/>
    <s v=""/>
    <s v=""/>
    <s v=""/>
    <s v=""/>
    <s v=""/>
    <s v=""/>
    <s v=""/>
    <s v=""/>
    <s v=""/>
    <s v=""/>
    <s v=""/>
    <s v=""/>
    <s v=""/>
    <s v=""/>
    <s v=""/>
    <s v=""/>
    <s v=""/>
    <s v=""/>
    <s v=""/>
    <s v=""/>
    <s v=""/>
    <s v="Material"/>
    <s v=""/>
    <s v=""/>
    <s v=""/>
    <s v="8000304000"/>
    <s v="MALCOLM BATTERY"/>
    <s v="Upstream"/>
    <s v="1046"/>
    <s v=""/>
    <s v=""/>
    <s v=""/>
    <s v=""/>
    <s v=""/>
    <s v=""/>
    <s v=""/>
    <n v="1"/>
    <s v="EA"/>
    <n v="706.67"/>
    <s v=""/>
    <n v="706.67"/>
    <s v="--multiple--"/>
    <s v="708023"/>
    <d v="2025-10-03T08:31:00"/>
    <s v=""/>
    <s v=""/>
    <s v=""/>
    <s v=""/>
  </r>
  <r>
    <s v="OD1336189"/>
    <s v="Jet Specialty Inc"/>
    <x v="10"/>
    <s v="Andy Sensibaugh"/>
    <s v="Jared Miller"/>
    <s v="LEASE: COLLINGSWORTH BATTERY; BUYER: ANDY S; PO: 166468"/>
    <s v="5051049"/>
    <s v="Upstream"/>
    <s v="166468"/>
    <s v="USD"/>
    <n v="1473.85"/>
    <s v="API"/>
    <s v="1"/>
    <s v="219684PC"/>
    <s v="4&quot; GRV SWING CHK VALVE 300 PSI, 316 SS SS PC SC-67CVON3040"/>
    <s v="E&amp;M"/>
    <d v="2025-10-03T08:26:25"/>
    <d v="2025-09-29T00:01:00"/>
    <d v="2025-09-29T00:01:00"/>
    <s v=""/>
    <s v=""/>
    <s v=""/>
    <s v=""/>
    <s v=""/>
    <s v=""/>
    <s v=""/>
    <s v=""/>
    <s v=""/>
    <s v=""/>
    <s v=""/>
    <s v=""/>
    <s v=""/>
    <s v=""/>
    <s v=""/>
    <s v=""/>
    <s v=""/>
    <s v=""/>
    <s v=""/>
    <s v=""/>
    <s v=""/>
    <s v=""/>
    <s v=""/>
    <s v=""/>
    <s v="Material"/>
    <s v=""/>
    <s v=""/>
    <s v=""/>
    <s v="8000302100"/>
    <s v="COLLINGSWORTH BATTERY"/>
    <s v="Upstream"/>
    <s v="1046"/>
    <s v=""/>
    <s v=""/>
    <s v=""/>
    <s v=""/>
    <s v=""/>
    <s v=""/>
    <s v=""/>
    <n v="1"/>
    <s v="each"/>
    <n v="695.1"/>
    <s v=""/>
    <n v="695.1"/>
    <s v="--multiple--"/>
    <s v="708023"/>
    <d v="2025-10-03T08:31:37"/>
    <s v=""/>
    <s v=""/>
    <s v=""/>
    <s v=""/>
  </r>
  <r>
    <s v="R-5291"/>
    <s v="ACH Services, LLC"/>
    <x v="5"/>
    <s v="Jacob Rogers"/>
    <s v="Christopher Falcon"/>
    <s v="Drove to location to cut pipe plug off pipeline and plug on vacuum truck then drove to another spot to cut pipeline and put back using poly machine."/>
    <s v="5051023"/>
    <s v="Upstream"/>
    <s v="166872"/>
    <s v="USD"/>
    <n v="1761.25"/>
    <s v="Direct Entry"/>
    <s v="1"/>
    <s v="Roustabout - 3-Man"/>
    <s v="Roustabout - 3-Man"/>
    <s v=""/>
    <d v="2025-10-01T14:32:25"/>
    <d v="2025-09-30T06:30:00"/>
    <d v="2025-09-30T18:15:00"/>
    <s v=""/>
    <s v="TP LAND TRUST A BATTERY"/>
    <s v=""/>
    <s v=""/>
    <s v=""/>
    <s v=""/>
    <s v=""/>
    <s v=""/>
    <s v=""/>
    <s v=""/>
    <s v=""/>
    <s v=""/>
    <s v=""/>
    <s v=""/>
    <s v=""/>
    <s v=""/>
    <s v=""/>
    <s v=""/>
    <s v=""/>
    <s v=""/>
    <s v=""/>
    <s v=""/>
    <s v=""/>
    <s v=""/>
    <s v="Labor"/>
    <s v=""/>
    <s v=""/>
    <s v=""/>
    <s v="8300160400"/>
    <s v="TP LAND TRUST A BATTERY"/>
    <s v="Upstream"/>
    <s v="1046"/>
    <s v=""/>
    <s v=""/>
    <s v=""/>
    <s v=""/>
    <s v=""/>
    <s v=""/>
    <s v=""/>
    <n v="11.75"/>
    <s v="HR"/>
    <n v="135"/>
    <s v=""/>
    <n v="1586.25"/>
    <s v="Pricebook"/>
    <s v="712932"/>
    <d v="2025-10-01T14:43:43"/>
    <s v=""/>
    <s v=""/>
    <s v=""/>
    <s v=""/>
  </r>
  <r>
    <s v="t-425360"/>
    <s v="Liberty Lift Solutions LLC"/>
    <x v="8"/>
    <s v="John Garza"/>
    <s v="Jared Miller"/>
    <s v="TAILGATE MEETING AND JSA. REMOVE WRIST PINS FROM UNIT TO STROKE TO MIDDLE HOLE. CLEAN UP PINS AND CRANK HOLES. INSTALL_x000a_AND TIGHTEN PINS. RESPACE RODS. HANG ON WELL. ALIGN HEAD AND CARRIER BAR. ADJUST WEIGHTS TO BALANCE UNIT. FINAL READING 80_x000a_AMPS WEIGHTS, 80 AMPS RODS. STAND BY FOR PUMPER TO N4AKE SURE EVERYTHING WAS OPEN GOING TO BATTERY SO WE COULD RUN UNIT._x000a_READY FOR PRODUCTION."/>
    <s v="5051035"/>
    <s v="Upstream"/>
    <s v="168433"/>
    <s v="USD"/>
    <n v="2437.5"/>
    <s v="Direct Entry"/>
    <s v="1"/>
    <s v="NC0018"/>
    <s v="55 Ton Crane w/Operator"/>
    <s v=""/>
    <d v="2025-08-21T10:15:57"/>
    <d v="2025-08-13T06:30:00"/>
    <d v="2025-08-13T13:00:00"/>
    <s v=""/>
    <s v="FOUR CORNERS 1423-102"/>
    <s v=""/>
    <s v=""/>
    <s v=""/>
    <s v=""/>
    <s v=""/>
    <s v=""/>
    <s v=""/>
    <s v=""/>
    <s v=""/>
    <s v=""/>
    <s v=""/>
    <s v=""/>
    <s v=""/>
    <s v=""/>
    <s v=""/>
    <s v=""/>
    <s v=""/>
    <s v=""/>
    <s v=""/>
    <s v=""/>
    <s v=""/>
    <s v=""/>
    <s v="Equipment"/>
    <s v=""/>
    <s v=""/>
    <s v=""/>
    <s v="1001110400"/>
    <s v="FOUR CORNERS 1423 E 102H LS"/>
    <s v="Upstream"/>
    <s v="1046"/>
    <s v=""/>
    <s v=""/>
    <s v=""/>
    <s v=""/>
    <s v=""/>
    <s v=""/>
    <s v=""/>
    <n v="6.5"/>
    <s v="HR"/>
    <n v="200"/>
    <s v=""/>
    <n v="1300"/>
    <s v="--multiple--"/>
    <s v="708256"/>
    <d v="2025-10-02T09:45:16"/>
    <s v=""/>
    <s v=""/>
    <s v=""/>
    <s v=""/>
  </r>
  <r>
    <s v="OD1251231"/>
    <s v="Jet Specialty Inc"/>
    <x v="6"/>
    <s v="John Garza"/>
    <s v="Jared Miller"/>
    <s v="LEASE: COLLINGSWORTH 3625 A 002H MS; BUYER: JOHN G.; PO: 5051062"/>
    <s v="5051062"/>
    <s v="Upstream"/>
    <s v=""/>
    <s v="USD"/>
    <n v="5998.75"/>
    <s v="API"/>
    <s v="1"/>
    <s v="NS680"/>
    <s v="2-7/8&quot; X 1-1/2&quot; 5000# MODEL BS DOUBLE PACKED STUFFINGBOX"/>
    <s v="MISC FITTINGS AND SUPPLIES"/>
    <d v="2025-10-03T09:11:50"/>
    <d v="2025-09-17T00:01:00"/>
    <d v="2025-09-17T00:01:00"/>
    <s v=""/>
    <s v=""/>
    <s v=""/>
    <s v=""/>
    <s v=""/>
    <s v=""/>
    <s v=""/>
    <s v=""/>
    <s v=""/>
    <s v=""/>
    <s v=""/>
    <s v=""/>
    <s v=""/>
    <s v=""/>
    <s v=""/>
    <s v=""/>
    <s v=""/>
    <s v=""/>
    <s v=""/>
    <s v=""/>
    <s v=""/>
    <s v=""/>
    <s v=""/>
    <s v=""/>
    <s v="Material"/>
    <s v=""/>
    <s v=""/>
    <s v=""/>
    <s v="1000766800"/>
    <s v="COLLINGSWORTH 3625 A 002H MS"/>
    <s v="Upstream"/>
    <s v="1046"/>
    <s v=""/>
    <s v=""/>
    <s v=""/>
    <s v=""/>
    <s v=""/>
    <s v=""/>
    <s v=""/>
    <n v="1"/>
    <s v="EA"/>
    <n v="5998.75"/>
    <s v=""/>
    <n v="5998.75"/>
    <s v="--multiple--"/>
    <s v="708023"/>
    <d v="2025-10-03T09:11:50"/>
    <s v=""/>
    <s v=""/>
    <s v=""/>
    <s v=""/>
  </r>
  <r>
    <s v="810175939"/>
    <s v="ChampionX LLC"/>
    <x v="9"/>
    <s v="John Garza"/>
    <s v="Jared Miller"/>
    <s v="Parts"/>
    <s v="5051049"/>
    <s v="Upstream"/>
    <s v=""/>
    <s v="USD"/>
    <n v="1396.33"/>
    <s v="Direct Entry"/>
    <s v="1"/>
    <s v="1024256"/>
    <s v="VAL 22XX_2_2220_S_N_36_T_G_ V_N_9_AA_-_- _0.50_AQ_CARB"/>
    <s v=""/>
    <d v="2025-10-02T14:44:05"/>
    <d v="2025-09-17T12:00:00"/>
    <d v="2025-09-17T12:00:00"/>
    <s v=""/>
    <s v=""/>
    <s v=""/>
    <s v=""/>
    <s v=""/>
    <s v=""/>
    <s v=""/>
    <s v=""/>
    <s v=""/>
    <s v=""/>
    <s v=""/>
    <s v=""/>
    <s v=""/>
    <s v=""/>
    <s v=""/>
    <s v=""/>
    <s v=""/>
    <s v=""/>
    <s v=""/>
    <s v=""/>
    <s v=""/>
    <s v=""/>
    <s v=""/>
    <s v=""/>
    <s v=""/>
    <s v=""/>
    <s v=""/>
    <s v=""/>
    <s v="8000302100"/>
    <s v="COLLINGSWORTH BATTERY"/>
    <s v="Upstream"/>
    <s v="1046"/>
    <s v=""/>
    <s v=""/>
    <s v=""/>
    <s v=""/>
    <s v=""/>
    <s v=""/>
    <s v=""/>
    <n v="1"/>
    <s v="EA"/>
    <n v="1368.95"/>
    <s v=""/>
    <n v="1368.95"/>
    <s v="--multiple--"/>
    <s v="711892"/>
    <d v="2025-10-02T14:49:49"/>
    <s v=""/>
    <s v=""/>
    <s v=""/>
    <s v=""/>
  </r>
  <r>
    <s v="OD1251244"/>
    <s v="Jet Specialty Inc"/>
    <x v="6"/>
    <s v="John Garza"/>
    <s v="Jared Miller"/>
    <s v="LEASE: CENTRAL BATTERY; BUYER: ISMAEL/JOHN G.;"/>
    <s v="5051049"/>
    <s v="Upstream"/>
    <s v=""/>
    <s v="USD"/>
    <n v="317.72000000000003"/>
    <s v="API"/>
    <s v="1"/>
    <s v="NS680"/>
    <s v="1/4&quot; -30 TO 30# VACCUM GAUGE"/>
    <s v="MISC FITTINGS AND SUPPLIES"/>
    <d v="2025-10-03T09:13:11"/>
    <d v="2025-09-19T00:01:00"/>
    <d v="2025-09-19T00:01:00"/>
    <s v=""/>
    <s v=""/>
    <s v=""/>
    <s v=""/>
    <s v=""/>
    <s v=""/>
    <s v=""/>
    <s v=""/>
    <s v=""/>
    <s v=""/>
    <s v=""/>
    <s v=""/>
    <s v=""/>
    <s v=""/>
    <s v=""/>
    <s v=""/>
    <s v=""/>
    <s v=""/>
    <s v=""/>
    <s v=""/>
    <s v=""/>
    <s v=""/>
    <s v=""/>
    <s v=""/>
    <s v="Material"/>
    <s v=""/>
    <s v=""/>
    <s v=""/>
    <s v="8000301900"/>
    <s v="CENTRAL BATTERY"/>
    <s v="Upstream"/>
    <s v="1046"/>
    <s v=""/>
    <s v=""/>
    <s v=""/>
    <s v=""/>
    <s v=""/>
    <s v=""/>
    <s v=""/>
    <n v="4"/>
    <s v="EA"/>
    <n v="79.430000000000007"/>
    <s v=""/>
    <n v="317.72000000000003"/>
    <s v="--multiple--"/>
    <s v="708023"/>
    <d v="2025-10-03T09:13:11"/>
    <s v=""/>
    <s v=""/>
    <s v=""/>
    <s v=""/>
  </r>
  <r>
    <s v="810176026"/>
    <s v="ChampionX LLC"/>
    <x v="9"/>
    <s v="John Garza"/>
    <s v="Jared Miller"/>
    <s v="Parts"/>
    <s v="5051049"/>
    <s v="Upstream"/>
    <s v=""/>
    <s v="USD"/>
    <n v="315.83999999999997"/>
    <s v="Direct Entry"/>
    <s v="1"/>
    <s v="1030695"/>
    <s v="KIT TRK_2200_- _1.00_AQ_CARB_NONE_ST ANDARD ONLY"/>
    <s v=""/>
    <d v="2025-10-02T14:41:24"/>
    <d v="2025-09-19T12:00:00"/>
    <d v="2025-09-19T12:00:00"/>
    <s v=""/>
    <s v=""/>
    <s v=""/>
    <s v=""/>
    <s v=""/>
    <s v=""/>
    <s v=""/>
    <s v=""/>
    <s v=""/>
    <s v=""/>
    <s v=""/>
    <s v=""/>
    <s v=""/>
    <s v=""/>
    <s v=""/>
    <s v=""/>
    <s v=""/>
    <s v=""/>
    <s v=""/>
    <s v=""/>
    <s v=""/>
    <s v=""/>
    <s v=""/>
    <s v=""/>
    <s v=""/>
    <s v=""/>
    <s v=""/>
    <s v=""/>
    <s v="8000302100"/>
    <s v="COLLINGSWORTH BATTERY"/>
    <s v="Upstream"/>
    <s v="1046"/>
    <s v=""/>
    <s v=""/>
    <s v=""/>
    <s v=""/>
    <s v=""/>
    <s v=""/>
    <s v=""/>
    <n v="1"/>
    <s v="EA"/>
    <n v="309.64999999999998"/>
    <s v=""/>
    <n v="309.64999999999998"/>
    <s v="--multiple--"/>
    <s v="711892"/>
    <d v="2025-10-02T14:43:22"/>
    <s v=""/>
    <s v=""/>
    <s v=""/>
    <s v=""/>
  </r>
  <r>
    <s v="V-55856"/>
    <s v="J&amp;R Roustabout, LLC"/>
    <x v="7"/>
    <s v="Ishmel Mesta"/>
    <s v="Mason Rutledge"/>
    <s v="DROVE TO LOCATION AND HAULED PW TO SWD AND UNLOADED."/>
    <s v="5051054"/>
    <s v="Upstream"/>
    <s v=""/>
    <s v="USD"/>
    <n v="234.5"/>
    <s v="Direct Entry"/>
    <s v="1"/>
    <s v="VACUUM TRUCK"/>
    <s v="Vacuum Truck"/>
    <s v="VACUUM"/>
    <d v="2025-10-13T09:06:59"/>
    <d v="2025-10-11T09:30:00"/>
    <d v="2025-10-11T11:15:00"/>
    <d v="1899-12-30T01:45:00"/>
    <s v="NAIL RANCH CBT"/>
    <s v=""/>
    <s v=""/>
    <s v="LABOR"/>
    <s v=""/>
    <s v=""/>
    <s v=""/>
    <s v=""/>
    <s v=""/>
    <s v=""/>
    <s v=""/>
    <s v=""/>
    <s v=""/>
    <s v=""/>
    <s v=""/>
    <s v=""/>
    <s v=""/>
    <s v=""/>
    <s v=""/>
    <s v=""/>
    <s v=""/>
    <n v="0"/>
    <s v="bbl"/>
    <s v=""/>
    <s v=""/>
    <s v=""/>
    <s v=""/>
    <s v="8000129400"/>
    <s v="NAIL RANCH CTB"/>
    <s v="Upstream"/>
    <s v="1046"/>
    <s v=""/>
    <s v=""/>
    <s v=""/>
    <s v=""/>
    <s v=""/>
    <s v=""/>
    <s v="Other"/>
    <n v="1.75"/>
    <s v="HR"/>
    <n v="90"/>
    <s v=""/>
    <n v="157.5"/>
    <s v="Pricebook"/>
    <s v="712950"/>
    <d v="2025-10-13T09:08:54"/>
    <s v=""/>
    <s v=""/>
    <s v=""/>
    <s v=""/>
  </r>
  <r>
    <s v="OD1251255"/>
    <s v="Jet Specialty Inc"/>
    <x v="6"/>
    <s v="John Garza"/>
    <s v="Jared Miller"/>
    <s v="LEASE: COLLINGSOWORTH BATTERY; BUYER: ALAN B./JOHN G.;"/>
    <s v="5051049"/>
    <s v="Upstream"/>
    <s v=""/>
    <s v="USD"/>
    <n v="2095.9499999999998"/>
    <s v="API"/>
    <s v="1"/>
    <s v="11597"/>
    <s v="233.54 4F 1/2LM 0-600 WIKA GAUGE (9832666)"/>
    <s v="E&amp;M"/>
    <d v="2025-10-03T09:13:42"/>
    <d v="2025-09-22T00:01:00"/>
    <d v="2025-09-22T00:01:00"/>
    <s v=""/>
    <s v=""/>
    <s v=""/>
    <s v=""/>
    <s v=""/>
    <s v=""/>
    <s v=""/>
    <s v=""/>
    <s v=""/>
    <s v=""/>
    <s v=""/>
    <s v=""/>
    <s v=""/>
    <s v=""/>
    <s v=""/>
    <s v=""/>
    <s v=""/>
    <s v=""/>
    <s v=""/>
    <s v=""/>
    <s v=""/>
    <s v=""/>
    <s v=""/>
    <s v=""/>
    <s v="Material"/>
    <s v=""/>
    <s v=""/>
    <s v=""/>
    <s v="8000302100"/>
    <s v="COLLINGSWORTH BATTERY"/>
    <s v="Upstream"/>
    <s v="1046"/>
    <s v=""/>
    <s v=""/>
    <s v=""/>
    <s v=""/>
    <s v=""/>
    <s v=""/>
    <s v=""/>
    <n v="6"/>
    <s v="each"/>
    <n v="133.21"/>
    <s v=""/>
    <n v="799.26"/>
    <s v="--multiple--"/>
    <s v="708023"/>
    <d v="2025-10-03T09:13:42"/>
    <s v=""/>
    <s v=""/>
    <s v=""/>
    <s v=""/>
  </r>
  <r>
    <s v="338327"/>
    <s v="Lufkin US Acquisition Company LLC"/>
    <x v="3"/>
    <s v="John Garza"/>
    <s v="Jared Miller"/>
    <s v="DROVE TO LOCATION, DID JSA, L.O.T.O., REMOVED BELT GUARD, LOOSENED THE MOTOR MOUNTS, MOVED THE MOTOR FORWARD, REMOVED THE MOTOR SHEAVE AND HUB, AND PLACED THE NEW SHEAVE AND HUB. ONCE COMPLETED, PLACED BELT GUARD BACK ONTO UNIT AND NOTIFIED COMPANY MAN JOB WAS COMPLETE."/>
    <s v="5051035"/>
    <s v="Upstream"/>
    <s v=""/>
    <s v="USD"/>
    <n v="1812.36"/>
    <s v="Direct Entry"/>
    <s v="1"/>
    <s v="E7078246"/>
    <s v="BUSHING,in QDin TYPE in SFin ,2-3/8in BR"/>
    <s v=""/>
    <d v="2025-10-01T14:28:17"/>
    <d v="2025-09-22T06:00:00"/>
    <d v="2025-09-22T13:30:00"/>
    <s v=""/>
    <s v=""/>
    <s v=""/>
    <s v=""/>
    <s v=""/>
    <s v=""/>
    <s v=""/>
    <s v=""/>
    <s v=""/>
    <s v=""/>
    <s v=""/>
    <s v=""/>
    <s v=""/>
    <s v=""/>
    <s v=""/>
    <s v=""/>
    <s v=""/>
    <s v=""/>
    <s v=""/>
    <s v=""/>
    <s v=""/>
    <s v=""/>
    <s v=""/>
    <s v=""/>
    <s v="Material"/>
    <s v=""/>
    <s v=""/>
    <s v=""/>
    <s v="1000852200"/>
    <s v="TATIA 59H WB"/>
    <s v="Upstream"/>
    <s v="1046"/>
    <s v=""/>
    <s v=""/>
    <s v=""/>
    <s v=""/>
    <s v=""/>
    <s v=""/>
    <s v=""/>
    <n v="1"/>
    <s v="PC"/>
    <n v="61.1"/>
    <s v=""/>
    <n v="61.1"/>
    <s v="--multiple--"/>
    <s v="706723"/>
    <d v="2025-10-01T14:30:36"/>
    <s v=""/>
    <s v=""/>
    <s v=""/>
    <s v=""/>
  </r>
  <r>
    <s v="338330"/>
    <s v="Lufkin US Acquisition Company LLC"/>
    <x v="3"/>
    <s v="John Garza"/>
    <s v="Jared Miller"/>
    <s v="DROVE TO LOCATION, DID JSA, L.O.T.O., REMOVED BELT GUARD, LOOSENED MOTOR MOUNTS, MOVED THE MOTOR FORWARD, REPLACED THE SHEAVE AND HUB, AND PLACED BELT GUARD BACK ONTO THE UNIT."/>
    <s v="5051035"/>
    <s v="Upstream"/>
    <s v=""/>
    <s v="USD"/>
    <n v="1478.63"/>
    <s v="Direct Entry"/>
    <s v="1"/>
    <s v="E7078438"/>
    <s v="SHEAVE &quot;QD&quot; 6C 9.5&quot;PD F HUB"/>
    <s v=""/>
    <d v="2025-10-01T14:31:28"/>
    <d v="2025-09-22T13:30:00"/>
    <d v="2025-09-22T19:00:00"/>
    <s v=""/>
    <s v=""/>
    <s v=""/>
    <s v=""/>
    <s v=""/>
    <s v=""/>
    <s v=""/>
    <s v=""/>
    <s v=""/>
    <s v=""/>
    <s v=""/>
    <s v=""/>
    <s v=""/>
    <s v=""/>
    <s v=""/>
    <s v=""/>
    <s v=""/>
    <s v=""/>
    <s v=""/>
    <s v=""/>
    <s v=""/>
    <s v=""/>
    <s v=""/>
    <s v=""/>
    <s v="Material"/>
    <s v=""/>
    <s v=""/>
    <s v=""/>
    <s v="1001111200"/>
    <s v="LUPIN 3748 E 002H MS"/>
    <s v="Upstream"/>
    <s v="1046"/>
    <s v=""/>
    <s v=""/>
    <s v=""/>
    <s v=""/>
    <s v=""/>
    <s v=""/>
    <s v=""/>
    <n v="1"/>
    <s v="PC"/>
    <n v="279.63"/>
    <s v=""/>
    <n v="279.63"/>
    <s v="--multiple--"/>
    <s v="706723"/>
    <d v="2025-10-01T14:33:03"/>
    <s v=""/>
    <s v=""/>
    <s v=""/>
    <s v=""/>
  </r>
  <r>
    <s v="338315"/>
    <s v="Lufkin US Acquisition Company LLC"/>
    <x v="3"/>
    <s v="John Garza"/>
    <s v="Jared Miller"/>
    <s v="DROVE TO LOCATION, SAFETY MEETING, WAITED ON KILL TRUCK AND POLISH ROD. WRONG POLISH ROD WAS DELIVERED TO LOCATION, SO HAD TO WAIT ON CORRECT PARTS, IN ORDER TO INSTALL."/>
    <s v="5051035"/>
    <s v="Upstream"/>
    <s v=""/>
    <s v="USD"/>
    <n v="3199"/>
    <s v="Direct Entry"/>
    <s v="1"/>
    <s v="417PER"/>
    <s v="Crane Crew w/40-60T"/>
    <s v=""/>
    <d v="2025-10-01T14:23:58"/>
    <d v="2025-09-23T06:00:00"/>
    <d v="2025-09-23T13:00:00"/>
    <s v=""/>
    <s v=""/>
    <s v=""/>
    <s v=""/>
    <s v=""/>
    <s v=""/>
    <s v=""/>
    <s v=""/>
    <s v=""/>
    <s v=""/>
    <s v=""/>
    <s v=""/>
    <s v=""/>
    <s v=""/>
    <s v=""/>
    <s v=""/>
    <s v=""/>
    <s v=""/>
    <s v=""/>
    <s v=""/>
    <s v=""/>
    <s v=""/>
    <s v=""/>
    <s v=""/>
    <s v="Labor"/>
    <s v=""/>
    <s v=""/>
    <s v=""/>
    <s v="1000797900"/>
    <s v="LUPIN TXL FEE 2508E"/>
    <s v="Upstream"/>
    <s v="1046"/>
    <s v=""/>
    <s v=""/>
    <s v=""/>
    <s v=""/>
    <s v=""/>
    <s v=""/>
    <s v=""/>
    <n v="7"/>
    <s v="HR"/>
    <n v="457"/>
    <s v=""/>
    <n v="3199"/>
    <s v="--multiple--"/>
    <s v="706723"/>
    <d v="2025-10-01T14:24:39"/>
    <s v=""/>
    <s v=""/>
    <s v=""/>
    <s v=""/>
  </r>
  <r>
    <s v="OD1251268"/>
    <s v="Jet Specialty Inc"/>
    <x v="6"/>
    <s v="John Garza"/>
    <s v="Jared Miller"/>
    <s v="LEASE: COLLINGSWORTH BATTERY; BUYER: ALAN B./JOHN G.;"/>
    <s v="5051028"/>
    <s v="Upstream"/>
    <s v=""/>
    <s v="USD"/>
    <n v="49.9"/>
    <s v="API"/>
    <s v="1"/>
    <s v="NS680"/>
    <s v="22&quot; WIPER BLADE FOR 21' F150"/>
    <s v="MISC FITTINGS AND SUPPLIES"/>
    <d v="2025-10-03T09:15:58"/>
    <d v="2025-09-24T00:01:00"/>
    <d v="2025-09-24T00:01:00"/>
    <s v=""/>
    <s v=""/>
    <s v=""/>
    <s v=""/>
    <s v=""/>
    <s v=""/>
    <s v=""/>
    <s v=""/>
    <s v=""/>
    <s v=""/>
    <s v=""/>
    <s v=""/>
    <s v=""/>
    <s v=""/>
    <s v=""/>
    <s v=""/>
    <s v=""/>
    <s v=""/>
    <s v=""/>
    <s v=""/>
    <s v=""/>
    <s v=""/>
    <s v=""/>
    <s v=""/>
    <s v="Material"/>
    <s v=""/>
    <s v=""/>
    <s v=""/>
    <s v="8000302100"/>
    <s v="COLLINGSWORTH BATTERY"/>
    <s v="Upstream"/>
    <s v="1046"/>
    <s v=""/>
    <s v=""/>
    <s v=""/>
    <s v=""/>
    <s v=""/>
    <s v=""/>
    <s v=""/>
    <n v="2"/>
    <s v="EA"/>
    <n v="24.95"/>
    <s v=""/>
    <n v="49.9"/>
    <s v="--multiple--"/>
    <s v="708023"/>
    <d v="2025-10-03T09:15:58"/>
    <s v=""/>
    <s v=""/>
    <s v=""/>
    <s v=""/>
  </r>
  <r>
    <s v="OD1251270"/>
    <s v="Jet Specialty Inc"/>
    <x v="6"/>
    <s v="John Garza"/>
    <s v="Jared Miller"/>
    <s v="LEASE: COLLINGSWORTH BATTERY; BUYER: ALAN B./JOHN G.;"/>
    <s v="5051049"/>
    <s v="Upstream"/>
    <s v=""/>
    <s v="USD"/>
    <n v="64.77"/>
    <s v="API"/>
    <s v="1"/>
    <s v="73734"/>
    <s v="2&quot; X 1&quot; C/S XH SWAGE TBE"/>
    <s v="E&amp;M"/>
    <d v="2025-10-03T09:16:19"/>
    <d v="2025-09-24T00:01:00"/>
    <d v="2025-09-24T00:01:00"/>
    <s v=""/>
    <s v=""/>
    <s v=""/>
    <s v=""/>
    <s v=""/>
    <s v=""/>
    <s v=""/>
    <s v=""/>
    <s v=""/>
    <s v=""/>
    <s v=""/>
    <s v=""/>
    <s v=""/>
    <s v=""/>
    <s v=""/>
    <s v=""/>
    <s v=""/>
    <s v=""/>
    <s v=""/>
    <s v=""/>
    <s v=""/>
    <s v=""/>
    <s v=""/>
    <s v=""/>
    <s v="Material"/>
    <s v=""/>
    <s v=""/>
    <s v=""/>
    <s v="8000302100"/>
    <s v="COLLINGSWORTH BATTERY"/>
    <s v="Upstream"/>
    <s v="1046"/>
    <s v=""/>
    <s v=""/>
    <s v=""/>
    <s v=""/>
    <s v=""/>
    <s v=""/>
    <s v=""/>
    <n v="1"/>
    <s v="each"/>
    <n v="41.85"/>
    <s v=""/>
    <n v="41.85"/>
    <s v="--multiple--"/>
    <s v="708023"/>
    <d v="2025-10-03T09:16:19"/>
    <s v=""/>
    <s v=""/>
    <s v=""/>
    <s v=""/>
  </r>
  <r>
    <s v="V-55857"/>
    <s v="J&amp;R Roustabout, LLC"/>
    <x v="6"/>
    <s v="Ishmel Mesta"/>
    <s v="Mason Rutledge"/>
    <s v="DROVE TO LOCATION AND HAULED PW TO SWD AND UNLOADED."/>
    <s v="5051054"/>
    <s v="Upstream"/>
    <s v=""/>
    <s v="USD"/>
    <n v="189.5"/>
    <s v="Direct Entry"/>
    <s v="1"/>
    <s v="VACUUM TRUCK"/>
    <s v="Vacuum Truck"/>
    <s v="VACUUM"/>
    <d v="2025-10-13T09:09:38"/>
    <d v="2025-10-11T11:15:00"/>
    <d v="2025-10-11T12:30:00"/>
    <d v="1899-12-30T01:15:00"/>
    <s v="FM HALL 20"/>
    <s v=""/>
    <s v=""/>
    <s v="LABOR"/>
    <s v=""/>
    <s v=""/>
    <s v=""/>
    <s v=""/>
    <s v=""/>
    <s v=""/>
    <s v=""/>
    <s v=""/>
    <s v=""/>
    <s v=""/>
    <s v=""/>
    <s v=""/>
    <s v=""/>
    <s v=""/>
    <s v=""/>
    <s v=""/>
    <s v=""/>
    <n v="0"/>
    <s v="bbl"/>
    <s v=""/>
    <s v=""/>
    <s v=""/>
    <s v=""/>
    <s v="8300099100"/>
    <s v="FM HALL 20 BATTERY"/>
    <s v="Upstream"/>
    <s v="1046"/>
    <s v=""/>
    <s v=""/>
    <s v=""/>
    <s v=""/>
    <s v=""/>
    <s v=""/>
    <s v="Other"/>
    <n v="1.25"/>
    <s v="HR"/>
    <n v="90"/>
    <s v=""/>
    <n v="112.5"/>
    <s v="Pricebook"/>
    <s v="712950"/>
    <d v="2025-10-13T09:11:30"/>
    <s v=""/>
    <s v=""/>
    <s v=""/>
    <s v=""/>
  </r>
  <r>
    <s v="PVC031553"/>
    <s v="PLATINUM VAPOR CONTROL"/>
    <x v="9"/>
    <s v="John Garza"/>
    <s v="Jared Miller"/>
    <s v="Service Billable"/>
    <s v="5051064"/>
    <s v="Upstream"/>
    <s v="52819"/>
    <s v="USD"/>
    <n v="19948.86"/>
    <s v="Direct Entry"/>
    <s v="2"/>
    <s v="MILEAGE"/>
    <s v="MILEAGE"/>
    <s v="Other"/>
    <d v="2025-10-03T08:24:18"/>
    <d v="2025-10-01T07:45:00"/>
    <d v="2025-10-01T13:45:00"/>
    <s v=""/>
    <s v="Collingsworth Battery"/>
    <s v=""/>
    <s v=""/>
    <s v=""/>
    <s v=""/>
    <s v=""/>
    <s v=""/>
    <s v=""/>
    <s v=""/>
    <s v=""/>
    <s v=""/>
    <s v=""/>
    <s v=""/>
    <s v=""/>
    <s v=""/>
    <s v=""/>
    <s v=""/>
    <s v=""/>
    <s v=""/>
    <s v=""/>
    <s v=""/>
    <s v=""/>
    <s v=""/>
    <s v="Labor"/>
    <s v=""/>
    <s v=""/>
    <s v=""/>
    <s v="8000302100"/>
    <s v="COLLINGSWORTH BATTERY"/>
    <s v="Upstream"/>
    <s v="1046"/>
    <s v=""/>
    <s v=""/>
    <s v=""/>
    <s v=""/>
    <s v=""/>
    <s v=""/>
    <s v=""/>
    <n v="45"/>
    <s v="MI"/>
    <n v="1.75"/>
    <s v=""/>
    <n v="78.75"/>
    <s v="--multiple--"/>
    <s v="708967"/>
    <d v="2025-10-03T08:27:36"/>
    <s v=""/>
    <s v=""/>
    <s v=""/>
    <s v=""/>
  </r>
  <r>
    <s v="V-55831"/>
    <s v="J&amp;R Roustabout, LLC"/>
    <x v="7"/>
    <s v="Ishmel Mesta"/>
    <s v="Mason Rutledge"/>
    <s v="DROVE TO LOCATION AND PUT HOSES TO PICK UP A SPILL AROUND LOCATION AFTER FINISHED I DROVE TO EMPTY AND WASH OUT TRAILER, THEN DROVE BACK TO YARD"/>
    <s v="5051054"/>
    <s v="Upstream"/>
    <s v=""/>
    <s v="USD"/>
    <n v="990"/>
    <s v="Direct Entry"/>
    <s v="1"/>
    <s v="VACUUM TRUCK"/>
    <s v="Vacuum Truck"/>
    <s v="VACUUM"/>
    <d v="2025-10-13T09:37:57"/>
    <d v="2025-10-12T07:15:00"/>
    <d v="2025-10-12T18:15:00"/>
    <d v="1899-12-30T11:00:00"/>
    <s v="PIER 22-23 UNIT 2"/>
    <s v=""/>
    <s v=""/>
    <s v="LABOR"/>
    <s v=""/>
    <s v=""/>
    <s v=""/>
    <s v=""/>
    <s v=""/>
    <s v=""/>
    <s v=""/>
    <s v=""/>
    <s v=""/>
    <s v=""/>
    <s v=""/>
    <s v=""/>
    <s v=""/>
    <s v=""/>
    <s v=""/>
    <s v=""/>
    <s v=""/>
    <n v="0"/>
    <s v="bbl"/>
    <s v=""/>
    <s v=""/>
    <s v=""/>
    <s v=""/>
    <s v="8300138900"/>
    <s v="PIER 22-23 UNIT 1-UNIT 2 BATTERY"/>
    <s v="Upstream"/>
    <s v="1046"/>
    <s v=""/>
    <s v=""/>
    <s v=""/>
    <s v=""/>
    <s v=""/>
    <s v=""/>
    <s v="Other"/>
    <n v="11"/>
    <s v="HR"/>
    <n v="90"/>
    <s v=""/>
    <n v="990"/>
    <s v="Pricebook"/>
    <s v="712950"/>
    <d v="2025-10-14T12:42:03"/>
    <s v=""/>
    <s v=""/>
    <s v="Ticket Reference Error"/>
    <s v=""/>
  </r>
  <r>
    <s v="V-55859"/>
    <s v="J&amp;R Roustabout, LLC"/>
    <x v="7"/>
    <s v="Ishmel Mesta"/>
    <s v="Mason Rutledge"/>
    <s v="DROVE TO LOCATION AND GAUGE TANK PULLED ONE LOAD 110 BBLSOF PRODUCED WATER AND HAULED BLUE DUCK #2 TO SWD AND UNLOADED."/>
    <s v="5051054"/>
    <s v="Upstream"/>
    <s v=""/>
    <s v="USD"/>
    <n v="279.5"/>
    <s v="Direct Entry"/>
    <s v="1"/>
    <s v="VACUUM TRUCK"/>
    <s v="Vacuum Truck"/>
    <s v="VACUUM"/>
    <d v="2025-10-13T09:55:12"/>
    <d v="2025-10-12T07:00:00"/>
    <d v="2025-10-12T09:15:00"/>
    <d v="1899-12-30T02:15:00"/>
    <s v="NAIL RANCH CBT"/>
    <s v=""/>
    <s v=""/>
    <s v="LABOR"/>
    <s v=""/>
    <s v=""/>
    <s v=""/>
    <s v=""/>
    <s v=""/>
    <s v=""/>
    <s v=""/>
    <s v=""/>
    <s v=""/>
    <s v=""/>
    <s v=""/>
    <s v=""/>
    <s v=""/>
    <s v=""/>
    <s v=""/>
    <s v=""/>
    <s v=""/>
    <n v="0"/>
    <s v="bbl"/>
    <s v=""/>
    <s v=""/>
    <s v=""/>
    <s v=""/>
    <s v="8000129400"/>
    <s v="NAIL RANCH CTB"/>
    <s v="Upstream"/>
    <s v="1046"/>
    <s v=""/>
    <s v=""/>
    <s v=""/>
    <s v=""/>
    <s v=""/>
    <s v=""/>
    <s v="Other"/>
    <n v="2.25"/>
    <s v="HR"/>
    <n v="90"/>
    <s v=""/>
    <n v="202.5"/>
    <s v="Pricebook"/>
    <s v="712950"/>
    <d v="2025-10-14T13:00:47"/>
    <s v=""/>
    <s v=""/>
    <s v="Attachment Issue"/>
    <s v=""/>
  </r>
  <r>
    <s v="202544612"/>
    <s v="AM Fabrication Inc"/>
    <x v="9"/>
    <s v="Ruston Pardue"/>
    <s v="Jared Miller"/>
    <s v="Pm on VRU, checked oil level, replaced oil filters, and made sure unit was operational. No issues found"/>
    <s v="5051064"/>
    <s v="Upstream"/>
    <s v="148452"/>
    <s v="USD"/>
    <n v="538.58000000000004"/>
    <s v="Direct Entry"/>
    <s v="1"/>
    <s v="1236"/>
    <s v="Diamondback PM VRU"/>
    <s v="Stock item"/>
    <d v="2025-10-03T07:18:21"/>
    <d v="2025-09-25T14:00:00"/>
    <d v="2025-09-25T16:00:00"/>
    <s v=""/>
    <s v="MEADOR BATTERY"/>
    <s v=""/>
    <s v=""/>
    <s v=""/>
    <s v=""/>
    <s v=""/>
    <s v=""/>
    <s v=""/>
    <s v=""/>
    <s v=""/>
    <s v=""/>
    <s v=""/>
    <s v=""/>
    <s v=""/>
    <s v=""/>
    <s v=""/>
    <s v=""/>
    <s v=""/>
    <s v=""/>
    <s v=""/>
    <s v=""/>
    <s v=""/>
    <s v=""/>
    <s v="Labor"/>
    <s v=""/>
    <s v=""/>
    <s v=""/>
    <s v="8000308600"/>
    <s v="MEADORS BATTERY - ECTOR"/>
    <s v="Upstream"/>
    <s v="1046"/>
    <s v=""/>
    <s v=""/>
    <s v=""/>
    <s v=""/>
    <s v=""/>
    <s v=""/>
    <s v=""/>
    <n v="1"/>
    <s v="EA"/>
    <n v="325"/>
    <s v=""/>
    <n v="325"/>
    <s v="--multiple--"/>
    <s v="703623"/>
    <d v="2025-10-03T07:19:27"/>
    <s v=""/>
    <s v=""/>
    <s v=""/>
    <s v=""/>
  </r>
  <r>
    <s v="202544611"/>
    <s v="AM Fabrication Inc"/>
    <x v="9"/>
    <s v="Ruston Pardue"/>
    <s v="Jared Miller"/>
    <s v="Pm on VRU, checked oil level, replaced oil filter, and made sure unit was operational. No issues found"/>
    <s v="5051064"/>
    <s v="Upstream"/>
    <s v="148452"/>
    <s v="USD"/>
    <n v="431.79"/>
    <s v="Direct Entry"/>
    <s v="1"/>
    <s v="1236"/>
    <s v="Diamondback PM VRU"/>
    <s v="Stock item"/>
    <d v="2025-10-03T07:16:09"/>
    <d v="2025-09-25T16:00:00"/>
    <d v="2025-09-25T18:00:00"/>
    <s v=""/>
    <s v="MEADOR BATTERY"/>
    <s v=""/>
    <s v=""/>
    <s v=""/>
    <s v=""/>
    <s v=""/>
    <s v=""/>
    <s v=""/>
    <s v=""/>
    <s v=""/>
    <s v=""/>
    <s v=""/>
    <s v=""/>
    <s v=""/>
    <s v=""/>
    <s v=""/>
    <s v=""/>
    <s v=""/>
    <s v=""/>
    <s v=""/>
    <s v=""/>
    <s v=""/>
    <s v=""/>
    <s v="Labor"/>
    <s v=""/>
    <s v=""/>
    <s v=""/>
    <s v="8000308600"/>
    <s v="MEADORS BATTERY - ECTOR"/>
    <s v="Upstream"/>
    <s v="1046"/>
    <s v=""/>
    <s v=""/>
    <s v=""/>
    <s v=""/>
    <s v=""/>
    <s v=""/>
    <s v=""/>
    <n v="1"/>
    <s v="EA"/>
    <n v="325"/>
    <s v=""/>
    <n v="325"/>
    <s v="--multiple--"/>
    <s v="703623"/>
    <d v="2025-10-03T07:17:41"/>
    <s v=""/>
    <s v=""/>
    <s v=""/>
    <s v=""/>
  </r>
  <r>
    <s v="V-55861"/>
    <s v="J&amp;R Roustabout, LLC"/>
    <x v="7"/>
    <s v="Ishmel Mesta"/>
    <s v="Mason Rutledge"/>
    <s v="DROVE TO LOCATION I PICKED UP 8 BBLS OD OIL FROM THE FLOOR AT THE LOCATION AT THE END I DROVE TO BUCHANAN TO DISPOSAL AND WASH OUT TRAILER"/>
    <s v="5051054"/>
    <s v="Upstream"/>
    <s v=""/>
    <s v="USD"/>
    <n v="832.5"/>
    <s v="Direct Entry"/>
    <s v="1"/>
    <s v="VACUUM TRUCK"/>
    <s v="Vacuum Truck"/>
    <s v="VACUUM"/>
    <d v="2025-10-13T10:01:07"/>
    <d v="2025-10-12T09:15:00"/>
    <d v="2025-10-12T18:30:00"/>
    <d v="1899-12-30T09:15:00"/>
    <s v="PIER 22-23 UNIT 2"/>
    <s v=""/>
    <s v=""/>
    <s v="LABOR"/>
    <s v=""/>
    <s v=""/>
    <s v=""/>
    <s v=""/>
    <s v=""/>
    <s v=""/>
    <s v=""/>
    <s v=""/>
    <s v=""/>
    <s v=""/>
    <s v=""/>
    <s v=""/>
    <s v=""/>
    <s v=""/>
    <s v=""/>
    <s v=""/>
    <s v=""/>
    <n v="0"/>
    <s v="bbl"/>
    <s v=""/>
    <s v=""/>
    <s v=""/>
    <s v=""/>
    <s v="8300138900"/>
    <s v="PIER 22-23 UNIT 1-UNIT 2 BATTERY"/>
    <s v="Upstream"/>
    <s v="1046"/>
    <s v=""/>
    <s v=""/>
    <s v=""/>
    <s v=""/>
    <s v=""/>
    <s v=""/>
    <s v="Other"/>
    <n v="9.25"/>
    <s v="HR"/>
    <n v="90"/>
    <s v=""/>
    <n v="832.5"/>
    <s v="Pricebook"/>
    <s v="712950"/>
    <d v="2025-10-13T10:06:15"/>
    <s v=""/>
    <s v=""/>
    <s v=""/>
    <s v=""/>
  </r>
  <r>
    <s v="285971"/>
    <s v="Bold Production Services"/>
    <x v="5"/>
    <s v="Jacob Lentz"/>
    <s v="Louis Valencia"/>
    <s v="CORSICAN RENTAL"/>
    <s v="5051037"/>
    <s v="Upstream"/>
    <s v=""/>
    <s v="USD"/>
    <n v="5219"/>
    <s v="Direct Entry"/>
    <s v="1"/>
    <s v=""/>
    <s v="4.2 C108 Total Flow Cooler"/>
    <s v="E&amp;M"/>
    <d v="2025-10-01T11:06:23"/>
    <d v="2025-09-01T00:00:00"/>
    <d v="2025-09-17T00:00:00"/>
    <s v=""/>
    <s v="CORSICAN"/>
    <s v=""/>
    <s v=""/>
    <s v=""/>
    <s v=""/>
    <s v=""/>
    <s v=""/>
    <s v=""/>
    <s v=""/>
    <s v=""/>
    <s v=""/>
    <s v=""/>
    <s v=""/>
    <s v=""/>
    <s v=""/>
    <s v=""/>
    <s v=""/>
    <s v=""/>
    <s v=""/>
    <s v=""/>
    <s v=""/>
    <s v=""/>
    <s v=""/>
    <s v="Equipment"/>
    <s v=""/>
    <s v=""/>
    <s v=""/>
    <s v="8000300500"/>
    <s v="CORSICAN BATTERY"/>
    <s v="Upstream"/>
    <s v="1046"/>
    <s v=""/>
    <s v=""/>
    <s v=""/>
    <s v=""/>
    <s v=""/>
    <s v=""/>
    <s v=""/>
    <n v="1"/>
    <s v="MON"/>
    <n v="5219"/>
    <s v=""/>
    <n v="5219"/>
    <s v=""/>
    <s v="706456"/>
    <d v="2025-10-01T13:01:50"/>
    <s v=""/>
    <s v=""/>
    <s v=""/>
    <s v=""/>
  </r>
  <r>
    <s v="1002166"/>
    <s v="B-P Supply Inc"/>
    <x v="0"/>
    <s v="Andrew Bazewicz"/>
    <s v="Javier Barrera"/>
    <s v="PARTS ORDERED BY ANDREW BAZEWICZ - BLUEBONNET FIELD ALLOCATION"/>
    <s v="5051028"/>
    <s v="Upstream"/>
    <s v=""/>
    <s v="USD"/>
    <n v="275.79000000000002"/>
    <s v="B2B"/>
    <s v="1"/>
    <s v="SPECIALORDER"/>
    <s v="12V FORD F250 BATTERY"/>
    <s v=""/>
    <d v="2025-09-29T14:54:08"/>
    <d v="2025-09-24T00:00:00"/>
    <d v="2025-09-24T00:00:00"/>
    <s v=""/>
    <s v=""/>
    <s v=""/>
    <s v=""/>
    <s v=""/>
    <s v=""/>
    <s v=""/>
    <s v=""/>
    <s v=""/>
    <s v=""/>
    <s v=""/>
    <s v=""/>
    <s v=""/>
    <s v=""/>
    <s v=""/>
    <s v=""/>
    <s v=""/>
    <s v=""/>
    <s v=""/>
    <s v=""/>
    <s v=""/>
    <s v=""/>
    <s v=""/>
    <s v=""/>
    <s v="Material"/>
    <s v=""/>
    <s v=""/>
    <s v=""/>
    <s v="9000000600"/>
    <s v="BLUEBONNET FIELD ALLOCATION"/>
    <s v="Upstream"/>
    <s v="1046"/>
    <s v=""/>
    <s v=""/>
    <s v=""/>
    <s v=""/>
    <s v=""/>
    <s v=""/>
    <s v=""/>
    <n v="1"/>
    <s v="EA"/>
    <n v="275.79000000000002"/>
    <s v=""/>
    <n v="275.79000000000002"/>
    <s v="--multiple--"/>
    <s v="705219"/>
    <d v="2025-10-10T10:23:25"/>
    <s v=""/>
    <s v=""/>
    <s v=""/>
    <s v=""/>
  </r>
  <r>
    <s v="1002068"/>
    <s v="B-P Supply Inc"/>
    <x v="0"/>
    <s v="Andrew Bazewicz"/>
    <s v="Javier Barrera"/>
    <s v="PARTS ORDERED BY ANDREW BAZEWICZ - WATCHMAN 30-26 5SB"/>
    <s v="5051028"/>
    <s v="Upstream"/>
    <s v=""/>
    <s v="USD"/>
    <n v="753.31"/>
    <s v="B2B"/>
    <s v="1"/>
    <s v="0156-213.40-17-J"/>
    <s v="4&quot; WIKA GAUGE 600# BRASS FF"/>
    <s v="Other"/>
    <d v="2025-09-29T14:54:16"/>
    <d v="2025-09-24T00:00:00"/>
    <d v="2025-09-24T00:00:00"/>
    <s v=""/>
    <s v=""/>
    <s v=""/>
    <s v=""/>
    <s v=""/>
    <s v=""/>
    <s v=""/>
    <s v=""/>
    <s v=""/>
    <s v=""/>
    <s v=""/>
    <s v=""/>
    <s v=""/>
    <s v=""/>
    <s v=""/>
    <s v=""/>
    <s v=""/>
    <s v=""/>
    <s v=""/>
    <s v=""/>
    <s v=""/>
    <s v=""/>
    <s v=""/>
    <s v=""/>
    <s v="Material"/>
    <s v=""/>
    <s v=""/>
    <s v=""/>
    <s v="1000674900"/>
    <s v="WATCHMAN 30-26 E 5SB"/>
    <s v="Upstream"/>
    <s v="1046"/>
    <s v=""/>
    <s v=""/>
    <s v=""/>
    <s v=""/>
    <s v=""/>
    <s v=""/>
    <s v=""/>
    <n v="4"/>
    <s v="EA"/>
    <n v="173.54"/>
    <s v=""/>
    <n v="694.14"/>
    <s v="--multiple--"/>
    <s v="705219"/>
    <d v="2025-10-10T09:30:03"/>
    <s v=""/>
    <s v=""/>
    <s v=""/>
    <s v=""/>
  </r>
  <r>
    <s v="1002064"/>
    <s v="B-P Supply Inc"/>
    <x v="0"/>
    <s v="Andrew Bazewicz"/>
    <s v="Javier Barrera"/>
    <s v="PARTS ORDERED BY JAVIER BARRERA - NEAL LETHCO  SMALLS BATTERY"/>
    <s v="5051049"/>
    <s v="Upstream"/>
    <s v=""/>
    <s v="USD"/>
    <n v="283.35000000000002"/>
    <s v="B2B"/>
    <s v="1"/>
    <s v="0059-17-HP170-VIC"/>
    <s v="4&quot; HP170 VICTAULIC COUPLING"/>
    <s v=""/>
    <d v="2025-09-29T14:54:21"/>
    <d v="2025-09-24T00:00:00"/>
    <d v="2025-09-24T00:00:00"/>
    <s v=""/>
    <s v=""/>
    <s v=""/>
    <s v=""/>
    <s v=""/>
    <s v=""/>
    <s v=""/>
    <s v=""/>
    <s v=""/>
    <s v=""/>
    <s v=""/>
    <s v=""/>
    <s v=""/>
    <s v=""/>
    <s v=""/>
    <s v=""/>
    <s v=""/>
    <s v=""/>
    <s v=""/>
    <s v=""/>
    <s v=""/>
    <s v=""/>
    <s v=""/>
    <s v=""/>
    <s v="Material"/>
    <s v=""/>
    <s v=""/>
    <s v=""/>
    <s v="8000010800"/>
    <s v="NEAL LETHCO SMALLS BATTERY"/>
    <s v="Upstream"/>
    <s v="1046"/>
    <s v=""/>
    <s v=""/>
    <s v=""/>
    <s v=""/>
    <s v=""/>
    <s v=""/>
    <s v=""/>
    <n v="2"/>
    <s v="EA"/>
    <n v="64.739999999999995"/>
    <s v=""/>
    <n v="129.47999999999999"/>
    <s v="--multiple--"/>
    <s v="705219"/>
    <d v="2025-10-10T09:25:09"/>
    <s v=""/>
    <s v=""/>
    <s v=""/>
    <s v=""/>
  </r>
  <r>
    <s v="1002207"/>
    <s v="B-P Supply Inc"/>
    <x v="0"/>
    <s v="Andrew Bazewicz"/>
    <s v="Javier Barrera"/>
    <s v="PARTS ORDERED BY ANDREW BAZEWICZ - NEAL LETHCO 39 BATTERY"/>
    <s v="5051028"/>
    <s v="Upstream"/>
    <s v=""/>
    <s v="USD"/>
    <n v="133.65"/>
    <s v="B2B"/>
    <s v="1"/>
    <s v="SPECIALORDER"/>
    <s v="M12 AND M18 RAPID BATTERY CHARGER"/>
    <s v=""/>
    <d v="2025-09-29T14:54:10"/>
    <d v="2025-09-25T00:00:00"/>
    <d v="2025-09-25T00:00:00"/>
    <s v=""/>
    <s v=""/>
    <s v=""/>
    <s v=""/>
    <s v=""/>
    <s v=""/>
    <s v=""/>
    <s v=""/>
    <s v=""/>
    <s v=""/>
    <s v=""/>
    <s v=""/>
    <s v=""/>
    <s v=""/>
    <s v=""/>
    <s v=""/>
    <s v=""/>
    <s v=""/>
    <s v=""/>
    <s v=""/>
    <s v=""/>
    <s v=""/>
    <s v=""/>
    <s v=""/>
    <s v="Material"/>
    <s v=""/>
    <s v=""/>
    <s v=""/>
    <s v="8000011000"/>
    <s v="NEAL LETHCO 39-37 BATTERY"/>
    <s v="Upstream"/>
    <s v="1046"/>
    <s v=""/>
    <s v=""/>
    <s v=""/>
    <s v=""/>
    <s v=""/>
    <s v=""/>
    <s v=""/>
    <n v="1"/>
    <s v="EA"/>
    <n v="133.65"/>
    <s v=""/>
    <n v="133.65"/>
    <s v="--multiple--"/>
    <s v="705219"/>
    <d v="2025-10-10T11:07:57"/>
    <s v=""/>
    <s v=""/>
    <s v=""/>
    <s v=""/>
  </r>
  <r>
    <s v="1002248"/>
    <s v="B-P Supply Inc"/>
    <x v="0"/>
    <s v="Andrew Bazewicz"/>
    <s v="Javier Barrera"/>
    <s v="PARTS ORDERED BY ANDREW BAZEWICZ - SIBLEY H BATTERY"/>
    <s v="5051028"/>
    <s v="Upstream"/>
    <s v=""/>
    <s v="USD"/>
    <n v="2875.53"/>
    <s v="B2B"/>
    <s v="1"/>
    <s v="0150-11-DOME-HSN-NET"/>
    <s v="1 1/2'' DOME HSN PACKING NETCO"/>
    <s v=""/>
    <d v="2025-09-29T14:54:30"/>
    <d v="2025-09-25T00:00:00"/>
    <d v="2025-09-25T00:00:00"/>
    <s v=""/>
    <s v=""/>
    <s v=""/>
    <s v=""/>
    <s v=""/>
    <s v=""/>
    <s v=""/>
    <s v=""/>
    <s v=""/>
    <s v=""/>
    <s v=""/>
    <s v=""/>
    <s v=""/>
    <s v=""/>
    <s v=""/>
    <s v=""/>
    <s v=""/>
    <s v=""/>
    <s v=""/>
    <s v=""/>
    <s v=""/>
    <s v=""/>
    <s v=""/>
    <s v=""/>
    <s v="Material"/>
    <s v=""/>
    <s v=""/>
    <s v=""/>
    <s v="8000014200"/>
    <s v="SIBLEY H BATTERY"/>
    <s v="Upstream"/>
    <s v="1046"/>
    <s v=""/>
    <s v=""/>
    <s v=""/>
    <s v=""/>
    <s v=""/>
    <s v=""/>
    <s v=""/>
    <n v="3"/>
    <s v="EA"/>
    <n v="177.75"/>
    <s v=""/>
    <n v="533.25"/>
    <s v="--multiple--"/>
    <s v="705219"/>
    <d v="2025-10-10T11:20:44"/>
    <s v=""/>
    <s v=""/>
    <s v=""/>
    <s v=""/>
  </r>
  <r>
    <s v="1002321"/>
    <s v="B-P Supply Inc"/>
    <x v="0"/>
    <s v="Andrew Bazewicz"/>
    <s v="Javier Barrera"/>
    <s v="PARTS ORDERED BY RAGON LE MAIRE - SDB-BLB 21C"/>
    <s v="5051028"/>
    <s v="Upstream"/>
    <s v=""/>
    <s v="USD"/>
    <n v="637.42999999999995"/>
    <s v="B2B"/>
    <s v="1"/>
    <s v="0220-ND30-QT"/>
    <s v="QT ND-30W"/>
    <s v="Other"/>
    <d v="2025-10-07T15:14:12"/>
    <d v="2025-09-25T00:00:00"/>
    <d v="2025-09-25T00:00:00"/>
    <s v=""/>
    <s v=""/>
    <s v=""/>
    <s v=""/>
    <s v=""/>
    <s v=""/>
    <s v=""/>
    <s v=""/>
    <s v=""/>
    <s v=""/>
    <s v=""/>
    <s v=""/>
    <s v=""/>
    <s v=""/>
    <s v=""/>
    <s v=""/>
    <s v=""/>
    <s v=""/>
    <s v=""/>
    <s v=""/>
    <s v=""/>
    <s v=""/>
    <s v=""/>
    <s v=""/>
    <s v="Material"/>
    <s v=""/>
    <s v=""/>
    <s v=""/>
    <s v="9100001100"/>
    <s v="SDB-BLB 21C"/>
    <s v="Upstream"/>
    <s v="1046"/>
    <s v=""/>
    <s v=""/>
    <s v=""/>
    <s v=""/>
    <s v=""/>
    <s v=""/>
    <s v=""/>
    <n v="72"/>
    <s v="EA"/>
    <n v="6.92"/>
    <s v=""/>
    <n v="498.05"/>
    <s v="--multiple--"/>
    <s v="705219"/>
    <d v="2025-10-10T11:27:19"/>
    <s v=""/>
    <s v=""/>
    <s v=""/>
    <s v=""/>
  </r>
  <r>
    <s v="44429"/>
    <s v="J&amp;T Energy Services Inc."/>
    <x v="3"/>
    <s v="Jacob Lentz"/>
    <s v="Louis Valencia"/>
    <s v="TREAT WELL. HOT WATER FLOWLINE W/20 BBLS, HOT WATER CASING W/50 BBLS. LOAD &amp; TEST W/1 BBL TO 500 PSI AND HELD. GOOD PUMP ACTION."/>
    <s v="5051026"/>
    <s v="Upstream"/>
    <s v=""/>
    <s v="USD"/>
    <n v="347.48"/>
    <s v="Direct Entry"/>
    <s v="1"/>
    <s v="Scheduled Program Hot Oil per BBL"/>
    <s v="Scheduled Program Hot Oil per BBL"/>
    <s v=""/>
    <d v="2025-09-08T14:52:00"/>
    <d v="2025-09-04T09:45:00"/>
    <d v="2025-09-04T10:30:00"/>
    <s v=""/>
    <s v=""/>
    <s v=""/>
    <s v=""/>
    <s v=""/>
    <s v=""/>
    <s v=""/>
    <s v=""/>
    <s v=""/>
    <s v=""/>
    <s v=""/>
    <s v=""/>
    <s v=""/>
    <s v=""/>
    <s v=""/>
    <s v=""/>
    <s v=""/>
    <s v=""/>
    <s v=""/>
    <s v=""/>
    <s v=""/>
    <s v=""/>
    <s v=""/>
    <s v=""/>
    <s v="Labor"/>
    <s v=""/>
    <s v=""/>
    <s v=""/>
    <s v="1000546300"/>
    <s v="WORSHAM 6-15 3H"/>
    <s v="Upstream"/>
    <s v="1046"/>
    <s v=""/>
    <s v=""/>
    <s v=""/>
    <s v=""/>
    <s v=""/>
    <s v=""/>
    <s v=""/>
    <n v="119"/>
    <s v="BBL"/>
    <n v="2.92"/>
    <s v=""/>
    <n v="347.48"/>
    <s v="--multiple--"/>
    <s v="707979"/>
    <d v="2025-10-01T09:00:53"/>
    <s v=""/>
    <s v=""/>
    <s v="Attachment Issue | PriceBooks Issue"/>
    <s v=""/>
  </r>
  <r>
    <s v="1002602"/>
    <s v="B-P Supply Inc"/>
    <x v="0"/>
    <s v="Andrew Bazewicz"/>
    <s v="Javier Barrera"/>
    <s v="PARTS ORDERED BY LUIS LOPEZ - SABINE 10S-2 1H"/>
    <s v="5051028"/>
    <s v="Upstream"/>
    <s v=""/>
    <s v="USD"/>
    <n v="83.01"/>
    <s v="B2B"/>
    <s v="1"/>
    <s v="0220-ND30-QT"/>
    <s v="QT ND-30W"/>
    <s v="Other"/>
    <d v="2025-10-07T15:14:12"/>
    <d v="2025-09-29T00:00:00"/>
    <d v="2025-09-29T00:00:00"/>
    <s v=""/>
    <s v=""/>
    <s v=""/>
    <s v=""/>
    <s v=""/>
    <s v=""/>
    <s v=""/>
    <s v=""/>
    <s v=""/>
    <s v=""/>
    <s v=""/>
    <s v=""/>
    <s v=""/>
    <s v=""/>
    <s v=""/>
    <s v=""/>
    <s v=""/>
    <s v=""/>
    <s v=""/>
    <s v=""/>
    <s v=""/>
    <s v=""/>
    <s v=""/>
    <s v=""/>
    <s v="Material"/>
    <s v=""/>
    <s v=""/>
    <s v=""/>
    <s v="1000449200"/>
    <s v="SABINE 10S-2 1H"/>
    <s v="Upstream"/>
    <s v="1046"/>
    <s v=""/>
    <s v=""/>
    <s v=""/>
    <s v=""/>
    <s v=""/>
    <s v=""/>
    <s v=""/>
    <n v="12"/>
    <s v="EA"/>
    <n v="6.92"/>
    <s v=""/>
    <n v="83.01"/>
    <s v="--multiple--"/>
    <s v="705219"/>
    <d v="2025-10-10T14:21:07"/>
    <s v=""/>
    <s v=""/>
    <s v=""/>
    <s v=""/>
  </r>
  <r>
    <s v="1002604"/>
    <s v="B-P Supply Inc"/>
    <x v="0"/>
    <s v="Andrew Bazewicz"/>
    <s v="Javier Barrera"/>
    <s v="PARTS ORDERED BY LUIS LOPEZ - NEAL LETHCO UNIT 27-25 1WA"/>
    <s v="5051028"/>
    <s v="Upstream"/>
    <s v=""/>
    <s v="USD"/>
    <n v="366.62"/>
    <s v="B2B"/>
    <s v="1"/>
    <s v="0150-11-DOM-KB-WSI"/>
    <s v="1 1/2&quot; KEVLAR BRASS DOME PACKING -"/>
    <s v=""/>
    <d v="2025-10-07T15:14:14"/>
    <d v="2025-09-29T00:00:00"/>
    <d v="2025-09-29T00:00:00"/>
    <s v=""/>
    <s v=""/>
    <s v=""/>
    <s v=""/>
    <s v=""/>
    <s v=""/>
    <s v=""/>
    <s v=""/>
    <s v=""/>
    <s v=""/>
    <s v=""/>
    <s v=""/>
    <s v=""/>
    <s v=""/>
    <s v=""/>
    <s v=""/>
    <s v=""/>
    <s v=""/>
    <s v=""/>
    <s v=""/>
    <s v=""/>
    <s v=""/>
    <s v=""/>
    <s v=""/>
    <s v="Material"/>
    <s v=""/>
    <s v=""/>
    <s v=""/>
    <s v="1000454200"/>
    <s v="STATE NEAL LETHCO 27-25 UNIT 1WA"/>
    <s v="Upstream"/>
    <s v="1046"/>
    <s v=""/>
    <s v=""/>
    <s v=""/>
    <s v=""/>
    <s v=""/>
    <s v=""/>
    <s v=""/>
    <n v="1"/>
    <s v="EA"/>
    <n v="366.62"/>
    <s v=""/>
    <n v="366.62"/>
    <s v="--multiple--"/>
    <s v="705219"/>
    <d v="2025-10-10T15:24:17"/>
    <s v=""/>
    <s v=""/>
    <s v=""/>
    <s v=""/>
  </r>
  <r>
    <s v="1002608"/>
    <s v="B-P Supply Inc"/>
    <x v="0"/>
    <s v="Andrew Bazewicz"/>
    <s v="Javier Barrera"/>
    <s v="PARTS ORDERED BY LUIS LOPEZ - STATE SLICK ROCK 24-20 UNIT 3WA"/>
    <s v="5051028"/>
    <s v="Upstream"/>
    <s v=""/>
    <s v="USD"/>
    <n v="366.62"/>
    <s v="B2B"/>
    <s v="1"/>
    <s v="0150-11-DOM-KB-WSI"/>
    <s v="1 1/2&quot; KEVLAR BRASS DOME PACKING -"/>
    <s v=""/>
    <d v="2025-10-07T15:14:14"/>
    <d v="2025-09-29T00:00:00"/>
    <d v="2025-09-29T00:00:00"/>
    <s v=""/>
    <s v=""/>
    <s v=""/>
    <s v=""/>
    <s v=""/>
    <s v=""/>
    <s v=""/>
    <s v=""/>
    <s v=""/>
    <s v=""/>
    <s v=""/>
    <s v=""/>
    <s v=""/>
    <s v=""/>
    <s v=""/>
    <s v=""/>
    <s v=""/>
    <s v=""/>
    <s v=""/>
    <s v=""/>
    <s v=""/>
    <s v=""/>
    <s v=""/>
    <s v=""/>
    <s v="Material"/>
    <s v=""/>
    <s v=""/>
    <s v=""/>
    <s v="1000226800"/>
    <s v="STATE SLICKROCK 24-20 UNIT 3WA"/>
    <s v="Upstream"/>
    <s v="1046"/>
    <s v=""/>
    <s v=""/>
    <s v=""/>
    <s v=""/>
    <s v=""/>
    <s v=""/>
    <s v=""/>
    <n v="1"/>
    <s v="EA"/>
    <n v="366.62"/>
    <s v=""/>
    <n v="366.62"/>
    <s v="--multiple--"/>
    <s v="705219"/>
    <d v="2025-10-10T15:26:05"/>
    <s v=""/>
    <s v=""/>
    <s v=""/>
    <s v=""/>
  </r>
  <r>
    <s v="1002606"/>
    <s v="B-P Supply Inc"/>
    <x v="0"/>
    <s v="Andrew Bazewicz"/>
    <s v="Javier Barrera"/>
    <s v="PARTS ORDERED BY LUIS LOPEZ - STATE NEAL LETHCO 36-32 UNIT 6WA"/>
    <s v="5051028"/>
    <s v="Upstream"/>
    <s v=""/>
    <s v="USD"/>
    <n v="366.62"/>
    <s v="B2B"/>
    <s v="1"/>
    <s v="0150-11-DOM-KB-WSI"/>
    <s v="1 1/2&quot; KEVLAR BRASS DOME PACKING -"/>
    <s v=""/>
    <d v="2025-10-07T15:14:15"/>
    <d v="2025-09-29T00:00:00"/>
    <d v="2025-09-29T00:00:00"/>
    <s v=""/>
    <s v=""/>
    <s v=""/>
    <s v=""/>
    <s v=""/>
    <s v=""/>
    <s v=""/>
    <s v=""/>
    <s v=""/>
    <s v=""/>
    <s v=""/>
    <s v=""/>
    <s v=""/>
    <s v=""/>
    <s v=""/>
    <s v=""/>
    <s v=""/>
    <s v=""/>
    <s v=""/>
    <s v=""/>
    <s v=""/>
    <s v=""/>
    <s v=""/>
    <s v=""/>
    <s v="Material"/>
    <s v=""/>
    <s v=""/>
    <s v=""/>
    <s v="1000485400"/>
    <s v="STATE NEAL LETHCO 36-32 UNIT 6WA"/>
    <s v="Upstream"/>
    <s v="1046"/>
    <s v=""/>
    <s v=""/>
    <s v=""/>
    <s v=""/>
    <s v=""/>
    <s v=""/>
    <s v=""/>
    <n v="1"/>
    <s v="EA"/>
    <n v="366.62"/>
    <s v=""/>
    <n v="366.62"/>
    <s v="--multiple--"/>
    <s v="705219"/>
    <d v="2025-10-10T15:25:31"/>
    <s v=""/>
    <s v=""/>
    <s v=""/>
    <s v=""/>
  </r>
  <r>
    <s v="1002558"/>
    <s v="B-P Supply Inc"/>
    <x v="0"/>
    <s v="Andrew Bazewicz"/>
    <s v="Javier Barrera"/>
    <s v="PARTS ORDERED BY LARRY KENDALL - BLUE BONNET FIELD ALLOCATION"/>
    <s v="5051028"/>
    <s v="Upstream"/>
    <s v=""/>
    <s v="USD"/>
    <n v="268.8"/>
    <s v="B2B"/>
    <s v="1"/>
    <s v="SPECIALORDER"/>
    <s v="2-9/16 X 5/16 X 1/6 VITON DIAPHRAGM GASK"/>
    <s v=""/>
    <d v="2025-10-07T15:14:17"/>
    <d v="2025-09-29T00:00:00"/>
    <d v="2025-09-29T00:00:00"/>
    <s v=""/>
    <s v=""/>
    <s v=""/>
    <s v=""/>
    <s v=""/>
    <s v=""/>
    <s v=""/>
    <s v=""/>
    <s v=""/>
    <s v=""/>
    <s v=""/>
    <s v=""/>
    <s v=""/>
    <s v=""/>
    <s v=""/>
    <s v=""/>
    <s v=""/>
    <s v=""/>
    <s v=""/>
    <s v=""/>
    <s v=""/>
    <s v=""/>
    <s v=""/>
    <s v=""/>
    <s v="Material"/>
    <s v=""/>
    <s v=""/>
    <s v=""/>
    <s v="9000000600"/>
    <s v="BLUEBONNET FIELD ALLOCATION"/>
    <s v="Upstream"/>
    <s v="1046"/>
    <s v=""/>
    <s v=""/>
    <s v=""/>
    <s v=""/>
    <s v=""/>
    <s v=""/>
    <s v=""/>
    <n v="30"/>
    <s v="EA"/>
    <n v="8.9600000000000009"/>
    <s v=""/>
    <n v="268.8"/>
    <s v="--multiple--"/>
    <s v="705219"/>
    <d v="2025-10-10T14:06:54"/>
    <s v=""/>
    <s v=""/>
    <s v=""/>
    <s v=""/>
  </r>
  <r>
    <s v="1002597"/>
    <s v="B-P Supply Inc"/>
    <x v="0"/>
    <s v="Andrew Bazewicz"/>
    <s v="Javier Barrera"/>
    <s v="PARTS ORDERED BY LUIS LOPEZ - NEAL LETHCO 27 BATTERY"/>
    <s v="5051028"/>
    <s v="Upstream"/>
    <s v=""/>
    <s v="USD"/>
    <n v="115.44"/>
    <s v="B2B"/>
    <s v="1"/>
    <s v="0299-SPIDER-095"/>
    <s v="SPIDER SRL090/095"/>
    <s v="Other"/>
    <d v="2025-10-07T15:14:38"/>
    <d v="2025-09-29T00:00:00"/>
    <d v="2025-09-29T00:00:00"/>
    <s v=""/>
    <s v=""/>
    <s v=""/>
    <s v=""/>
    <s v=""/>
    <s v=""/>
    <s v=""/>
    <s v=""/>
    <s v=""/>
    <s v=""/>
    <s v=""/>
    <s v=""/>
    <s v=""/>
    <s v=""/>
    <s v=""/>
    <s v=""/>
    <s v=""/>
    <s v=""/>
    <s v=""/>
    <s v=""/>
    <s v=""/>
    <s v=""/>
    <s v=""/>
    <s v=""/>
    <s v="Material"/>
    <s v=""/>
    <s v=""/>
    <s v=""/>
    <s v="8000010900"/>
    <s v="NEAL LETHCO 27 BATTERY"/>
    <s v="Upstream"/>
    <s v="1046"/>
    <s v=""/>
    <s v=""/>
    <s v=""/>
    <s v=""/>
    <s v=""/>
    <s v=""/>
    <s v=""/>
    <n v="3"/>
    <s v="EA"/>
    <n v="15"/>
    <s v=""/>
    <n v="45"/>
    <s v="--multiple--"/>
    <s v="705219"/>
    <d v="2025-10-10T14:13:39"/>
    <s v=""/>
    <s v=""/>
    <s v=""/>
    <s v=""/>
  </r>
  <r>
    <s v="1002548"/>
    <s v="B-P Supply Inc"/>
    <x v="0"/>
    <s v="Andrew Bazewicz"/>
    <s v="Javier Barrera"/>
    <s v="PARTS ORDERED BY LARRY KENDALL - BLUE BONNET FIELD ALLOCATION"/>
    <s v="5051028"/>
    <s v="Upstream"/>
    <s v=""/>
    <s v="USD"/>
    <n v="801.54"/>
    <s v="B2B"/>
    <s v="1"/>
    <s v="0188-TURK"/>
    <s v="TURKISH HALF TOWEL"/>
    <s v=""/>
    <d v="2025-10-07T15:14:45"/>
    <d v="2025-09-29T00:00:00"/>
    <d v="2025-09-29T00:00:00"/>
    <s v=""/>
    <s v=""/>
    <s v=""/>
    <s v=""/>
    <s v=""/>
    <s v=""/>
    <s v=""/>
    <s v=""/>
    <s v=""/>
    <s v=""/>
    <s v=""/>
    <s v=""/>
    <s v=""/>
    <s v=""/>
    <s v=""/>
    <s v=""/>
    <s v=""/>
    <s v=""/>
    <s v=""/>
    <s v=""/>
    <s v=""/>
    <s v=""/>
    <s v=""/>
    <s v=""/>
    <s v="Material"/>
    <s v=""/>
    <s v=""/>
    <s v=""/>
    <s v="9000000600"/>
    <s v="BLUEBONNET FIELD ALLOCATION"/>
    <s v="Upstream"/>
    <s v="1046"/>
    <s v=""/>
    <s v=""/>
    <s v=""/>
    <s v=""/>
    <s v=""/>
    <s v=""/>
    <s v=""/>
    <n v="1"/>
    <s v="EA"/>
    <n v="42.05"/>
    <s v=""/>
    <n v="42.05"/>
    <s v="--multiple--"/>
    <s v="705219"/>
    <d v="2025-10-10T14:04:49"/>
    <s v=""/>
    <s v=""/>
    <s v=""/>
    <s v=""/>
  </r>
  <r>
    <s v="44430"/>
    <s v="J&amp;T Energy Services Inc."/>
    <x v="3"/>
    <s v="Jacob Lentz"/>
    <s v="Louis Valencia"/>
    <s v="TREAT WELL. HOT WATER FLOWLINE W/20 BBLS, HOT WATER CASING W/50 BBLS. LOAD &amp; TEST W/1 BBL TO 500 PSI AND HELD. GOOD PUMP ACTION."/>
    <s v="5051026"/>
    <s v="Upstream"/>
    <s v=""/>
    <s v="USD"/>
    <n v="347.48"/>
    <s v="Direct Entry"/>
    <s v="1"/>
    <s v="Scheduled Program Hot Oil per BBL"/>
    <s v="Scheduled Program Hot Oil per BBL"/>
    <s v=""/>
    <d v="2025-09-08T14:53:18"/>
    <d v="2025-09-04T10:30:00"/>
    <d v="2025-09-04T11:00:00"/>
    <s v=""/>
    <s v=""/>
    <s v=""/>
    <s v=""/>
    <s v=""/>
    <s v=""/>
    <s v=""/>
    <s v=""/>
    <s v=""/>
    <s v=""/>
    <s v=""/>
    <s v=""/>
    <s v=""/>
    <s v=""/>
    <s v=""/>
    <s v=""/>
    <s v=""/>
    <s v=""/>
    <s v=""/>
    <s v=""/>
    <s v=""/>
    <s v=""/>
    <s v=""/>
    <s v=""/>
    <s v="Labor"/>
    <s v=""/>
    <s v=""/>
    <s v=""/>
    <s v="1000546200"/>
    <s v="WORSHAM 6-15 2H"/>
    <s v="Upstream"/>
    <s v="1046"/>
    <s v=""/>
    <s v=""/>
    <s v=""/>
    <s v=""/>
    <s v=""/>
    <s v=""/>
    <s v=""/>
    <n v="119"/>
    <s v="BBL"/>
    <n v="2.92"/>
    <s v=""/>
    <n v="347.48"/>
    <s v="--multiple--"/>
    <s v="707979"/>
    <d v="2025-10-01T09:02:59"/>
    <s v=""/>
    <s v=""/>
    <s v="Attachment Issue | PriceBooks Issue"/>
    <s v=""/>
  </r>
  <r>
    <s v="16192"/>
    <s v="Oil Spill Clean Up, Inc"/>
    <x v="0"/>
    <s v="Jacob Lentz"/>
    <s v="Louis Valencia"/>
    <s v="Contract Pumping October 4, 5 - 2 days weekend October 6-10, 5 day"/>
    <s v="5051012"/>
    <s v="Upstream"/>
    <s v=""/>
    <s v="USD"/>
    <n v="1520"/>
    <s v="B2B"/>
    <s v="1"/>
    <s v="1 Man Gang (DB)"/>
    <s v="Set Cost"/>
    <s v=""/>
    <d v="2025-10-13T00:06:02"/>
    <d v="2025-10-04T00:00:00"/>
    <d v="2025-10-05T00:00:00"/>
    <s v=""/>
    <s v="Sealy Smith Foundation"/>
    <s v=""/>
    <s v=""/>
    <s v=""/>
    <s v=""/>
    <s v=""/>
    <s v=""/>
    <s v=""/>
    <s v=""/>
    <s v=""/>
    <s v=""/>
    <s v=""/>
    <s v=""/>
    <s v=""/>
    <s v=""/>
    <s v=""/>
    <s v=""/>
    <s v=""/>
    <s v=""/>
    <s v=""/>
    <s v=""/>
    <s v=""/>
    <s v=""/>
    <s v="Labor"/>
    <s v=""/>
    <s v=""/>
    <s v=""/>
    <s v="8300150800"/>
    <s v="SEALY SMITH FOUNDATION 1 BATTERY"/>
    <s v="Upstream"/>
    <s v="1046"/>
    <s v=""/>
    <s v=""/>
    <s v=""/>
    <s v=""/>
    <s v=""/>
    <s v=""/>
    <s v="Other"/>
    <n v="2"/>
    <s v="EA"/>
    <n v="285"/>
    <s v=""/>
    <n v="570"/>
    <s v="--multiple--"/>
    <s v="703239"/>
    <d v="2025-10-13T08:44:12"/>
    <s v=""/>
    <s v=""/>
    <s v=""/>
    <s v=""/>
  </r>
  <r>
    <s v="16193"/>
    <s v="Oil Spill Clean Up, Inc"/>
    <x v="0"/>
    <s v="Jacob Lentz"/>
    <s v="Louis Valencia"/>
    <s v="Contract Pumping October 4, 5 - 2 days weekend October 6-10, 5 day"/>
    <s v="5051012"/>
    <s v="Upstream"/>
    <s v=""/>
    <s v="USD"/>
    <n v="1520"/>
    <s v="B2B"/>
    <s v="1"/>
    <s v="1 Man Gang (DB)"/>
    <s v="Contract Pumping - Weekends"/>
    <s v=""/>
    <d v="2025-10-13T00:11:05"/>
    <d v="2025-10-04T00:00:00"/>
    <d v="2025-10-05T00:00:00"/>
    <s v=""/>
    <s v="John Haley Jr"/>
    <s v=""/>
    <s v=""/>
    <s v=""/>
    <s v=""/>
    <s v=""/>
    <s v=""/>
    <s v=""/>
    <s v=""/>
    <s v=""/>
    <s v=""/>
    <s v=""/>
    <s v=""/>
    <s v=""/>
    <s v=""/>
    <s v=""/>
    <s v=""/>
    <s v=""/>
    <s v=""/>
    <s v=""/>
    <s v=""/>
    <s v=""/>
    <s v=""/>
    <s v="Labor"/>
    <s v=""/>
    <s v=""/>
    <s v=""/>
    <s v="8300114200"/>
    <s v="JOHN HALEY JR D 1 BATTERY"/>
    <s v="Upstream"/>
    <s v="1046"/>
    <s v=""/>
    <s v=""/>
    <s v=""/>
    <s v=""/>
    <s v=""/>
    <s v=""/>
    <s v="Other"/>
    <n v="2"/>
    <s v="Day"/>
    <n v="285"/>
    <s v=""/>
    <n v="570"/>
    <s v="--multiple--"/>
    <s v="703239"/>
    <d v="2025-10-13T08:45:57"/>
    <s v=""/>
    <s v=""/>
    <s v=""/>
    <s v=""/>
  </r>
  <r>
    <s v="20188"/>
    <s v="Belloc Energy Services &amp; Transport,LLC"/>
    <x v="2"/>
    <s v="Jacob Rogers"/>
    <s v="Christopher Falcon"/>
    <s v="PULLED 120 OF PW FROM LOCATION"/>
    <s v="5051054"/>
    <s v="Upstream"/>
    <s v=""/>
    <s v="USD"/>
    <n v="229.5"/>
    <s v="Direct Entry"/>
    <s v="1"/>
    <s v="Vacuum Truck"/>
    <s v="Vacuum Truck"/>
    <s v=""/>
    <d v="2025-09-23T19:07:05"/>
    <d v="2025-09-15T23:00:00"/>
    <d v="2025-09-16T00:30:00"/>
    <d v="1899-12-30T01:30:00"/>
    <s v="RIO GRANDE 25 EAST BATTERY"/>
    <s v=""/>
    <s v=""/>
    <s v="Produced Water"/>
    <s v=""/>
    <s v=""/>
    <s v=""/>
    <s v=""/>
    <s v=""/>
    <s v=""/>
    <s v=""/>
    <s v=""/>
    <s v=""/>
    <s v=""/>
    <s v=""/>
    <s v=""/>
    <s v=""/>
    <s v=""/>
    <s v=""/>
    <s v=""/>
    <s v=""/>
    <n v="120"/>
    <s v="bbl"/>
    <s v=""/>
    <s v=""/>
    <s v=""/>
    <s v=""/>
    <s v="8300145800"/>
    <s v="RIO GRANDE 25 EAST BATTERY"/>
    <s v="Upstream"/>
    <s v="1046"/>
    <s v=""/>
    <s v=""/>
    <s v=""/>
    <s v=""/>
    <s v=""/>
    <s v=""/>
    <s v="Hours Worked"/>
    <n v="1.5"/>
    <s v="hour"/>
    <n v="93"/>
    <s v=""/>
    <n v="139.5"/>
    <s v="Pricebook"/>
    <s v="712945"/>
    <d v="2025-10-09T15:47:14"/>
    <s v=""/>
    <s v=""/>
    <s v="Service Date/Time Issue"/>
    <s v=""/>
  </r>
  <r>
    <s v="0113246"/>
    <s v="Pumps + Pump Valve Repair"/>
    <x v="0"/>
    <s v="Jacob Rogers"/>
    <s v="Christopher Falcon"/>
    <s v="Carlos Ortiz - Rio San Marcos 36-45 Unit 232 - chemical injection parts"/>
    <s v="5051059"/>
    <s v="Upstream"/>
    <s v=""/>
    <s v="USD"/>
    <n v="308.33"/>
    <s v="Direct Entry"/>
    <s v="1"/>
    <s v="ST061FT"/>
    <s v="3/8 304 SS Tubing (Price Per Foot)"/>
    <s v=""/>
    <d v="2025-10-01T10:30:48"/>
    <d v="2025-09-17T00:00:00"/>
    <d v="2025-09-17T00:00:00"/>
    <s v=""/>
    <s v="Rio San Marcos 36-45 Unit 232"/>
    <s v=""/>
    <s v=""/>
    <s v=""/>
    <s v=""/>
    <s v=""/>
    <s v=""/>
    <s v=""/>
    <s v=""/>
    <s v=""/>
    <s v=""/>
    <s v=""/>
    <s v=""/>
    <s v=""/>
    <s v=""/>
    <s v=""/>
    <s v=""/>
    <s v=""/>
    <s v=""/>
    <s v=""/>
    <s v=""/>
    <s v=""/>
    <s v=""/>
    <s v="Material"/>
    <s v=""/>
    <s v=""/>
    <s v=""/>
    <s v="1001399000"/>
    <s v="RIO SAN MARCOS 36-45 UNIT 1 232"/>
    <s v="Upstream"/>
    <s v="1046"/>
    <s v=""/>
    <s v=""/>
    <s v=""/>
    <s v=""/>
    <s v=""/>
    <s v=""/>
    <s v=""/>
    <n v="80"/>
    <s v="each"/>
    <n v="2.0299999999999998"/>
    <s v=""/>
    <n v="162.4"/>
    <s v="Pricebook"/>
    <s v="713504"/>
    <d v="2025-10-01T10:38:32"/>
    <s v=""/>
    <s v=""/>
    <s v=""/>
    <s v=""/>
  </r>
  <r>
    <s v="0113247"/>
    <s v="Pumps + Pump Valve Repair"/>
    <x v="0"/>
    <s v="Jacob Rogers"/>
    <s v="Christopher Falcon"/>
    <s v="Carlos Ortiz - Rio San Marcos 36-45 Unit 1 233 - chemical injection parts"/>
    <s v="5051059"/>
    <s v="Upstream"/>
    <s v=""/>
    <s v="USD"/>
    <n v="308.33"/>
    <s v="Direct Entry"/>
    <s v="1"/>
    <s v="ST061FT"/>
    <s v="3/8 304 SS Tubing (Price Per Foot)"/>
    <s v=""/>
    <d v="2025-10-01T10:40:22"/>
    <d v="2025-09-17T00:00:00"/>
    <d v="2025-09-17T00:00:00"/>
    <s v=""/>
    <s v="Rio San Marcos 36-45 Unit 1 233"/>
    <s v=""/>
    <s v=""/>
    <s v=""/>
    <s v=""/>
    <s v=""/>
    <s v=""/>
    <s v=""/>
    <s v=""/>
    <s v=""/>
    <s v=""/>
    <s v=""/>
    <s v=""/>
    <s v=""/>
    <s v=""/>
    <s v=""/>
    <s v=""/>
    <s v=""/>
    <s v=""/>
    <s v=""/>
    <s v=""/>
    <s v=""/>
    <s v=""/>
    <s v="Material"/>
    <s v=""/>
    <s v=""/>
    <s v=""/>
    <s v="1001399100"/>
    <s v="RIO SAN MARCOS 36-45 UNIT 1 233"/>
    <s v="Upstream"/>
    <s v="1046"/>
    <s v=""/>
    <s v=""/>
    <s v=""/>
    <s v=""/>
    <s v=""/>
    <s v=""/>
    <s v=""/>
    <n v="80"/>
    <s v="each"/>
    <n v="2.0299999999999998"/>
    <s v=""/>
    <n v="162.4"/>
    <s v="Pricebook"/>
    <s v="713504"/>
    <d v="2025-10-01T10:46:05"/>
    <s v=""/>
    <s v=""/>
    <s v=""/>
    <s v=""/>
  </r>
  <r>
    <s v="16176"/>
    <s v="Oil Spill Clean Up, Inc"/>
    <x v="0"/>
    <s v="Callen Elliott"/>
    <s v="Javier Barrera"/>
    <s v="Drove to location to install curtain panels around the compressor. Upon arrival, found some of the curtains bent and had to straighten them out. Several of the curtain tracks were broken and needed to be replaced. Picked up the necessary parts to complete the install properly. Used the forklift to lift the curtain panels and the manlift to position and secure the top sections."/>
    <s v="5051022"/>
    <s v="Upstream"/>
    <s v="170316"/>
    <s v="USD"/>
    <n v="3445"/>
    <s v="B2B"/>
    <s v="1"/>
    <s v="3 Man Gang (D3)"/>
    <s v="3-Men Gang"/>
    <s v="Roustabout"/>
    <d v="2025-10-10T01:05:56"/>
    <d v="2025-10-08T14:00:00"/>
    <d v="2025-10-08T18:30:00"/>
    <s v=""/>
    <s v="Wilson 8 Battery"/>
    <s v=""/>
    <s v=""/>
    <s v=""/>
    <s v=""/>
    <s v=""/>
    <s v=""/>
    <s v=""/>
    <s v=""/>
    <s v=""/>
    <s v=""/>
    <s v=""/>
    <s v=""/>
    <s v=""/>
    <s v=""/>
    <s v=""/>
    <s v=""/>
    <s v=""/>
    <s v=""/>
    <s v=""/>
    <s v=""/>
    <s v=""/>
    <s v=""/>
    <s v="Labor"/>
    <s v=""/>
    <s v=""/>
    <s v=""/>
    <s v="8000022600"/>
    <s v="WILSON 8 BATTERY"/>
    <s v="Upstream"/>
    <s v="1046"/>
    <s v=""/>
    <s v=""/>
    <s v=""/>
    <s v=""/>
    <s v=""/>
    <s v=""/>
    <s v="Other"/>
    <n v="4.5"/>
    <s v="HR"/>
    <n v="130"/>
    <s v=""/>
    <n v="585"/>
    <s v="--multiple--"/>
    <s v="703239"/>
    <d v="2025-10-10T08:23:33"/>
    <s v=""/>
    <s v=""/>
    <s v=""/>
    <s v=""/>
  </r>
  <r>
    <s v="103876"/>
    <s v="A4 Oilfield Services, LLC"/>
    <x v="12"/>
    <s v="Cliffton Molina"/>
    <s v="Javier Barrera"/>
    <s v="Drove to location and use vacuum truck for empty line and replace nipple clamp and flinch on water transfer pump"/>
    <s v="5051049"/>
    <s v="Upstream"/>
    <s v="161959"/>
    <s v="USD"/>
    <n v="437.5"/>
    <s v="Direct Entry"/>
    <s v="1"/>
    <s v="ROUSTABOUT - 3 Man"/>
    <s v="ROUSTABOUT - 3 Man"/>
    <s v=""/>
    <d v="2025-09-23T08:36:49"/>
    <d v="2025-09-18T13:00:00"/>
    <d v="2025-09-18T16:30:00"/>
    <s v=""/>
    <s v="Wilson 8 Battery"/>
    <s v=""/>
    <s v=""/>
    <s v=""/>
    <s v=""/>
    <s v=""/>
    <s v=""/>
    <s v=""/>
    <s v=""/>
    <s v=""/>
    <s v=""/>
    <s v=""/>
    <s v=""/>
    <s v=""/>
    <s v=""/>
    <s v=""/>
    <s v=""/>
    <s v=""/>
    <s v=""/>
    <s v=""/>
    <s v=""/>
    <s v=""/>
    <s v=""/>
    <s v="Labor"/>
    <s v=""/>
    <s v=""/>
    <s v=""/>
    <s v="8000022600"/>
    <s v="WILSON 8 BATTERY"/>
    <s v="Upstream"/>
    <s v="1046"/>
    <s v=""/>
    <s v=""/>
    <s v=""/>
    <s v=""/>
    <s v=""/>
    <s v=""/>
    <s v=""/>
    <n v="3.5"/>
    <s v="HR"/>
    <n v="125"/>
    <s v=""/>
    <n v="437.5"/>
    <s v="--multiple--"/>
    <s v="711551"/>
    <d v="2025-10-02T15:23:15"/>
    <s v=""/>
    <s v=""/>
    <s v=""/>
    <s v=""/>
  </r>
  <r>
    <s v="210773"/>
    <s v="Basin Trucking LLC"/>
    <x v="12"/>
    <s v="Cliffton Molina"/>
    <s v="Javier Barrera"/>
    <s v="Drove to location monitored tank farm H2S and other hydrocarbons masked up to open hatch to verify readings and prepare tank to open and clean."/>
    <s v="5051049"/>
    <s v="Upstream"/>
    <s v="163076"/>
    <s v="USD"/>
    <n v="737.5"/>
    <s v="Direct Entry"/>
    <s v="1"/>
    <s v="Safety  Man"/>
    <s v="Safety  Man"/>
    <s v=""/>
    <d v="2025-10-06T13:54:31"/>
    <d v="2025-09-25T06:15:00"/>
    <d v="2025-09-25T12:45:00"/>
    <s v=""/>
    <s v="NEAL LETHCO 7 BATTERY"/>
    <s v=""/>
    <s v=""/>
    <s v=""/>
    <s v=""/>
    <s v=""/>
    <s v=""/>
    <s v=""/>
    <s v=""/>
    <s v=""/>
    <s v=""/>
    <s v=""/>
    <s v=""/>
    <s v=""/>
    <s v=""/>
    <s v=""/>
    <s v=""/>
    <s v=""/>
    <s v=""/>
    <s v=""/>
    <s v=""/>
    <s v=""/>
    <s v=""/>
    <s v="Labor"/>
    <s v=""/>
    <s v=""/>
    <s v=""/>
    <s v="8000012400"/>
    <s v="NEAL LETHCO 7 BATTERY"/>
    <s v="Upstream"/>
    <s v="1046"/>
    <s v=""/>
    <s v=""/>
    <s v=""/>
    <s v=""/>
    <s v=""/>
    <s v=""/>
    <s v=""/>
    <n v="6.5"/>
    <s v="HR"/>
    <n v="75"/>
    <s v=""/>
    <n v="487.5"/>
    <s v="--multiple--"/>
    <s v="703517"/>
    <d v="2025-10-06T13:57:50"/>
    <s v=""/>
    <s v=""/>
    <s v=""/>
    <s v=""/>
  </r>
  <r>
    <s v="210775"/>
    <s v="Basin Trucking LLC"/>
    <x v="12"/>
    <s v="Cliffton Molina"/>
    <s v="Javier Barrera"/>
    <s v="Drove to location monitored tank form area for H2s and other hydrocarbons assisted crew on disconnecting and washing on oil tank."/>
    <s v="5051049"/>
    <s v="Upstream"/>
    <s v="163076"/>
    <s v="USD"/>
    <n v="1318.75"/>
    <s v="Direct Entry"/>
    <s v="1"/>
    <s v="Safety  Man"/>
    <s v="Safety  Man"/>
    <s v=""/>
    <d v="2025-10-07T13:44:24"/>
    <d v="2025-09-26T06:15:00"/>
    <d v="2025-09-26T08:30:00"/>
    <s v=""/>
    <s v="Neal Lethco 7 Battery"/>
    <s v=""/>
    <s v=""/>
    <s v=""/>
    <s v=""/>
    <s v=""/>
    <s v=""/>
    <s v=""/>
    <s v=""/>
    <s v=""/>
    <s v=""/>
    <s v=""/>
    <s v=""/>
    <s v=""/>
    <s v=""/>
    <s v=""/>
    <s v=""/>
    <s v=""/>
    <s v=""/>
    <s v=""/>
    <s v=""/>
    <s v=""/>
    <s v=""/>
    <s v="Labor"/>
    <s v=""/>
    <s v=""/>
    <s v=""/>
    <s v="8000012400"/>
    <s v="NEAL LETHCO 7 BATTERY"/>
    <s v="Upstream"/>
    <s v="1046"/>
    <s v=""/>
    <s v=""/>
    <s v=""/>
    <s v=""/>
    <s v=""/>
    <s v=""/>
    <s v=""/>
    <n v="14.25"/>
    <s v="HR"/>
    <n v="75"/>
    <s v=""/>
    <n v="1068.75"/>
    <s v="--multiple--"/>
    <s v="703517"/>
    <d v="2025-10-07T13:47:07"/>
    <s v=""/>
    <s v=""/>
    <s v=""/>
    <s v=""/>
  </r>
  <r>
    <s v="210777"/>
    <s v="Basin Trucking LLC"/>
    <x v="12"/>
    <s v="Cliffton Molina"/>
    <s v="Javier Barrera"/>
    <s v="Drove to location monitored tank for H2S and other hydrocarbons assisted crew on sandblasting oil tank and prepare it for welding repairs."/>
    <s v="5051049"/>
    <s v="Upstream"/>
    <s v="163076"/>
    <s v="USD"/>
    <n v="1112.5"/>
    <s v="Direct Entry"/>
    <s v="1"/>
    <s v="Safety  Man"/>
    <s v="Safety  Man"/>
    <s v=""/>
    <d v="2025-10-06T10:06:54"/>
    <d v="2025-09-27T07:15:00"/>
    <d v="2025-09-27T18:45:00"/>
    <s v=""/>
    <s v="NEAL LETHCO 7 BATTERY"/>
    <s v=""/>
    <s v=""/>
    <s v=""/>
    <s v=""/>
    <s v=""/>
    <s v=""/>
    <s v=""/>
    <s v=""/>
    <s v=""/>
    <s v=""/>
    <s v=""/>
    <s v=""/>
    <s v=""/>
    <s v=""/>
    <s v=""/>
    <s v=""/>
    <s v=""/>
    <s v=""/>
    <s v=""/>
    <s v=""/>
    <s v=""/>
    <s v=""/>
    <s v="Equipment"/>
    <s v=""/>
    <s v=""/>
    <s v=""/>
    <s v="8000012400"/>
    <s v="NEAL LETHCO 7 BATTERY"/>
    <s v="Upstream"/>
    <s v="1046"/>
    <s v=""/>
    <s v=""/>
    <s v=""/>
    <s v=""/>
    <s v=""/>
    <s v=""/>
    <s v=""/>
    <n v="11.5"/>
    <s v="HR"/>
    <n v="75"/>
    <s v=""/>
    <n v="862.5"/>
    <s v="--multiple--"/>
    <s v="703517"/>
    <d v="2025-10-06T10:08:19"/>
    <s v=""/>
    <s v=""/>
    <s v=""/>
    <s v=""/>
  </r>
  <r>
    <s v="212064"/>
    <s v="Basin Trucking LLC"/>
    <x v="12"/>
    <s v="Cliffton Molina"/>
    <s v="Javier Barrera"/>
    <s v="Drove to location and inspected the tank battery then supervised the crew."/>
    <s v="5051049"/>
    <s v="Upstream"/>
    <s v="163076"/>
    <s v="USD"/>
    <n v="450"/>
    <s v="Direct Entry"/>
    <s v="1"/>
    <s v="Supervisor"/>
    <s v="Supervisor"/>
    <s v="Roustabout Crew"/>
    <d v="2025-10-06T10:09:30"/>
    <d v="2025-09-27T09:44:00"/>
    <d v="2025-09-27T15:45:00"/>
    <s v=""/>
    <s v="NEAL LETHCO 7 BATTERY"/>
    <s v=""/>
    <s v=""/>
    <s v=""/>
    <s v=""/>
    <s v=""/>
    <s v=""/>
    <s v=""/>
    <s v=""/>
    <s v=""/>
    <s v=""/>
    <s v=""/>
    <s v=""/>
    <s v=""/>
    <s v=""/>
    <s v=""/>
    <s v=""/>
    <s v=""/>
    <s v=""/>
    <s v=""/>
    <s v=""/>
    <s v=""/>
    <s v=""/>
    <s v="Labor"/>
    <s v=""/>
    <s v=""/>
    <s v=""/>
    <s v="8000012400"/>
    <s v="NEAL LETHCO 7 BATTERY"/>
    <s v="Upstream"/>
    <s v="1046"/>
    <s v=""/>
    <s v=""/>
    <s v=""/>
    <s v=""/>
    <s v=""/>
    <s v=""/>
    <s v=""/>
    <n v="6"/>
    <s v="HR"/>
    <n v="75"/>
    <s v=""/>
    <n v="450"/>
    <s v="--multiple--"/>
    <s v="703517"/>
    <d v="2025-10-06T10:10:53"/>
    <s v=""/>
    <s v=""/>
    <s v=""/>
    <s v=""/>
  </r>
  <r>
    <s v="210778"/>
    <s v="Basin Trucking LLC"/>
    <x v="12"/>
    <s v="Cliffton Molina"/>
    <s v="Javier Barrera"/>
    <s v="Drove to location monitored oil tank for H2s and other hydrocarbons assisted on finishing up weld repairs and then coated oil tank."/>
    <s v="5051049"/>
    <s v="Upstream"/>
    <s v="163076"/>
    <s v="USD"/>
    <n v="250"/>
    <s v="Direct Entry"/>
    <s v="1"/>
    <s v="H2S Trailer"/>
    <s v="H2S Trailer"/>
    <s v="freight"/>
    <d v="2025-10-06T10:56:17"/>
    <d v="2025-09-28T06:00:00"/>
    <d v="2025-09-28T18:00:00"/>
    <s v=""/>
    <s v="Neal Lethco 7 Battery"/>
    <s v=""/>
    <s v=""/>
    <s v=""/>
    <s v=""/>
    <s v=""/>
    <s v=""/>
    <s v=""/>
    <s v=""/>
    <s v=""/>
    <s v=""/>
    <s v=""/>
    <s v=""/>
    <s v=""/>
    <s v=""/>
    <s v=""/>
    <s v=""/>
    <s v=""/>
    <s v=""/>
    <s v=""/>
    <s v=""/>
    <s v=""/>
    <s v=""/>
    <s v="Equipment"/>
    <s v=""/>
    <s v=""/>
    <s v=""/>
    <s v="8000012400"/>
    <s v="NEAL LETHCO 7 BATTERY"/>
    <s v="Upstream"/>
    <s v="1046"/>
    <s v=""/>
    <s v=""/>
    <s v=""/>
    <s v=""/>
    <s v=""/>
    <s v=""/>
    <s v=""/>
    <n v="1"/>
    <s v="Day"/>
    <n v="250"/>
    <s v=""/>
    <n v="250"/>
    <s v="--multiple--"/>
    <s v="703517"/>
    <d v="2025-10-06T15:12:23"/>
    <s v=""/>
    <s v=""/>
    <s v=""/>
    <s v=""/>
  </r>
  <r>
    <s v="212065"/>
    <s v="Basin Trucking LLC"/>
    <x v="12"/>
    <s v="Cliffton Molina"/>
    <s v="Javier Barrera"/>
    <s v="Rented out forklift and manlift at location ready for crew to use."/>
    <s v="5051049"/>
    <s v="Upstream"/>
    <s v="163076"/>
    <s v="USD"/>
    <n v="670"/>
    <s v="Direct Entry"/>
    <s v="1"/>
    <s v="10K Forklift"/>
    <s v="10K Forklift"/>
    <s v=""/>
    <d v="2025-10-06T11:00:57"/>
    <d v="2025-09-28T06:00:00"/>
    <d v="2025-09-28T18:00:00"/>
    <s v=""/>
    <s v="Neal Lethco 27 Battery"/>
    <s v=""/>
    <s v=""/>
    <s v=""/>
    <s v=""/>
    <s v=""/>
    <s v=""/>
    <s v=""/>
    <s v=""/>
    <s v=""/>
    <s v=""/>
    <s v=""/>
    <s v=""/>
    <s v=""/>
    <s v=""/>
    <s v=""/>
    <s v=""/>
    <s v=""/>
    <s v=""/>
    <s v=""/>
    <s v=""/>
    <s v=""/>
    <s v=""/>
    <s v="Equipment"/>
    <s v=""/>
    <s v=""/>
    <s v=""/>
    <s v="8000010900"/>
    <s v="NEAL LETHCO 27 BATTERY"/>
    <s v="Upstream"/>
    <s v="1046"/>
    <s v=""/>
    <s v=""/>
    <s v=""/>
    <s v=""/>
    <s v=""/>
    <s v=""/>
    <s v=""/>
    <n v="1"/>
    <s v="Day"/>
    <n v="320"/>
    <s v=""/>
    <n v="320"/>
    <s v="--multiple--"/>
    <s v="703517"/>
    <d v="2025-10-06T11:05:44"/>
    <s v=""/>
    <s v=""/>
    <s v=""/>
    <s v=""/>
  </r>
  <r>
    <s v="211325"/>
    <s v="Basin Trucking LLC"/>
    <x v="12"/>
    <s v="Cliffton Molina"/>
    <s v="Javier Barrera"/>
    <s v="It was driven to the location with shimmer and the tanks was centered on the battery with the crane and the tank and oil lanes were connected."/>
    <s v="5051049"/>
    <s v="Upstream"/>
    <s v="163076"/>
    <s v="USD"/>
    <n v="2815"/>
    <s v="Direct Entry"/>
    <s v="1"/>
    <s v="3 Man Crew"/>
    <s v="3 Man Crew"/>
    <s v="Roustabout Crew"/>
    <d v="2025-10-07T09:05:29"/>
    <d v="2025-09-29T06:00:00"/>
    <d v="2025-09-29T22:30:00"/>
    <s v=""/>
    <s v="NEAL LETHCO 7 BATTERY"/>
    <s v=""/>
    <s v=""/>
    <s v=""/>
    <s v=""/>
    <s v=""/>
    <s v=""/>
    <s v=""/>
    <s v=""/>
    <s v=""/>
    <s v=""/>
    <s v=""/>
    <s v=""/>
    <s v=""/>
    <s v=""/>
    <s v=""/>
    <s v=""/>
    <s v=""/>
    <s v=""/>
    <s v=""/>
    <s v=""/>
    <s v=""/>
    <s v=""/>
    <s v="Labor"/>
    <s v=""/>
    <s v=""/>
    <s v=""/>
    <s v="8000012400"/>
    <s v="NEAL LETHCO 7 BATTERY"/>
    <s v="Upstream"/>
    <s v="1046"/>
    <s v=""/>
    <s v=""/>
    <s v=""/>
    <s v=""/>
    <s v=""/>
    <s v=""/>
    <s v=""/>
    <n v="16.5"/>
    <s v="HR"/>
    <n v="130"/>
    <s v=""/>
    <n v="2145"/>
    <s v="--multiple--"/>
    <s v="703517"/>
    <d v="2025-10-09T13:59:45"/>
    <s v=""/>
    <s v=""/>
    <s v="Validation Overlapping Hours"/>
    <s v=""/>
  </r>
  <r>
    <s v="103811"/>
    <s v="A4 Oilfield Services, LLC"/>
    <x v="12"/>
    <s v="Cliffton Molina"/>
    <s v="Javier Barrera"/>
    <s v="Drove to location waited for LO and followed to location, use vacuum to empty tank and container that had chemical, loaded up tank, stand chemical container and solar panel onto utility trailer and set everything on well"/>
    <s v="5051049"/>
    <s v="Upstream"/>
    <s v="167289"/>
    <s v="USD"/>
    <n v="1118.75"/>
    <s v="Direct Entry"/>
    <s v="1"/>
    <s v="ROUSTABOUT - 3 Man"/>
    <s v="ROUSTABOUT - 3 Man"/>
    <s v=""/>
    <d v="2025-10-02T15:35:24"/>
    <d v="2025-09-29T06:45:00"/>
    <d v="2025-09-29T14:30:00"/>
    <s v=""/>
    <s v="State Neal Lethco SR 24-11 2BS"/>
    <s v=""/>
    <s v=""/>
    <s v=""/>
    <s v=""/>
    <s v=""/>
    <s v=""/>
    <s v=""/>
    <s v=""/>
    <s v=""/>
    <s v=""/>
    <s v=""/>
    <s v=""/>
    <s v=""/>
    <s v=""/>
    <s v=""/>
    <s v=""/>
    <s v=""/>
    <s v=""/>
    <s v=""/>
    <s v=""/>
    <s v=""/>
    <s v=""/>
    <s v="Labor"/>
    <s v=""/>
    <s v=""/>
    <s v=""/>
    <s v="1000268300"/>
    <s v="STATE NEAL LETHCO SR 24-115 B 2BS"/>
    <s v="Upstream"/>
    <s v="1046"/>
    <s v=""/>
    <s v=""/>
    <s v=""/>
    <s v=""/>
    <s v=""/>
    <s v=""/>
    <s v=""/>
    <n v="7.75"/>
    <s v="HR"/>
    <n v="125"/>
    <s v=""/>
    <n v="968.75"/>
    <s v="--multiple--"/>
    <s v="711551"/>
    <d v="2025-10-02T15:48:31"/>
    <s v=""/>
    <s v=""/>
    <s v=""/>
    <s v=""/>
  </r>
  <r>
    <s v="210779"/>
    <s v="Basin Trucking LLC"/>
    <x v="12"/>
    <s v="Cliffton Molina"/>
    <s v="Javier Barrera"/>
    <s v="Drove to location monitored tank farms for H2S and other hydrocarbons assisted crew to reinstall repaired oil tank and install all lines to oil tank."/>
    <s v="5051049"/>
    <s v="Upstream"/>
    <s v="163076"/>
    <s v="USD"/>
    <n v="1075"/>
    <s v="Direct Entry"/>
    <s v="1"/>
    <s v="Safety  Man"/>
    <s v="Safety  Man"/>
    <s v=""/>
    <d v="2025-10-06T15:13:36"/>
    <d v="2025-09-29T10:45:00"/>
    <d v="2025-09-29T21:45:00"/>
    <s v=""/>
    <s v="NEAL LETHCO 7 BATTERY"/>
    <s v=""/>
    <s v=""/>
    <s v=""/>
    <s v=""/>
    <s v=""/>
    <s v=""/>
    <s v=""/>
    <s v=""/>
    <s v=""/>
    <s v=""/>
    <s v=""/>
    <s v=""/>
    <s v=""/>
    <s v=""/>
    <s v=""/>
    <s v=""/>
    <s v=""/>
    <s v=""/>
    <s v=""/>
    <s v=""/>
    <s v=""/>
    <s v=""/>
    <s v="Labor"/>
    <s v=""/>
    <s v=""/>
    <s v=""/>
    <s v="8000012400"/>
    <s v="NEAL LETHCO 7 BATTERY"/>
    <s v="Upstream"/>
    <s v="1046"/>
    <s v=""/>
    <s v=""/>
    <s v=""/>
    <s v=""/>
    <s v=""/>
    <s v=""/>
    <s v=""/>
    <n v="11"/>
    <s v="HR"/>
    <n v="75"/>
    <s v=""/>
    <n v="825"/>
    <s v="--multiple--"/>
    <s v="703517"/>
    <d v="2025-10-06T15:15:32"/>
    <s v=""/>
    <s v=""/>
    <s v=""/>
    <s v=""/>
  </r>
  <r>
    <s v="103812"/>
    <s v="A4 Oilfield Services, LLC"/>
    <x v="12"/>
    <s v="Cliffton Molina"/>
    <s v="Javier Barrera"/>
    <s v="Drove to location waited for LO but no show"/>
    <s v="5051049"/>
    <s v="Upstream"/>
    <s v="165690"/>
    <s v="USD"/>
    <n v="406.25"/>
    <s v="Direct Entry"/>
    <s v="1"/>
    <s v="ROUSTABOUT - 3 Man"/>
    <s v="ROUSTABOUT - 3 Man"/>
    <s v=""/>
    <d v="2025-10-02T15:38:14"/>
    <d v="2025-09-29T14:30:00"/>
    <d v="2025-09-29T17:45:00"/>
    <s v=""/>
    <s v="Wilson 8-7 Unit 2WA"/>
    <s v=""/>
    <s v=""/>
    <s v=""/>
    <s v=""/>
    <s v=""/>
    <s v=""/>
    <s v=""/>
    <s v=""/>
    <s v=""/>
    <s v=""/>
    <s v=""/>
    <s v=""/>
    <s v=""/>
    <s v=""/>
    <s v=""/>
    <s v=""/>
    <s v=""/>
    <s v=""/>
    <s v=""/>
    <s v=""/>
    <s v=""/>
    <s v=""/>
    <s v="Labor"/>
    <s v=""/>
    <s v=""/>
    <s v=""/>
    <s v="1000214800"/>
    <s v="WILSON 8-7 UNIT 2WA"/>
    <s v="Upstream"/>
    <s v="1046"/>
    <s v=""/>
    <s v=""/>
    <s v=""/>
    <s v=""/>
    <s v=""/>
    <s v=""/>
    <s v=""/>
    <n v="3.25"/>
    <s v="HR"/>
    <n v="125"/>
    <s v=""/>
    <n v="406.25"/>
    <s v="--multiple--"/>
    <s v="711551"/>
    <d v="2025-10-02T15:48:12"/>
    <s v=""/>
    <s v=""/>
    <s v=""/>
    <s v=""/>
  </r>
  <r>
    <s v="211320"/>
    <s v="Basin Trucking LLC"/>
    <x v="10"/>
    <s v="Cliffton Molina"/>
    <s v="Javier Barrera"/>
    <s v="Drove to the location and loaded a chemical back to the plot and moved from location."/>
    <s v="5051049"/>
    <s v="Upstream"/>
    <s v="165690"/>
    <s v="USD"/>
    <n v="1040"/>
    <s v="Direct Entry"/>
    <s v="1"/>
    <s v="3 Man Crew"/>
    <s v="3 Man Crew"/>
    <s v="Roustabout Crew"/>
    <d v="2025-10-08T14:43:02"/>
    <d v="2025-09-30T11:30:00"/>
    <d v="2025-09-30T19:30:00"/>
    <s v=""/>
    <s v="WILSON 8-7 UNIT 2WA"/>
    <s v=""/>
    <s v=""/>
    <s v=""/>
    <s v=""/>
    <s v=""/>
    <s v=""/>
    <s v=""/>
    <s v=""/>
    <s v=""/>
    <s v=""/>
    <s v=""/>
    <s v=""/>
    <s v=""/>
    <s v=""/>
    <s v=""/>
    <s v=""/>
    <s v=""/>
    <s v=""/>
    <s v=""/>
    <s v=""/>
    <s v=""/>
    <s v=""/>
    <s v="Equipment"/>
    <s v=""/>
    <s v=""/>
    <s v=""/>
    <s v="1000214800"/>
    <s v="WILSON 8-7 UNIT 2WA"/>
    <s v="Upstream"/>
    <s v="1046"/>
    <s v=""/>
    <s v=""/>
    <s v=""/>
    <s v=""/>
    <s v=""/>
    <s v=""/>
    <s v=""/>
    <n v="8"/>
    <s v="HR"/>
    <n v="130"/>
    <s v=""/>
    <n v="1040"/>
    <s v="--multiple--"/>
    <s v="703517"/>
    <d v="2025-10-09T13:59:18"/>
    <s v=""/>
    <s v=""/>
    <s v="Validation Overlapping Hours"/>
    <s v=""/>
  </r>
  <r>
    <s v="0113248"/>
    <s v="Pumps + Pump Valve Repair"/>
    <x v="0"/>
    <s v="Jacob Rogers"/>
    <s v="Christopher Falcon"/>
    <s v="Carlos Ortiz - Rio San Marcos 36-45 Unit 1 231 - chemical injection parts"/>
    <s v="5051059"/>
    <s v="Upstream"/>
    <s v=""/>
    <s v="USD"/>
    <n v="308.33"/>
    <s v="Direct Entry"/>
    <s v="1"/>
    <s v="ST061FT"/>
    <s v="3/8 304 SS Tubing (Price Per Foot)"/>
    <s v=""/>
    <d v="2025-10-01T10:51:47"/>
    <d v="2025-09-17T00:00:00"/>
    <d v="2025-09-17T00:00:00"/>
    <s v=""/>
    <s v="Rio San Marcos 36-45 Unit 1 231"/>
    <s v=""/>
    <s v=""/>
    <s v=""/>
    <s v=""/>
    <s v=""/>
    <s v=""/>
    <s v=""/>
    <s v=""/>
    <s v=""/>
    <s v=""/>
    <s v=""/>
    <s v=""/>
    <s v=""/>
    <s v=""/>
    <s v=""/>
    <s v=""/>
    <s v=""/>
    <s v=""/>
    <s v=""/>
    <s v=""/>
    <s v=""/>
    <s v=""/>
    <s v="Material"/>
    <s v=""/>
    <s v=""/>
    <s v=""/>
    <s v="1001398900"/>
    <s v="RIO SAN MARCOS 36-45 UNIT 1 231"/>
    <s v="Upstream"/>
    <s v="1046"/>
    <s v=""/>
    <s v=""/>
    <s v=""/>
    <s v=""/>
    <s v=""/>
    <s v=""/>
    <s v=""/>
    <n v="80"/>
    <s v="each"/>
    <n v="2.0299999999999998"/>
    <s v=""/>
    <n v="162.4"/>
    <s v="Pricebook"/>
    <s v="713504"/>
    <d v="2025-10-01T11:09:34"/>
    <s v=""/>
    <s v=""/>
    <s v=""/>
    <s v=""/>
  </r>
  <r>
    <s v="103993"/>
    <s v="A4 Oilfield Services, LLC"/>
    <x v="2"/>
    <s v="Cliffton Molina"/>
    <s v="Javier Barrera"/>
    <s v="Drove to location to start load pipes, scraps, metal, pipes, and pick up trash and remove weeds inside battery and drove to yard to unload"/>
    <s v="5051027"/>
    <s v="Upstream"/>
    <s v="142659"/>
    <s v="USD"/>
    <n v="562.5"/>
    <s v="Direct Entry"/>
    <s v="1"/>
    <s v="ROUSTABOUT - 3 Man"/>
    <s v="ROUSTABOUT - 3 Man"/>
    <s v=""/>
    <d v="2025-10-06T10:53:57"/>
    <d v="2025-10-02T12:45:00"/>
    <d v="2025-10-02T17:15:00"/>
    <s v=""/>
    <s v="Neal Lethco 38 Battery"/>
    <s v=""/>
    <s v=""/>
    <s v=""/>
    <s v=""/>
    <s v=""/>
    <s v=""/>
    <s v=""/>
    <s v=""/>
    <s v=""/>
    <s v=""/>
    <s v=""/>
    <s v=""/>
    <s v=""/>
    <s v=""/>
    <s v=""/>
    <s v=""/>
    <s v=""/>
    <s v=""/>
    <s v=""/>
    <s v=""/>
    <s v=""/>
    <s v=""/>
    <s v="Labor"/>
    <s v=""/>
    <s v=""/>
    <s v=""/>
    <s v="9100016900"/>
    <s v="FRM RTE-BARRERA JAVIER"/>
    <s v="Upstream"/>
    <s v="1046"/>
    <s v=""/>
    <s v=""/>
    <s v=""/>
    <s v=""/>
    <s v=""/>
    <s v=""/>
    <s v=""/>
    <n v="4.5"/>
    <s v="HR"/>
    <n v="125"/>
    <s v=""/>
    <n v="562.5"/>
    <s v="--multiple--"/>
    <s v="711551"/>
    <d v="2025-10-06T11:01:08"/>
    <s v=""/>
    <s v=""/>
    <s v=""/>
    <s v=""/>
  </r>
  <r>
    <s v="204737"/>
    <s v="Basin Trucking LLC"/>
    <x v="8"/>
    <s v="Joe Perez"/>
    <s v="Javier Barrera"/>
    <s v="Drove to location inspected work area had brief tail gate meeting began disconnecting lines and the smoker armored bolts of fire tube waited stand by on crane to remove the heater 4x20 left side location also installed 2 little that goes on the gas line."/>
    <s v="5051049"/>
    <s v="Upstream"/>
    <s v="153881"/>
    <s v="USD"/>
    <n v="1560"/>
    <s v="Direct Entry"/>
    <s v="1"/>
    <s v="3 Man Crew"/>
    <s v="3 Man Crew"/>
    <s v="Roustabout Crew"/>
    <d v="2025-09-15T12:26:39"/>
    <d v="2025-09-04T06:30:00"/>
    <d v="2025-09-04T18:30:00"/>
    <s v=""/>
    <s v="ZAUK 39 1H"/>
    <s v=""/>
    <s v=""/>
    <s v=""/>
    <s v=""/>
    <s v=""/>
    <s v=""/>
    <s v=""/>
    <s v=""/>
    <s v=""/>
    <s v=""/>
    <s v=""/>
    <s v=""/>
    <s v=""/>
    <s v=""/>
    <s v=""/>
    <s v=""/>
    <s v=""/>
    <s v=""/>
    <s v=""/>
    <s v=""/>
    <s v=""/>
    <s v=""/>
    <s v="Labor"/>
    <s v=""/>
    <s v=""/>
    <s v=""/>
    <s v="1000450500"/>
    <s v="ZAUK 39 1H"/>
    <s v="Upstream"/>
    <s v="1046"/>
    <s v=""/>
    <s v=""/>
    <s v=""/>
    <s v=""/>
    <s v=""/>
    <s v=""/>
    <s v=""/>
    <n v="12"/>
    <s v="HR"/>
    <n v="130"/>
    <s v=""/>
    <n v="1560"/>
    <s v="--multiple--"/>
    <s v="703517"/>
    <d v="2025-10-06T10:26:03"/>
    <s v=""/>
    <s v=""/>
    <s v="Attachment Issue"/>
    <s v=""/>
  </r>
  <r>
    <s v="212158"/>
    <s v="Basin Trucking LLC"/>
    <x v="12"/>
    <s v="Joe Perez"/>
    <s v="Javier Barrera"/>
    <s v="Drove to location and wait for the lease operator to shut down the wells and assisted the vacuum truck operator to drain the vessel and proceeded to changed 8&quot; check valve and pipe."/>
    <s v="5051049"/>
    <s v="Upstream"/>
    <s v="158178"/>
    <s v="USD"/>
    <n v="780"/>
    <s v="Direct Entry"/>
    <s v="1"/>
    <s v="3 Man Crew"/>
    <s v="3 Man Crew"/>
    <s v="Roustabout Crew"/>
    <d v="2025-10-02T08:05:51"/>
    <d v="2025-09-22T05:45:00"/>
    <d v="2025-09-22T11:45:00"/>
    <s v=""/>
    <s v="STATE CHAPMAN BATTERY"/>
    <s v=""/>
    <s v=""/>
    <s v=""/>
    <s v=""/>
    <s v=""/>
    <s v=""/>
    <s v=""/>
    <s v=""/>
    <s v=""/>
    <s v=""/>
    <s v=""/>
    <s v=""/>
    <s v=""/>
    <s v=""/>
    <s v=""/>
    <s v=""/>
    <s v=""/>
    <s v=""/>
    <s v=""/>
    <s v=""/>
    <s v=""/>
    <s v=""/>
    <s v="Labor"/>
    <s v=""/>
    <s v=""/>
    <s v=""/>
    <s v="8000013900"/>
    <s v="STATE CHAPMAN BATTERY"/>
    <s v="Upstream"/>
    <s v="1046"/>
    <s v=""/>
    <s v=""/>
    <s v=""/>
    <s v=""/>
    <s v=""/>
    <s v=""/>
    <s v=""/>
    <n v="6"/>
    <s v="HR"/>
    <n v="130"/>
    <s v=""/>
    <n v="780"/>
    <s v="--multiple--"/>
    <s v="703517"/>
    <d v="2025-10-02T08:06:52"/>
    <s v=""/>
    <s v=""/>
    <s v=""/>
    <s v=""/>
  </r>
  <r>
    <s v="211317"/>
    <s v="Basin Trucking LLC"/>
    <x v="12"/>
    <s v="Joe Perez"/>
    <s v="Javier Barrera"/>
    <s v="Location was managed and the grass was cut the channel was lifted and went to throw the yard."/>
    <s v="5051027"/>
    <s v="Upstream"/>
    <s v="158178"/>
    <s v="USD"/>
    <n v="1767.5"/>
    <s v="Direct Entry"/>
    <s v="1"/>
    <s v="3 Man Crew"/>
    <s v="3 Man Crew"/>
    <s v="Roustabout Crew"/>
    <d v="2025-10-02T08:43:38"/>
    <d v="2025-09-22T06:00:00"/>
    <d v="2025-09-22T19:15:00"/>
    <s v=""/>
    <s v="STATE CHAPMAN BATTERY"/>
    <s v=""/>
    <s v=""/>
    <s v=""/>
    <s v=""/>
    <s v=""/>
    <s v=""/>
    <s v=""/>
    <s v=""/>
    <s v=""/>
    <s v=""/>
    <s v=""/>
    <s v=""/>
    <s v=""/>
    <s v=""/>
    <s v=""/>
    <s v=""/>
    <s v=""/>
    <s v=""/>
    <s v=""/>
    <s v=""/>
    <s v=""/>
    <s v=""/>
    <s v="Labor"/>
    <s v=""/>
    <s v=""/>
    <s v=""/>
    <s v="8000013900"/>
    <s v="STATE CHAPMAN BATTERY"/>
    <s v="Upstream"/>
    <s v="1046"/>
    <s v=""/>
    <s v=""/>
    <s v=""/>
    <s v=""/>
    <s v=""/>
    <s v=""/>
    <s v=""/>
    <n v="13.25"/>
    <s v="HR"/>
    <n v="130"/>
    <s v=""/>
    <n v="1722.5"/>
    <s v="--multiple--"/>
    <s v="703517"/>
    <d v="2025-10-02T08:44:54"/>
    <s v=""/>
    <s v=""/>
    <s v=""/>
    <s v=""/>
  </r>
  <r>
    <s v="204944"/>
    <s v="Basin Trucking LLC"/>
    <x v="12"/>
    <s v="Joe Perez"/>
    <s v="Javier Barrera"/>
    <s v="Started to replace 3 bypass valves on the water and bulk testers charged 2 valves and check valve on the inlet all 6&quot; connections waited for pumper to turn on checked out for leaks."/>
    <s v="5051049"/>
    <s v="Upstream"/>
    <s v="165765"/>
    <s v="USD"/>
    <n v="812.5"/>
    <s v="Direct Entry"/>
    <s v="1"/>
    <s v="3 Man Crew"/>
    <s v="3 Man Crew"/>
    <s v="Roustabout Crew"/>
    <d v="2025-10-02T08:13:58"/>
    <d v="2025-09-22T11:45:00"/>
    <d v="2025-09-22T18:00:00"/>
    <s v=""/>
    <s v="STATE CHAPMAN BATTERY"/>
    <s v=""/>
    <s v=""/>
    <s v=""/>
    <s v=""/>
    <s v=""/>
    <s v=""/>
    <s v=""/>
    <s v=""/>
    <s v=""/>
    <s v=""/>
    <s v=""/>
    <s v=""/>
    <s v=""/>
    <s v=""/>
    <s v=""/>
    <s v=""/>
    <s v=""/>
    <s v=""/>
    <s v=""/>
    <s v=""/>
    <s v=""/>
    <s v=""/>
    <s v="Labor"/>
    <s v=""/>
    <s v=""/>
    <s v=""/>
    <s v="8000013900"/>
    <s v="STATE CHAPMAN BATTERY"/>
    <s v="Upstream"/>
    <s v="1046"/>
    <s v=""/>
    <s v=""/>
    <s v=""/>
    <s v=""/>
    <s v=""/>
    <s v=""/>
    <s v=""/>
    <n v="6.25"/>
    <s v="HR"/>
    <n v="130"/>
    <s v=""/>
    <n v="812.5"/>
    <s v="--multiple--"/>
    <s v="703517"/>
    <d v="2025-10-02T08:20:13"/>
    <s v=""/>
    <s v=""/>
    <s v=""/>
    <s v=""/>
  </r>
  <r>
    <s v="211318"/>
    <s v="Basin Trucking LLC"/>
    <x v="12"/>
    <s v="Joe Perez"/>
    <s v="Javier Barrera"/>
    <s v="Drove to the location and cut himself put garbage and junk and went to leave the yard."/>
    <s v="5051027"/>
    <s v="Upstream"/>
    <s v="158178"/>
    <s v="USD"/>
    <n v="1637.5"/>
    <s v="Direct Entry"/>
    <s v="1"/>
    <s v="3 Man Crew"/>
    <s v="3 Man Crew"/>
    <s v="Roustabout Crew"/>
    <d v="2025-10-02T13:54:35"/>
    <d v="2025-09-23T06:30:00"/>
    <d v="2025-09-23T18:45:00"/>
    <s v=""/>
    <s v="STATE CHAPMAN BATTERY"/>
    <s v=""/>
    <s v=""/>
    <s v=""/>
    <s v=""/>
    <s v=""/>
    <s v=""/>
    <s v=""/>
    <s v=""/>
    <s v=""/>
    <s v=""/>
    <s v=""/>
    <s v=""/>
    <s v=""/>
    <s v=""/>
    <s v=""/>
    <s v=""/>
    <s v=""/>
    <s v=""/>
    <s v=""/>
    <s v=""/>
    <s v=""/>
    <s v=""/>
    <s v="Labor"/>
    <s v=""/>
    <s v=""/>
    <s v=""/>
    <s v="8000013900"/>
    <s v="STATE CHAPMAN BATTERY"/>
    <s v="Upstream"/>
    <s v="1046"/>
    <s v=""/>
    <s v=""/>
    <s v=""/>
    <s v=""/>
    <s v=""/>
    <s v=""/>
    <s v=""/>
    <n v="12.25"/>
    <s v="HR"/>
    <n v="130"/>
    <s v=""/>
    <n v="1592.5"/>
    <s v="--multiple--"/>
    <s v="703517"/>
    <d v="2025-10-02T13:57:18"/>
    <s v=""/>
    <s v=""/>
    <s v=""/>
    <s v=""/>
  </r>
  <r>
    <s v="395886"/>
    <s v="Tommy White Supply Company, Inc."/>
    <x v="0"/>
    <s v="Joe Perez"/>
    <s v="Javier Barrera"/>
    <s v="TRASH BAGS"/>
    <s v="5051027"/>
    <s v="Upstream"/>
    <s v="165981"/>
    <s v="USD"/>
    <n v="41.4"/>
    <s v="Direct Entry"/>
    <s v="1"/>
    <s v="TBA"/>
    <s v="TRASH BAGS, CONTRACTOR"/>
    <s v="HARDWARE"/>
    <d v="2025-10-01T10:03:01"/>
    <d v="2025-09-25T00:00:00"/>
    <d v="2025-09-25T00:00:00"/>
    <s v=""/>
    <s v="ALTURA BATTERY"/>
    <s v=""/>
    <s v=""/>
    <s v=""/>
    <s v=""/>
    <s v=""/>
    <s v=""/>
    <s v=""/>
    <s v=""/>
    <s v=""/>
    <s v=""/>
    <s v=""/>
    <s v=""/>
    <s v=""/>
    <s v=""/>
    <s v=""/>
    <s v=""/>
    <s v=""/>
    <s v=""/>
    <s v=""/>
    <s v=""/>
    <s v=""/>
    <s v=""/>
    <s v="Material"/>
    <s v=""/>
    <s v=""/>
    <s v=""/>
    <s v="8000141600"/>
    <s v="ALTURA BATTERY"/>
    <s v="Upstream"/>
    <s v="1046"/>
    <s v=""/>
    <s v=""/>
    <s v=""/>
    <s v=""/>
    <s v=""/>
    <s v=""/>
    <s v=""/>
    <n v="2"/>
    <s v="EA"/>
    <n v="20.7"/>
    <s v=""/>
    <n v="41.4"/>
    <s v=""/>
    <s v="706526"/>
    <d v="2025-10-01T10:04:07"/>
    <s v=""/>
    <s v=""/>
    <s v=""/>
    <s v=""/>
  </r>
  <r>
    <s v="212164"/>
    <s v="Basin Trucking LLC"/>
    <x v="12"/>
    <s v="Joe Perez"/>
    <s v="Javier Barrera"/>
    <s v="Drove to location replaced a flange and clamp of 3&quot; on the pump did a 360-walk inspection on job site cleaned up around work area."/>
    <s v="5051049"/>
    <s v="Upstream"/>
    <s v="163075"/>
    <s v="USD"/>
    <n v="617.5"/>
    <s v="Direct Entry"/>
    <s v="1"/>
    <s v="3 Man Crew"/>
    <s v="3 Man Crew"/>
    <s v="Roustabout Crew"/>
    <d v="2025-10-04T09:13:48"/>
    <d v="2025-09-25T11:15:00"/>
    <d v="2025-09-25T16:00:00"/>
    <s v=""/>
    <s v="KELLEY STATE KAMO H BATTERY"/>
    <s v=""/>
    <s v=""/>
    <s v=""/>
    <s v=""/>
    <s v=""/>
    <s v=""/>
    <s v=""/>
    <s v=""/>
    <s v=""/>
    <s v=""/>
    <s v=""/>
    <s v=""/>
    <s v=""/>
    <s v=""/>
    <s v=""/>
    <s v=""/>
    <s v=""/>
    <s v=""/>
    <s v=""/>
    <s v=""/>
    <s v=""/>
    <s v=""/>
    <s v="Labor"/>
    <s v=""/>
    <s v=""/>
    <s v=""/>
    <s v="8000014700"/>
    <s v="KELLEY STATE KAMO H BATTERY"/>
    <s v="Upstream"/>
    <s v="1046"/>
    <s v=""/>
    <s v=""/>
    <s v=""/>
    <s v=""/>
    <s v=""/>
    <s v=""/>
    <s v=""/>
    <n v="4.75"/>
    <s v="HR"/>
    <n v="130"/>
    <s v=""/>
    <n v="617.5"/>
    <s v="--multiple--"/>
    <s v="703517"/>
    <d v="2025-10-04T09:14:55"/>
    <s v=""/>
    <s v=""/>
    <s v=""/>
    <s v=""/>
  </r>
  <r>
    <s v="212165"/>
    <s v="Basin Trucking LLC"/>
    <x v="12"/>
    <s v="Joe Perez"/>
    <s v="Javier Barrera"/>
    <s v="Drove to supply store picked up parts and drove to battery and replaced 4&quot; tee and 3 Victualic clamps."/>
    <s v="5051049"/>
    <s v="Upstream"/>
    <s v="166876"/>
    <s v="USD"/>
    <n v="747.5"/>
    <s v="Direct Entry"/>
    <s v="1"/>
    <s v="3 Man Crew"/>
    <s v="3 Man Crew"/>
    <s v="Roustabout Crew"/>
    <d v="2025-10-07T08:41:41"/>
    <d v="2025-09-26T05:30:00"/>
    <d v="2025-09-26T11:15:00"/>
    <s v=""/>
    <s v="Page Royalty 32 Battery"/>
    <s v=""/>
    <s v=""/>
    <s v=""/>
    <s v=""/>
    <s v=""/>
    <s v=""/>
    <s v=""/>
    <s v=""/>
    <s v=""/>
    <s v=""/>
    <s v=""/>
    <s v=""/>
    <s v=""/>
    <s v=""/>
    <s v=""/>
    <s v=""/>
    <s v=""/>
    <s v=""/>
    <s v=""/>
    <s v=""/>
    <s v=""/>
    <s v=""/>
    <s v="Labor"/>
    <s v=""/>
    <s v=""/>
    <s v=""/>
    <s v="8000017200"/>
    <s v="PAGE ROYALTY 32 BATTERY"/>
    <s v="Upstream"/>
    <s v="1046"/>
    <s v=""/>
    <s v=""/>
    <s v=""/>
    <s v=""/>
    <s v=""/>
    <s v=""/>
    <s v=""/>
    <n v="5.75"/>
    <s v="HR"/>
    <n v="130"/>
    <s v=""/>
    <n v="747.5"/>
    <s v="--multiple--"/>
    <s v="703517"/>
    <d v="2025-10-07T08:43:29"/>
    <s v=""/>
    <s v=""/>
    <s v=""/>
    <s v=""/>
  </r>
  <r>
    <s v="08-252832"/>
    <s v="Milestone Environmental Services, LLC"/>
    <x v="2"/>
    <s v="Joe Perez"/>
    <s v="Javier Barrera"/>
    <s v="Disposal Ticket"/>
    <s v="5051013"/>
    <s v="Upstream"/>
    <s v=""/>
    <s v="USD"/>
    <n v="250"/>
    <s v="B2B"/>
    <s v="1"/>
    <s v="ODW"/>
    <s v="Oily Dirty Water"/>
    <s v="WATER"/>
    <d v="2025-10-02T07:31:04"/>
    <d v="2025-10-01T19:07:00"/>
    <d v="2025-10-01T20:07:00"/>
    <d v="1899-12-30T01:00:00"/>
    <s v="BLACK STONE STATE 12 2H BATTERY"/>
    <s v=""/>
    <s v=""/>
    <s v="ODW"/>
    <s v=""/>
    <s v=""/>
    <s v=""/>
    <s v=""/>
    <n v="0"/>
    <s v=""/>
    <s v=""/>
    <s v=""/>
    <s v=""/>
    <s v=""/>
    <s v=""/>
    <s v=""/>
    <s v=""/>
    <s v=""/>
    <s v=""/>
    <s v=""/>
    <s v="Imperial"/>
    <n v="10"/>
    <s v="bbl"/>
    <s v=""/>
    <s v=""/>
    <s v=""/>
    <s v=""/>
    <s v="8000012900"/>
    <s v="BLACK STONE STATE 12 2H BATTERY"/>
    <s v="Upstream"/>
    <s v="1046"/>
    <s v=""/>
    <s v=""/>
    <s v=""/>
    <s v=""/>
    <s v=""/>
    <s v=""/>
    <s v="Other"/>
    <n v="10"/>
    <s v="BBL"/>
    <n v="5"/>
    <s v=""/>
    <n v="50"/>
    <s v="Pricebook"/>
    <s v="708539"/>
    <d v="2025-10-08T11:49:27"/>
    <s v=""/>
    <s v=""/>
    <s v=""/>
    <s v=""/>
  </r>
  <r>
    <s v="212179"/>
    <s v="Basin Trucking LLC"/>
    <x v="12"/>
    <s v="Joe Perez"/>
    <s v="Javier Barrera"/>
    <s v="Drove to location picked up all scrap metals around location."/>
    <s v="5051027"/>
    <s v="Upstream"/>
    <s v="165979"/>
    <s v="USD"/>
    <n v="630"/>
    <s v="Direct Entry"/>
    <s v="1"/>
    <s v="3 Man Crew"/>
    <s v="3 Man Crew"/>
    <s v="Roustabout Crew"/>
    <d v="2025-10-10T09:06:28"/>
    <d v="2025-10-04T09:30:00"/>
    <d v="2025-10-04T14:00:00"/>
    <s v=""/>
    <s v="STEWART 28 BATTERY"/>
    <s v=""/>
    <s v=""/>
    <s v=""/>
    <s v=""/>
    <s v=""/>
    <s v=""/>
    <s v=""/>
    <s v=""/>
    <s v=""/>
    <s v=""/>
    <s v=""/>
    <s v=""/>
    <s v=""/>
    <s v=""/>
    <s v=""/>
    <s v=""/>
    <s v=""/>
    <s v=""/>
    <s v=""/>
    <s v=""/>
    <s v=""/>
    <s v=""/>
    <s v="Labor"/>
    <s v=""/>
    <s v=""/>
    <s v=""/>
    <s v="8000016900"/>
    <s v="STEWART 28 BATTERY"/>
    <s v="Upstream"/>
    <s v="1046"/>
    <s v=""/>
    <s v=""/>
    <s v=""/>
    <s v=""/>
    <s v=""/>
    <s v=""/>
    <s v=""/>
    <n v="4.5"/>
    <s v="HR"/>
    <n v="130"/>
    <s v=""/>
    <n v="585"/>
    <s v="--multiple--"/>
    <s v="703517"/>
    <d v="2025-10-10T09:08:00"/>
    <s v=""/>
    <s v=""/>
    <s v=""/>
    <s v=""/>
  </r>
  <r>
    <s v="212180"/>
    <s v="Basin Trucking LLC"/>
    <x v="10"/>
    <s v="Joe Perez"/>
    <s v="Javier Barrera"/>
    <s v="Drove to 2nd yard picked up trash trailer drove to location picked up pallets and went to landfill dumped trash"/>
    <s v="5051027"/>
    <s v="Upstream"/>
    <s v="165979"/>
    <s v="USD"/>
    <n v="1085"/>
    <s v="Direct Entry"/>
    <s v="1"/>
    <s v="3 Man Crew"/>
    <s v="3 Man Crew"/>
    <s v="Roustabout Crew"/>
    <d v="2025-10-10T12:55:52"/>
    <d v="2025-10-06T05:30:00"/>
    <d v="2025-10-06T13:30:00"/>
    <s v=""/>
    <s v="STEWART 28 BATTERY"/>
    <s v=""/>
    <s v=""/>
    <s v=""/>
    <s v=""/>
    <s v=""/>
    <s v=""/>
    <s v=""/>
    <s v=""/>
    <s v=""/>
    <s v=""/>
    <s v=""/>
    <s v=""/>
    <s v=""/>
    <s v=""/>
    <s v=""/>
    <s v=""/>
    <s v=""/>
    <s v=""/>
    <s v=""/>
    <s v=""/>
    <s v=""/>
    <s v=""/>
    <s v="Labor"/>
    <s v=""/>
    <s v=""/>
    <s v=""/>
    <s v="8000016900"/>
    <s v="STEWART 28 BATTERY"/>
    <s v="Upstream"/>
    <s v="1046"/>
    <s v=""/>
    <s v=""/>
    <s v=""/>
    <s v=""/>
    <s v=""/>
    <s v=""/>
    <s v=""/>
    <n v="8"/>
    <s v="HR"/>
    <n v="130"/>
    <s v=""/>
    <n v="1040"/>
    <s v="--multiple--"/>
    <s v="703517"/>
    <d v="2025-10-10T12:57:44"/>
    <s v=""/>
    <s v=""/>
    <s v=""/>
    <s v=""/>
  </r>
  <r>
    <s v="212181"/>
    <s v="Basin Trucking LLC"/>
    <x v="12"/>
    <s v="Joe Perez"/>
    <s v="Javier Barrera"/>
    <s v="Drove to location waited for forklift removed belt guard and belts where new are left everything ready for production"/>
    <s v="5051035"/>
    <s v="Upstream"/>
    <s v="169850"/>
    <s v="USD"/>
    <n v="650"/>
    <s v="Direct Entry"/>
    <s v="1"/>
    <s v="3 Man Crew"/>
    <s v="3 Man Crew"/>
    <s v="Roustabout Crew"/>
    <d v="2025-10-10T12:59:20"/>
    <d v="2025-10-06T13:30:00"/>
    <d v="2025-10-06T18:30:00"/>
    <s v=""/>
    <s v="STATE CLIFFHANGER 26-27 UNIT 3WA"/>
    <s v=""/>
    <s v=""/>
    <s v=""/>
    <s v=""/>
    <s v=""/>
    <s v=""/>
    <s v=""/>
    <s v=""/>
    <s v=""/>
    <s v=""/>
    <s v=""/>
    <s v=""/>
    <s v=""/>
    <s v=""/>
    <s v=""/>
    <s v=""/>
    <s v=""/>
    <s v=""/>
    <s v=""/>
    <s v=""/>
    <s v=""/>
    <s v=""/>
    <s v="Labor"/>
    <s v=""/>
    <s v=""/>
    <s v=""/>
    <s v="1000457800"/>
    <s v="STATE CLIFFHANGER 26-27 UNIT 3WA"/>
    <s v="Upstream"/>
    <s v="1046"/>
    <s v=""/>
    <s v=""/>
    <s v=""/>
    <s v=""/>
    <s v=""/>
    <s v=""/>
    <s v=""/>
    <n v="5"/>
    <s v="HR"/>
    <n v="130"/>
    <s v=""/>
    <n v="650"/>
    <s v="--multiple--"/>
    <s v="703517"/>
    <d v="2025-10-10T13:02:26"/>
    <s v=""/>
    <s v=""/>
    <s v=""/>
    <s v=""/>
  </r>
  <r>
    <s v="16187"/>
    <s v="Oil Spill Clean Up, Inc"/>
    <x v="0"/>
    <s v="Joe Perez"/>
    <s v="Javier Barrera"/>
    <s v="Loaded and delivered 10 k forklift to the State Cliffhanger. Stayed on site and picked it up same day."/>
    <s v="5051035"/>
    <s v="Upstream"/>
    <s v="169850"/>
    <s v="USD"/>
    <n v="1180"/>
    <s v="B2B"/>
    <s v="1"/>
    <s v="D-FL"/>
    <s v="Forklift 10K"/>
    <s v=""/>
    <d v="2025-10-10T21:42:55"/>
    <d v="2025-10-06T14:00:00"/>
    <d v="2025-10-06T17:00:00"/>
    <s v=""/>
    <s v="State Cliffhanger 26-27 3WA"/>
    <s v=""/>
    <s v=""/>
    <s v=""/>
    <s v=""/>
    <s v=""/>
    <s v=""/>
    <s v=""/>
    <s v=""/>
    <s v=""/>
    <s v=""/>
    <s v=""/>
    <s v=""/>
    <s v=""/>
    <s v=""/>
    <s v=""/>
    <s v=""/>
    <s v=""/>
    <s v=""/>
    <s v=""/>
    <s v=""/>
    <s v=""/>
    <s v=""/>
    <s v="Labor"/>
    <s v=""/>
    <s v=""/>
    <s v=""/>
    <s v="1000457800"/>
    <s v="STATE CLIFFHANGER 26-27 UNIT 3WA"/>
    <s v="Upstream"/>
    <s v="1046"/>
    <s v=""/>
    <s v=""/>
    <s v=""/>
    <s v=""/>
    <s v=""/>
    <s v=""/>
    <s v="Other"/>
    <n v="1"/>
    <s v="Day"/>
    <n v="700"/>
    <s v=""/>
    <n v="700"/>
    <s v="--multiple--"/>
    <s v="703239"/>
    <d v="2025-10-13T08:53:59"/>
    <s v=""/>
    <s v=""/>
    <s v=""/>
    <s v=""/>
  </r>
  <r>
    <s v="16178"/>
    <s v="Oil Spill Clean Up, Inc"/>
    <x v="0"/>
    <s v="Joe Perez"/>
    <s v="Javier Barrera"/>
    <s v="Drove to location. Finished spraying for weeds at the battery. Subtotal: $1490.00"/>
    <s v="5051027"/>
    <s v="Upstream"/>
    <s v="165979"/>
    <s v="USD"/>
    <n v="1490"/>
    <s v="B2B"/>
    <s v="1"/>
    <s v="2 Man Gang (D2)"/>
    <s v="2 Men Gang with Truck and Tools"/>
    <s v="Roustabout"/>
    <d v="2025-10-10T01:14:58"/>
    <d v="2025-10-08T07:00:00"/>
    <d v="2025-10-08T16:30:00"/>
    <s v=""/>
    <s v="Stewart 28 Battery"/>
    <s v=""/>
    <s v=""/>
    <s v=""/>
    <s v=""/>
    <s v=""/>
    <s v=""/>
    <s v=""/>
    <s v=""/>
    <s v=""/>
    <s v=""/>
    <s v=""/>
    <s v=""/>
    <s v=""/>
    <s v=""/>
    <s v=""/>
    <s v=""/>
    <s v=""/>
    <s v=""/>
    <s v=""/>
    <s v=""/>
    <s v=""/>
    <s v=""/>
    <s v="Labor"/>
    <s v=""/>
    <s v=""/>
    <s v=""/>
    <s v="8000016900"/>
    <s v="STEWART 28 BATTERY"/>
    <s v="Upstream"/>
    <s v="1046"/>
    <s v=""/>
    <s v=""/>
    <s v=""/>
    <s v=""/>
    <s v=""/>
    <s v=""/>
    <s v="Other"/>
    <n v="9.5"/>
    <s v="HR"/>
    <n v="120"/>
    <s v=""/>
    <n v="1140"/>
    <s v="--multiple--"/>
    <s v="703239"/>
    <d v="2025-10-10T08:26:47"/>
    <s v=""/>
    <s v=""/>
    <s v=""/>
    <s v=""/>
  </r>
  <r>
    <s v="16175"/>
    <s v="Oil Spill Clean Up, Inc"/>
    <x v="0"/>
    <s v="Joe Perez"/>
    <s v="Javier Barrera"/>
    <s v="Drove to location. Finished cleaning it up, including cutting down the weeds."/>
    <s v="5051027"/>
    <s v="Upstream"/>
    <s v="165979"/>
    <s v="USD"/>
    <n v="1310"/>
    <s v="B2B"/>
    <s v="1"/>
    <s v="3 Man Gang (D3)"/>
    <s v="3-Men Gang"/>
    <s v="Roustabout"/>
    <d v="2025-10-10T02:09:57"/>
    <d v="2025-10-08T07:00:00"/>
    <d v="2025-10-08T14:00:00"/>
    <s v=""/>
    <s v="Stewart 28 Battery"/>
    <s v=""/>
    <s v=""/>
    <s v=""/>
    <s v=""/>
    <s v=""/>
    <s v=""/>
    <s v=""/>
    <s v=""/>
    <s v=""/>
    <s v=""/>
    <s v=""/>
    <s v=""/>
    <s v=""/>
    <s v=""/>
    <s v=""/>
    <s v=""/>
    <s v=""/>
    <s v=""/>
    <s v=""/>
    <s v=""/>
    <s v=""/>
    <s v=""/>
    <s v="Labor"/>
    <s v=""/>
    <s v=""/>
    <s v=""/>
    <s v="8000016900"/>
    <s v="STEWART 28 BATTERY"/>
    <s v="Upstream"/>
    <s v="1046"/>
    <s v=""/>
    <s v=""/>
    <s v=""/>
    <s v=""/>
    <s v=""/>
    <s v=""/>
    <s v="Other"/>
    <n v="7"/>
    <s v="HR"/>
    <n v="130"/>
    <s v=""/>
    <n v="910"/>
    <s v="--multiple--"/>
    <s v="703239"/>
    <d v="2025-10-10T08:16:12"/>
    <s v=""/>
    <s v=""/>
    <s v=""/>
    <s v=""/>
  </r>
  <r>
    <s v="16195"/>
    <s v="Oil Spill Clean Up, Inc"/>
    <x v="0"/>
    <s v="Joe Perez"/>
    <s v="Javier Barrera"/>
    <s v="Drove to location. Picked up the skid steer and hauled it back to the yard."/>
    <s v="5051027"/>
    <s v="Upstream"/>
    <s v="165979"/>
    <s v="USD"/>
    <n v="420"/>
    <s v="B2B"/>
    <s v="1"/>
    <s v="2 Man Gang (D2)"/>
    <s v="2 Men Gang with Truck and Tools"/>
    <s v="Roustabout"/>
    <d v="2025-10-12T23:58:40"/>
    <d v="2025-10-09T07:00:00"/>
    <d v="2025-10-09T10:30:00"/>
    <s v=""/>
    <s v="Stewart 28 Battery"/>
    <s v=""/>
    <s v=""/>
    <s v=""/>
    <s v=""/>
    <s v=""/>
    <s v=""/>
    <s v=""/>
    <s v=""/>
    <s v=""/>
    <s v=""/>
    <s v=""/>
    <s v=""/>
    <s v=""/>
    <s v=""/>
    <s v=""/>
    <s v=""/>
    <s v=""/>
    <s v=""/>
    <s v=""/>
    <s v=""/>
    <s v=""/>
    <s v=""/>
    <s v="Labor"/>
    <s v=""/>
    <s v=""/>
    <s v=""/>
    <s v="8000016900"/>
    <s v="STEWART 28 BATTERY"/>
    <s v="Upstream"/>
    <s v="1046"/>
    <s v=""/>
    <s v=""/>
    <s v=""/>
    <s v=""/>
    <s v=""/>
    <s v=""/>
    <s v="Other"/>
    <n v="3.5"/>
    <s v="HR"/>
    <n v="120"/>
    <s v=""/>
    <n v="420"/>
    <s v="--multiple--"/>
    <s v="703239"/>
    <d v="2025-10-13T08:14:51"/>
    <s v=""/>
    <s v=""/>
    <s v=""/>
    <s v=""/>
  </r>
  <r>
    <s v="16182"/>
    <s v="Oil Spill Clean Up, Inc"/>
    <x v="0"/>
    <s v="Joe Perez"/>
    <s v="Javier Barrera"/>
    <s v="Drove to location. Replaced 3&quot; 150# RFWN FLANGE STD A105 IMPORT 4&quot; 150# RFWN FLANGE STD A105 IMPORT REDUCER-CONC. BW 4 X 3 STD A234 WPB IMPORT ÇOUPLING-THRD. 1/2' FS 3000# 3&quot; 150# RF FP BALL VALVE WELDED SPOOOL-4&quot; 150# X 33&quot; 150# FLANGES ON FWKO #1."/>
    <s v="5051049"/>
    <s v="Upstream"/>
    <s v="169547"/>
    <s v="USD"/>
    <n v="1850"/>
    <s v="B2B"/>
    <s v="1"/>
    <s v="3 Man Gang (D3)"/>
    <s v="3-Men Gang"/>
    <s v="Roustabout"/>
    <d v="2025-10-11T22:35:03"/>
    <d v="2025-10-09T08:30:00"/>
    <d v="2025-10-09T13:30:00"/>
    <s v=""/>
    <s v="Sherman 6-9 Unit"/>
    <s v=""/>
    <s v=""/>
    <s v=""/>
    <s v=""/>
    <s v=""/>
    <s v=""/>
    <s v=""/>
    <s v=""/>
    <s v=""/>
    <s v=""/>
    <s v=""/>
    <s v=""/>
    <s v=""/>
    <s v=""/>
    <s v=""/>
    <s v=""/>
    <s v=""/>
    <s v=""/>
    <s v=""/>
    <s v=""/>
    <s v=""/>
    <s v=""/>
    <s v="Labor"/>
    <s v=""/>
    <s v=""/>
    <s v=""/>
    <s v="8000022400"/>
    <s v="SHERMAN 6 BATTERY"/>
    <s v="Upstream"/>
    <s v="1046"/>
    <s v=""/>
    <s v=""/>
    <s v=""/>
    <s v=""/>
    <s v=""/>
    <s v=""/>
    <s v="Other"/>
    <n v="5"/>
    <s v="HR"/>
    <n v="130"/>
    <s v=""/>
    <n v="650"/>
    <s v="--multiple--"/>
    <s v="703239"/>
    <d v="2025-10-13T08:28:55"/>
    <s v=""/>
    <s v=""/>
    <s v=""/>
    <s v=""/>
  </r>
  <r>
    <s v="16189"/>
    <s v="Oil Spill Clean Up, Inc"/>
    <x v="0"/>
    <s v="Joe Perez"/>
    <s v="Javier Barrera"/>
    <s v="Drove to location. Sprayed herbicide for weed control."/>
    <s v="5051027"/>
    <s v="Upstream"/>
    <s v="169766"/>
    <s v="USD"/>
    <n v="1340"/>
    <s v="B2B"/>
    <s v="1"/>
    <s v="2 Man Gang (D2)"/>
    <s v="2 Men Gang with Truck and Tools"/>
    <s v="Roustabout"/>
    <d v="2025-10-12T23:48:50"/>
    <d v="2025-10-09T11:00:00"/>
    <d v="2025-10-09T16:45:00"/>
    <s v=""/>
    <s v="Neal Lethco 29 1H Battery"/>
    <s v=""/>
    <s v=""/>
    <s v=""/>
    <s v=""/>
    <s v=""/>
    <s v=""/>
    <s v=""/>
    <s v=""/>
    <s v=""/>
    <s v=""/>
    <s v=""/>
    <s v=""/>
    <s v=""/>
    <s v=""/>
    <s v=""/>
    <s v=""/>
    <s v=""/>
    <s v=""/>
    <s v=""/>
    <s v=""/>
    <s v=""/>
    <s v=""/>
    <s v="Labor"/>
    <s v=""/>
    <s v=""/>
    <s v=""/>
    <s v="8000010100"/>
    <s v="NEAL LETHCO 29 1H BATTERY"/>
    <s v="Upstream"/>
    <s v="1046"/>
    <s v=""/>
    <s v=""/>
    <s v=""/>
    <s v=""/>
    <s v=""/>
    <s v=""/>
    <s v="Other"/>
    <n v="5.75"/>
    <s v="HR"/>
    <n v="120"/>
    <s v=""/>
    <n v="690"/>
    <s v="--multiple--"/>
    <s v="703239"/>
    <d v="2025-10-13T08:31:22"/>
    <s v=""/>
    <s v=""/>
    <s v=""/>
    <s v=""/>
  </r>
  <r>
    <s v="61660"/>
    <s v="JAT PARTNER LOGISTICS, LLC"/>
    <x v="10"/>
    <s v="Samuel Soria"/>
    <s v="Javier Barrera"/>
    <s v="DROVE TO NEAL LETHCO 7 BATTERY, ASSISTED CREW AS DIRECTED AND CLEANED OUT CONTAINMENT TANK. UNTIL TRUCK WAS RELEASED"/>
    <s v="5051049"/>
    <s v="Upstream"/>
    <s v="163076"/>
    <s v="USD"/>
    <n v="630"/>
    <s v="Dispatched Mobile - iOS"/>
    <s v="1"/>
    <s v="Vacuum Truck"/>
    <s v="Vacuum Truck"/>
    <s v=""/>
    <d v="2025-09-24T02:52:20"/>
    <d v="2025-09-24T06:00:00"/>
    <d v="2025-09-24T13:00:00"/>
    <d v="1899-12-30T07:00:00"/>
    <s v="NEAL LETHCO 7 BATTERY"/>
    <s v=""/>
    <s v=""/>
    <s v="HOURS"/>
    <s v=""/>
    <s v=""/>
    <s v=""/>
    <s v=""/>
    <s v=""/>
    <s v=""/>
    <s v=""/>
    <s v=""/>
    <s v=""/>
    <s v=""/>
    <s v=""/>
    <s v=""/>
    <s v=""/>
    <s v=""/>
    <s v=""/>
    <s v=""/>
    <s v=""/>
    <n v="0"/>
    <s v="bbl"/>
    <s v=""/>
    <s v=""/>
    <s v=""/>
    <s v=""/>
    <s v="8000012400"/>
    <s v="NEAL LETHCO 7 BATTERY"/>
    <s v="Upstream"/>
    <s v="1046"/>
    <s v=""/>
    <s v=""/>
    <s v=""/>
    <s v=""/>
    <s v=""/>
    <s v=""/>
    <s v="Hours Worked"/>
    <n v="7"/>
    <s v="hour"/>
    <n v="90"/>
    <s v=""/>
    <n v="630"/>
    <s v="--multiple--"/>
    <s v="711903"/>
    <d v="2025-10-03T09:45:19"/>
    <s v=""/>
    <s v=""/>
    <s v=""/>
    <s v=""/>
  </r>
  <r>
    <s v="61680"/>
    <s v="JAT PARTNER LOGISTICS, LLC"/>
    <x v="10"/>
    <s v="Samuel Soria"/>
    <s v="Javier Barrera"/>
    <s v="DROVE TO SIBLEY H BATTERY, ASSISTED CREW AS DIRECTED AND HELPED CLEAN UP A SPILL AT LOCATION."/>
    <s v="5051049"/>
    <s v="Upstream"/>
    <s v="163076"/>
    <s v="USD"/>
    <n v="405"/>
    <s v="Dispatched Mobile - iOS"/>
    <s v="1"/>
    <s v="Vacuum Truck"/>
    <s v="Vacuum Truck"/>
    <s v=""/>
    <d v="2025-09-24T11:58:01"/>
    <d v="2025-09-24T13:00:00"/>
    <d v="2025-09-24T17:30:00"/>
    <d v="1899-12-30T04:30:00"/>
    <s v="SIBLEY H BATTERY"/>
    <s v=""/>
    <s v=""/>
    <s v="HOURS"/>
    <s v=""/>
    <s v=""/>
    <s v=""/>
    <s v=""/>
    <s v=""/>
    <s v=""/>
    <s v=""/>
    <s v=""/>
    <s v=""/>
    <s v=""/>
    <s v=""/>
    <s v=""/>
    <s v=""/>
    <s v=""/>
    <s v=""/>
    <s v=""/>
    <s v=""/>
    <n v="0"/>
    <s v="bbl"/>
    <s v=""/>
    <s v=""/>
    <s v=""/>
    <s v=""/>
    <s v="8000014200"/>
    <s v="SIBLEY H BATTERY"/>
    <s v="Upstream"/>
    <s v="1046"/>
    <s v=""/>
    <s v=""/>
    <s v=""/>
    <s v=""/>
    <s v=""/>
    <s v=""/>
    <s v="Hours Worked"/>
    <n v="4.5"/>
    <s v="hour"/>
    <n v="90"/>
    <s v=""/>
    <n v="405"/>
    <s v="--multiple--"/>
    <s v="711903"/>
    <d v="2025-10-03T17:19:57"/>
    <s v=""/>
    <s v=""/>
    <s v=""/>
    <s v=""/>
  </r>
  <r>
    <s v="25093247"/>
    <s v="Lone Star Instrumentation &amp; Electric Corp"/>
    <x v="5"/>
    <s v="Jaden Palma"/>
    <s v="Jesse Melendez"/>
    <s v="WORK DESCRIPTION: Arrived to location did are JSA made sure everything was safe and off.Started_x000d__x000a_unterminating all wires to the skid and taped all the ends up cut the zip ties on the cable tray and ran the wire back to where it wouldn’t be in the way."/>
    <s v="5051044"/>
    <s v="Upstream"/>
    <s v="158792"/>
    <s v="USD"/>
    <n v="697.5"/>
    <s v="B2B"/>
    <s v="1"/>
    <s v=""/>
    <s v="Qualified Electrician"/>
    <s v=""/>
    <d v="2025-09-26T14:09:56"/>
    <d v="2025-09-15T14:15:00"/>
    <d v="2025-09-15T18:45:00"/>
    <s v=""/>
    <s v="RIO WITCHITA 15-10"/>
    <s v=""/>
    <s v=""/>
    <s v=""/>
    <s v=""/>
    <s v=""/>
    <s v=""/>
    <s v=""/>
    <s v=""/>
    <s v=""/>
    <s v=""/>
    <s v=""/>
    <s v=""/>
    <s v=""/>
    <s v=""/>
    <s v=""/>
    <s v=""/>
    <s v=""/>
    <s v=""/>
    <s v=""/>
    <s v=""/>
    <s v=""/>
    <s v=""/>
    <s v="Labor"/>
    <s v=""/>
    <s v=""/>
    <s v=""/>
    <s v="8300147700"/>
    <s v="RIO WICHITA 15-10 BATTERY"/>
    <s v="Upstream"/>
    <s v="1046"/>
    <s v=""/>
    <s v=""/>
    <s v=""/>
    <s v=""/>
    <s v=""/>
    <s v=""/>
    <s v=""/>
    <n v="4.5"/>
    <s v="HR"/>
    <n v="65"/>
    <s v=""/>
    <n v="292.5"/>
    <s v="--multiple--"/>
    <s v="708305"/>
    <d v="2025-10-13T13:05:38"/>
    <s v=""/>
    <s v=""/>
    <s v="Requisitioner Error"/>
    <s v=""/>
  </r>
  <r>
    <s v="211757"/>
    <s v="Basin Trucking LLC"/>
    <x v="4"/>
    <s v="Jason Fletcher"/>
    <s v="Elam Tavarez"/>
    <s v="Went to Sunset to picked up forklift then delivered to location to work on battery."/>
    <s v="5051024"/>
    <s v="Upstream"/>
    <s v="168358"/>
    <s v="USD"/>
    <n v="600"/>
    <s v="Direct Entry"/>
    <s v="1"/>
    <s v="lowboy"/>
    <s v="Lowboy"/>
    <s v="freight"/>
    <d v="2025-10-09T09:02:03"/>
    <d v="2025-10-03T15:00:00"/>
    <d v="2025-10-03T19:00:00"/>
    <s v=""/>
    <s v="MATTINGLEY 14-26 BATTERY"/>
    <s v=""/>
    <s v=""/>
    <s v=""/>
    <s v=""/>
    <s v=""/>
    <s v=""/>
    <s v=""/>
    <s v=""/>
    <s v=""/>
    <s v=""/>
    <s v=""/>
    <s v=""/>
    <s v=""/>
    <s v=""/>
    <s v=""/>
    <s v=""/>
    <s v=""/>
    <s v=""/>
    <s v=""/>
    <s v=""/>
    <s v=""/>
    <s v=""/>
    <s v="Equipment"/>
    <s v=""/>
    <s v=""/>
    <s v=""/>
    <s v="8300189400"/>
    <s v="MATTINGLEY 14-26 BATTERY"/>
    <s v="Upstream"/>
    <s v="1046"/>
    <s v=""/>
    <s v=""/>
    <s v=""/>
    <s v=""/>
    <s v=""/>
    <s v=""/>
    <s v=""/>
    <n v="4"/>
    <s v="HR"/>
    <n v="150"/>
    <s v=""/>
    <n v="600"/>
    <s v="--multiple--"/>
    <s v="703517"/>
    <d v="2025-10-09T09:03:48"/>
    <s v=""/>
    <s v=""/>
    <s v=""/>
    <s v=""/>
  </r>
  <r>
    <s v="202544685"/>
    <s v="AM Fabrication Inc"/>
    <x v="2"/>
    <s v="Samuel Soria"/>
    <s v="Javier Barrera"/>
    <s v="Pm flame arrester_x000a_No gas to test"/>
    <s v="5051064"/>
    <s v="Upstream"/>
    <s v="166390"/>
    <s v="USD"/>
    <n v="500"/>
    <s v="Direct Entry"/>
    <s v="1"/>
    <s v="1237"/>
    <s v="Diamondback PM Fixed Pilot"/>
    <s v="Stock item"/>
    <d v="2025-10-07T19:48:29"/>
    <d v="2025-09-30T08:00:00"/>
    <d v="2025-09-30T10:30:00"/>
    <s v=""/>
    <s v="STATE AMBUSH 45 BATTERY"/>
    <s v=""/>
    <s v=""/>
    <s v=""/>
    <s v=""/>
    <s v=""/>
    <s v=""/>
    <s v=""/>
    <s v=""/>
    <s v=""/>
    <s v=""/>
    <s v=""/>
    <s v=""/>
    <s v=""/>
    <s v=""/>
    <s v=""/>
    <s v=""/>
    <s v=""/>
    <s v=""/>
    <s v=""/>
    <s v=""/>
    <s v=""/>
    <s v=""/>
    <s v="Labor"/>
    <s v=""/>
    <s v=""/>
    <s v=""/>
    <s v="8000014100"/>
    <s v="AMBUSH 45 BATTERY"/>
    <s v="Upstream"/>
    <s v="1046"/>
    <s v=""/>
    <s v=""/>
    <s v=""/>
    <s v=""/>
    <s v=""/>
    <s v=""/>
    <s v=""/>
    <n v="1"/>
    <s v="EA"/>
    <n v="150"/>
    <s v=""/>
    <n v="150"/>
    <s v="--multiple--"/>
    <s v="703623"/>
    <d v="2025-10-07T19:50:49"/>
    <s v=""/>
    <s v=""/>
    <s v=""/>
    <s v=""/>
  </r>
  <r>
    <s v="207243"/>
    <s v="Basin Trucking LLC"/>
    <x v="12"/>
    <s v="Jason Fletcher"/>
    <s v="Elam Tavarez"/>
    <s v="XRAY used forklift to move piping"/>
    <s v="5051024"/>
    <s v="Upstream"/>
    <s v="168358"/>
    <s v="USD"/>
    <n v="320"/>
    <s v="Direct Entry"/>
    <s v="1"/>
    <s v="10K Forklift"/>
    <s v="10K Forklift"/>
    <s v=""/>
    <d v="2025-10-10T14:15:46"/>
    <d v="2025-10-05T06:00:00"/>
    <d v="2025-10-05T17:00:00"/>
    <s v=""/>
    <s v="MATTINGLEY 14-26 BATTERY"/>
    <s v=""/>
    <s v=""/>
    <s v=""/>
    <s v=""/>
    <s v=""/>
    <s v=""/>
    <s v=""/>
    <s v=""/>
    <s v=""/>
    <s v=""/>
    <s v=""/>
    <s v=""/>
    <s v=""/>
    <s v=""/>
    <s v=""/>
    <s v=""/>
    <s v=""/>
    <s v=""/>
    <s v=""/>
    <s v=""/>
    <s v=""/>
    <s v=""/>
    <s v="Equipment"/>
    <s v=""/>
    <s v=""/>
    <s v=""/>
    <s v="8300189400"/>
    <s v="MATTINGLEY 14-26 BATTERY"/>
    <s v="Upstream"/>
    <s v="1046"/>
    <s v=""/>
    <s v=""/>
    <s v=""/>
    <s v=""/>
    <s v=""/>
    <s v=""/>
    <s v=""/>
    <n v="1"/>
    <s v="Day"/>
    <n v="320"/>
    <s v=""/>
    <n v="320"/>
    <s v="--multiple--"/>
    <s v="703517"/>
    <d v="2025-10-10T14:18:09"/>
    <s v=""/>
    <s v=""/>
    <s v=""/>
    <s v=""/>
  </r>
  <r>
    <s v="22720"/>
    <s v="Belloc Energy Services &amp; Transport,LLC"/>
    <x v="12"/>
    <s v="Jacob Rogers"/>
    <s v="Christopher Falcon"/>
    <s v="pulled 110 bbls of pw from location"/>
    <s v="5051054"/>
    <s v="Upstream"/>
    <s v=""/>
    <s v="USD"/>
    <n v="361.5"/>
    <s v="Direct Entry"/>
    <s v="1"/>
    <s v="Vacuum Truck"/>
    <s v="Vacuum Truck"/>
    <s v=""/>
    <d v="2025-09-24T07:53:21"/>
    <d v="2025-09-18T07:15:00"/>
    <d v="2025-09-18T10:15:00"/>
    <d v="1899-12-30T03:00:00"/>
    <s v="ELAINE 2 BATTERY"/>
    <s v=""/>
    <s v=""/>
    <s v="Produced Water"/>
    <s v=""/>
    <s v=""/>
    <s v=""/>
    <s v=""/>
    <s v=""/>
    <s v=""/>
    <s v=""/>
    <s v=""/>
    <s v=""/>
    <s v=""/>
    <s v=""/>
    <s v=""/>
    <s v=""/>
    <s v=""/>
    <s v=""/>
    <s v=""/>
    <s v=""/>
    <n v="110"/>
    <s v="bbl"/>
    <s v=""/>
    <s v=""/>
    <s v=""/>
    <s v=""/>
    <s v="8300096500"/>
    <s v="ELAINE 2 BATTERY"/>
    <s v="Upstream"/>
    <s v="1046"/>
    <s v=""/>
    <s v=""/>
    <s v=""/>
    <s v=""/>
    <s v=""/>
    <s v=""/>
    <s v="Hours Worked"/>
    <n v="3"/>
    <s v="hour"/>
    <n v="93"/>
    <s v=""/>
    <n v="279"/>
    <s v="Pricebook"/>
    <s v="712945"/>
    <d v="2025-10-02T13:31:18"/>
    <s v=""/>
    <s v=""/>
    <s v=""/>
    <s v=""/>
  </r>
  <r>
    <s v="22721"/>
    <s v="Belloc Energy Services &amp; Transport,LLC"/>
    <x v="12"/>
    <s v="Jacob Rogers"/>
    <s v="Christopher Falcon"/>
    <s v="pulled 110 bbls of pw from location"/>
    <s v="5051054"/>
    <s v="Upstream"/>
    <s v=""/>
    <s v="USD"/>
    <n v="315"/>
    <s v="Direct Entry"/>
    <s v="1"/>
    <s v="Vacuum Truck"/>
    <s v="Vacuum Truck"/>
    <s v=""/>
    <d v="2025-09-24T07:56:47"/>
    <d v="2025-09-18T10:15:00"/>
    <d v="2025-09-18T12:45:00"/>
    <d v="1899-12-30T02:30:00"/>
    <s v="ELAINE 2 BATTERY"/>
    <s v=""/>
    <s v=""/>
    <s v="Produced Water"/>
    <s v=""/>
    <s v=""/>
    <s v=""/>
    <s v=""/>
    <s v=""/>
    <s v=""/>
    <s v=""/>
    <s v=""/>
    <s v=""/>
    <s v=""/>
    <s v=""/>
    <s v=""/>
    <s v=""/>
    <s v=""/>
    <s v=""/>
    <s v=""/>
    <s v=""/>
    <n v="110"/>
    <s v="bbl"/>
    <s v=""/>
    <s v=""/>
    <s v=""/>
    <s v=""/>
    <s v="8300096500"/>
    <s v="ELAINE 2 BATTERY"/>
    <s v="Upstream"/>
    <s v="1046"/>
    <s v=""/>
    <s v=""/>
    <s v=""/>
    <s v=""/>
    <s v=""/>
    <s v=""/>
    <s v="Hours Worked"/>
    <n v="2.5"/>
    <s v="hour"/>
    <n v="93"/>
    <s v=""/>
    <n v="232.5"/>
    <s v="Pricebook"/>
    <s v="712945"/>
    <d v="2025-10-02T13:32:41"/>
    <s v=""/>
    <s v=""/>
    <s v=""/>
    <s v=""/>
  </r>
  <r>
    <s v="22719"/>
    <s v="Belloc Energy Services &amp; Transport,LLC"/>
    <x v="12"/>
    <s v="Jacob Rogers"/>
    <s v="Christopher Falcon"/>
    <s v="pulled 110 bbls of pw from location"/>
    <s v="5051054"/>
    <s v="Upstream"/>
    <s v=""/>
    <s v="USD"/>
    <n v="268.5"/>
    <s v="Direct Entry"/>
    <s v="1"/>
    <s v="Vacuum Truck"/>
    <s v="Vacuum Truck"/>
    <s v=""/>
    <d v="2025-09-24T07:59:38"/>
    <d v="2025-09-18T12:45:00"/>
    <d v="2025-09-18T14:45:00"/>
    <d v="1899-12-30T02:00:00"/>
    <s v="ELAINE 2 BATTERY"/>
    <s v=""/>
    <s v=""/>
    <s v="Produced Water"/>
    <s v=""/>
    <s v=""/>
    <s v=""/>
    <s v=""/>
    <s v=""/>
    <s v=""/>
    <s v=""/>
    <s v=""/>
    <s v=""/>
    <s v=""/>
    <s v=""/>
    <s v=""/>
    <s v=""/>
    <s v=""/>
    <s v=""/>
    <s v=""/>
    <s v=""/>
    <n v="110"/>
    <s v="bbl"/>
    <s v=""/>
    <s v=""/>
    <s v=""/>
    <s v=""/>
    <s v="8300096500"/>
    <s v="ELAINE 2 BATTERY"/>
    <s v="Upstream"/>
    <s v="1046"/>
    <s v=""/>
    <s v=""/>
    <s v=""/>
    <s v=""/>
    <s v=""/>
    <s v=""/>
    <s v="Hours Worked"/>
    <n v="2"/>
    <s v="hour"/>
    <n v="93"/>
    <s v=""/>
    <n v="186"/>
    <s v="Pricebook"/>
    <s v="712945"/>
    <d v="2025-10-02T13:39:52"/>
    <s v=""/>
    <s v=""/>
    <s v=""/>
    <s v=""/>
  </r>
  <r>
    <s v="21871"/>
    <s v="Belloc Energy Services &amp; Transport,LLC"/>
    <x v="12"/>
    <s v="Jacob Rogers"/>
    <s v="Christopher Falcon"/>
    <s v="PULLED 100 BBLS OF PW FROM LOCATION"/>
    <s v="5051054"/>
    <s v="Upstream"/>
    <s v=""/>
    <s v="USD"/>
    <n v="255.75"/>
    <s v="Direct Entry"/>
    <s v="1"/>
    <s v="Vacuum Truck"/>
    <s v="Vacuum Truck"/>
    <s v=""/>
    <d v="2025-09-23T21:29:05"/>
    <d v="2025-09-18T18:30:00"/>
    <d v="2025-09-18T21:15:00"/>
    <d v="1899-12-30T02:45:00"/>
    <s v="ELAINE 2 BATTERY"/>
    <s v=""/>
    <s v=""/>
    <s v="Produced Water"/>
    <s v=""/>
    <s v=""/>
    <s v=""/>
    <s v=""/>
    <s v=""/>
    <s v=""/>
    <s v=""/>
    <s v=""/>
    <s v=""/>
    <s v=""/>
    <s v=""/>
    <s v=""/>
    <s v=""/>
    <s v=""/>
    <s v=""/>
    <s v=""/>
    <s v=""/>
    <n v="110"/>
    <s v="bbl"/>
    <s v=""/>
    <s v=""/>
    <s v=""/>
    <s v=""/>
    <s v="8300096500"/>
    <s v="ELAINE 2 BATTERY"/>
    <s v="Upstream"/>
    <s v="1046"/>
    <s v=""/>
    <s v=""/>
    <s v=""/>
    <s v=""/>
    <s v=""/>
    <s v=""/>
    <s v="Hours Worked"/>
    <n v="2.75"/>
    <s v="hour"/>
    <n v="93"/>
    <s v=""/>
    <n v="255.75"/>
    <s v="Pricebook"/>
    <s v="712945"/>
    <d v="2025-10-02T15:16:53"/>
    <s v=""/>
    <s v=""/>
    <s v=""/>
    <s v=""/>
  </r>
  <r>
    <s v="23801"/>
    <s v="Belloc Energy Services &amp; Transport,LLC"/>
    <x v="12"/>
    <s v="Jacob Rogers"/>
    <s v="Christopher Falcon"/>
    <s v="PULLED 120 BBLS OF PW FROM LOCATION AND HAULED TO SWD"/>
    <s v="5051054"/>
    <s v="Upstream"/>
    <s v=""/>
    <s v="USD"/>
    <n v="345.75"/>
    <s v="Direct Entry"/>
    <s v="1"/>
    <s v="Vacuum Truck"/>
    <s v="Vacuum Truck"/>
    <s v=""/>
    <d v="2025-09-26T10:31:56"/>
    <d v="2025-09-19T07:00:00"/>
    <d v="2025-09-19T09:45:00"/>
    <d v="1899-12-30T02:45:00"/>
    <s v="ELAINE 2 BATTERY"/>
    <s v=""/>
    <s v=""/>
    <s v="Produced Water"/>
    <s v=""/>
    <s v=""/>
    <s v=""/>
    <s v=""/>
    <s v=""/>
    <s v=""/>
    <s v=""/>
    <s v=""/>
    <s v=""/>
    <s v=""/>
    <s v=""/>
    <s v=""/>
    <s v=""/>
    <s v=""/>
    <s v=""/>
    <s v=""/>
    <s v=""/>
    <n v="120"/>
    <s v="bbl"/>
    <s v=""/>
    <s v=""/>
    <s v=""/>
    <s v=""/>
    <s v="8300096500"/>
    <s v="ELAINE 2 BATTERY"/>
    <s v="Upstream"/>
    <s v="1046"/>
    <s v=""/>
    <s v=""/>
    <s v=""/>
    <s v=""/>
    <s v=""/>
    <s v=""/>
    <s v="Hours Worked"/>
    <n v="2.75"/>
    <s v="hour"/>
    <n v="93"/>
    <s v=""/>
    <n v="255.75"/>
    <s v="Pricebook"/>
    <s v="712945"/>
    <d v="2025-10-02T15:38:55"/>
    <s v=""/>
    <s v=""/>
    <s v=""/>
    <s v=""/>
  </r>
  <r>
    <s v="21876"/>
    <s v="Belloc Energy Services &amp; Transport,LLC"/>
    <x v="12"/>
    <s v="Jacob Rogers"/>
    <s v="Christopher Falcon"/>
    <s v="PULLED 110 BBLS OF PW FROM LOCATION AND HAULED TO SWD"/>
    <s v="5051054"/>
    <s v="Upstream"/>
    <s v=""/>
    <s v="USD"/>
    <n v="232.5"/>
    <s v="Direct Entry"/>
    <s v="1"/>
    <s v="Vacuum Truck"/>
    <s v="Vacuum Truck"/>
    <s v=""/>
    <d v="2025-09-26T10:11:55"/>
    <d v="2025-09-19T17:45:00"/>
    <d v="2025-09-19T20:15:00"/>
    <d v="1899-12-30T02:30:00"/>
    <s v="ELAINE 2 BATTERY"/>
    <s v=""/>
    <s v=""/>
    <s v="Produced Water"/>
    <s v=""/>
    <s v=""/>
    <s v=""/>
    <s v=""/>
    <s v=""/>
    <s v=""/>
    <s v=""/>
    <s v=""/>
    <s v=""/>
    <s v=""/>
    <s v=""/>
    <s v=""/>
    <s v=""/>
    <s v=""/>
    <s v=""/>
    <s v=""/>
    <s v=""/>
    <n v="110"/>
    <s v="bbl"/>
    <s v=""/>
    <s v=""/>
    <s v=""/>
    <s v=""/>
    <s v="8300096500"/>
    <s v="ELAINE 2 BATTERY"/>
    <s v="Upstream"/>
    <s v="1046"/>
    <s v=""/>
    <s v=""/>
    <s v=""/>
    <s v=""/>
    <s v=""/>
    <s v=""/>
    <s v="Hours Worked"/>
    <n v="2.5"/>
    <s v="hour"/>
    <n v="93"/>
    <s v=""/>
    <n v="232.5"/>
    <s v="Pricebook"/>
    <s v="712945"/>
    <d v="2025-10-02T16:08:47"/>
    <s v=""/>
    <s v=""/>
    <s v=""/>
    <s v=""/>
  </r>
  <r>
    <s v="21875"/>
    <s v="Belloc Energy Services &amp; Transport,LLC"/>
    <x v="12"/>
    <s v="Jacob Rogers"/>
    <s v="Christopher Falcon"/>
    <s v="PULLED 110 BBLS OF PW FROM LOCATION AND HAULED TO SWD"/>
    <s v="5051054"/>
    <s v="Upstream"/>
    <s v=""/>
    <s v="USD"/>
    <n v="186"/>
    <s v="Direct Entry"/>
    <s v="1"/>
    <s v="Vacuum Truck"/>
    <s v="Vacuum Truck"/>
    <s v=""/>
    <d v="2025-09-26T10:22:22"/>
    <d v="2025-09-19T20:15:00"/>
    <d v="2025-09-19T22:15:00"/>
    <d v="1899-12-30T02:00:00"/>
    <s v="ELAINE 2 BATTERY"/>
    <s v=""/>
    <s v=""/>
    <s v="Produced Water"/>
    <s v=""/>
    <s v=""/>
    <s v=""/>
    <s v=""/>
    <s v=""/>
    <s v=""/>
    <s v=""/>
    <s v=""/>
    <s v=""/>
    <s v=""/>
    <s v=""/>
    <s v=""/>
    <s v=""/>
    <s v=""/>
    <s v=""/>
    <s v=""/>
    <s v=""/>
    <n v="120"/>
    <s v="bbl"/>
    <s v=""/>
    <s v=""/>
    <s v=""/>
    <s v=""/>
    <s v="8300096500"/>
    <s v="ELAINE 2 BATTERY"/>
    <s v="Upstream"/>
    <s v="1046"/>
    <s v=""/>
    <s v=""/>
    <s v=""/>
    <s v=""/>
    <s v=""/>
    <s v=""/>
    <s v="Hours Worked"/>
    <n v="2"/>
    <s v="hour"/>
    <n v="93"/>
    <s v=""/>
    <n v="186"/>
    <s v="Pricebook"/>
    <s v="712945"/>
    <d v="2025-10-02T16:11:43"/>
    <s v=""/>
    <s v=""/>
    <s v=""/>
    <s v=""/>
  </r>
  <r>
    <s v="21918"/>
    <s v="Belloc Energy Services &amp; Transport,LLC"/>
    <x v="12"/>
    <s v="Jacob Rogers"/>
    <s v="Christopher Falcon"/>
    <s v="DROVE TO LOCATION AND PULLED 110BBLS OF PW AND HAULED SWD"/>
    <s v="5051054"/>
    <s v="Upstream"/>
    <s v=""/>
    <s v="USD"/>
    <n v="268.5"/>
    <s v="Direct Entry"/>
    <s v="1"/>
    <s v="Vacuum Truck"/>
    <s v="Vacuum Truck"/>
    <s v=""/>
    <d v="2025-09-26T14:39:56"/>
    <d v="2025-09-20T20:15:00"/>
    <d v="2025-09-20T22:15:00"/>
    <d v="1899-12-30T02:00:00"/>
    <s v="ELAINE 2 BATTERY"/>
    <s v=""/>
    <s v=""/>
    <s v="Produced Water"/>
    <s v=""/>
    <s v=""/>
    <s v=""/>
    <s v=""/>
    <s v=""/>
    <s v=""/>
    <s v=""/>
    <s v=""/>
    <s v=""/>
    <s v=""/>
    <s v=""/>
    <s v=""/>
    <s v=""/>
    <s v=""/>
    <s v=""/>
    <s v=""/>
    <s v=""/>
    <n v="120"/>
    <s v="bbl"/>
    <s v=""/>
    <s v=""/>
    <s v=""/>
    <s v=""/>
    <s v="8300096500"/>
    <s v="ELAINE 2 BATTERY"/>
    <s v="Upstream"/>
    <s v="1046"/>
    <s v=""/>
    <s v=""/>
    <s v=""/>
    <s v=""/>
    <s v=""/>
    <s v=""/>
    <s v="Hours Worked"/>
    <n v="2"/>
    <s v="hour"/>
    <n v="93"/>
    <s v=""/>
    <n v="186"/>
    <s v="Pricebook"/>
    <s v="712945"/>
    <d v="2025-10-02T16:26:28"/>
    <s v=""/>
    <s v=""/>
    <s v=""/>
    <s v=""/>
  </r>
  <r>
    <s v="21919"/>
    <s v="Belloc Energy Services &amp; Transport,LLC"/>
    <x v="12"/>
    <s v="Jacob Rogers"/>
    <s v="Christopher Falcon"/>
    <s v="DROVE TO LOCATION AND PULLED 110BBLS OF PW AND HAULED SWD"/>
    <s v="5051054"/>
    <s v="Upstream"/>
    <s v=""/>
    <s v="USD"/>
    <n v="222"/>
    <s v="Direct Entry"/>
    <s v="1"/>
    <s v="Vacuum Truck"/>
    <s v="Vacuum Truck"/>
    <s v=""/>
    <d v="2025-09-26T14:49:27"/>
    <d v="2025-09-20T22:15:00"/>
    <d v="2025-09-20T23:45:00"/>
    <d v="1899-12-30T01:30:00"/>
    <s v="ELAINE 2 BATTERY"/>
    <s v=""/>
    <s v=""/>
    <s v="Produced Water"/>
    <s v=""/>
    <s v=""/>
    <s v=""/>
    <s v=""/>
    <s v=""/>
    <s v=""/>
    <s v=""/>
    <s v=""/>
    <s v=""/>
    <s v=""/>
    <s v=""/>
    <s v=""/>
    <s v=""/>
    <s v=""/>
    <s v=""/>
    <s v=""/>
    <s v=""/>
    <n v="120"/>
    <s v="bbl"/>
    <s v=""/>
    <s v=""/>
    <s v=""/>
    <s v=""/>
    <s v="8300096500"/>
    <s v="ELAINE 2 BATTERY"/>
    <s v="Upstream"/>
    <s v="1046"/>
    <s v=""/>
    <s v=""/>
    <s v=""/>
    <s v=""/>
    <s v=""/>
    <s v=""/>
    <s v="Hours Worked"/>
    <n v="1.5"/>
    <s v="hour"/>
    <n v="93"/>
    <s v=""/>
    <n v="139.5"/>
    <s v="Pricebook"/>
    <s v="712945"/>
    <d v="2025-10-02T16:28:13"/>
    <s v=""/>
    <s v=""/>
    <s v=""/>
    <s v=""/>
  </r>
  <r>
    <s v="21920"/>
    <s v="Belloc Energy Services &amp; Transport,LLC"/>
    <x v="12"/>
    <s v="Jacob Rogers"/>
    <s v="Christopher Falcon"/>
    <s v="DROVE TO LOCATION AND PULLED 110BBLS OF PW AND HAULED SWD"/>
    <s v="5051054"/>
    <s v="Upstream"/>
    <s v=""/>
    <s v="USD"/>
    <n v="268.5"/>
    <s v="Direct Entry"/>
    <s v="1"/>
    <s v="Vacuum Truck"/>
    <s v="Vacuum Truck"/>
    <s v=""/>
    <d v="2025-09-26T14:52:26"/>
    <d v="2025-09-20T23:45:00"/>
    <d v="2025-09-21T01:45:00"/>
    <d v="1899-12-30T02:00:00"/>
    <s v="ELAINE 2 BATTERY"/>
    <s v=""/>
    <s v=""/>
    <s v="Produced Water"/>
    <s v=""/>
    <s v=""/>
    <s v=""/>
    <s v=""/>
    <s v=""/>
    <s v=""/>
    <s v=""/>
    <s v=""/>
    <s v=""/>
    <s v=""/>
    <s v=""/>
    <s v=""/>
    <s v=""/>
    <s v=""/>
    <s v=""/>
    <s v=""/>
    <s v=""/>
    <n v="120"/>
    <s v="bbl"/>
    <s v=""/>
    <s v=""/>
    <s v=""/>
    <s v=""/>
    <s v="8300096500"/>
    <s v="ELAINE 2 BATTERY"/>
    <s v="Upstream"/>
    <s v="1046"/>
    <s v=""/>
    <s v=""/>
    <s v=""/>
    <s v=""/>
    <s v=""/>
    <s v=""/>
    <s v="Hours Worked"/>
    <n v="2"/>
    <s v="hour"/>
    <n v="93"/>
    <s v=""/>
    <n v="186"/>
    <s v="Pricebook"/>
    <s v="712945"/>
    <d v="2025-10-02T16:29:39"/>
    <s v=""/>
    <s v=""/>
    <s v=""/>
    <s v=""/>
  </r>
  <r>
    <s v="21924"/>
    <s v="Belloc Energy Services &amp; Transport,LLC"/>
    <x v="2"/>
    <s v="Jacob Rogers"/>
    <s v="Christopher Falcon"/>
    <s v="PULLED 110BBLS OF PW FROM LOCATION"/>
    <s v="5051054"/>
    <s v="Upstream"/>
    <s v=""/>
    <s v="USD"/>
    <n v="268.5"/>
    <s v="Direct Entry"/>
    <s v="1"/>
    <s v="Vacuum Truck"/>
    <s v="Vacuum Truck"/>
    <s v=""/>
    <d v="2025-09-28T20:17:59"/>
    <d v="2025-09-21T12:30:00"/>
    <d v="2025-09-21T14:30:00"/>
    <d v="1899-12-30T02:00:00"/>
    <s v="ELAINE 2 BATTERY"/>
    <s v=""/>
    <s v=""/>
    <s v="Produced Water"/>
    <s v=""/>
    <s v=""/>
    <s v=""/>
    <s v=""/>
    <s v=""/>
    <s v=""/>
    <s v=""/>
    <s v=""/>
    <s v=""/>
    <s v=""/>
    <s v=""/>
    <s v=""/>
    <s v=""/>
    <s v=""/>
    <s v=""/>
    <s v=""/>
    <s v=""/>
    <n v="120"/>
    <s v="bbl"/>
    <s v=""/>
    <s v=""/>
    <s v=""/>
    <s v=""/>
    <s v="8300096500"/>
    <s v="ELAINE 2 BATTERY"/>
    <s v="Upstream"/>
    <s v="1046"/>
    <s v=""/>
    <s v=""/>
    <s v=""/>
    <s v=""/>
    <s v=""/>
    <s v=""/>
    <s v="Hours Worked"/>
    <n v="2"/>
    <s v="hour"/>
    <n v="93"/>
    <s v=""/>
    <n v="186"/>
    <s v="Pricebook"/>
    <s v="712945"/>
    <d v="2025-10-13T08:49:52"/>
    <s v=""/>
    <s v=""/>
    <s v="Electronic Field Ticket Issue"/>
    <s v=""/>
  </r>
  <r>
    <s v="21923"/>
    <s v="Belloc Energy Services &amp; Transport,LLC"/>
    <x v="2"/>
    <s v="Jacob Rogers"/>
    <s v="Christopher Falcon"/>
    <s v="PULLED 110BBLS OF PW FROM LOCATION"/>
    <s v="5051054"/>
    <s v="Upstream"/>
    <s v=""/>
    <s v="USD"/>
    <n v="222"/>
    <s v="Direct Entry"/>
    <s v="1"/>
    <s v="Vacuum Truck"/>
    <s v="Vacuum Truck"/>
    <s v=""/>
    <d v="2025-09-28T20:30:28"/>
    <d v="2025-09-21T14:30:00"/>
    <d v="2025-09-21T16:00:00"/>
    <d v="1899-12-30T01:30:00"/>
    <s v="ELAINE 2 BATTERY"/>
    <s v=""/>
    <s v=""/>
    <s v="Produced Water"/>
    <s v=""/>
    <s v=""/>
    <s v=""/>
    <s v=""/>
    <s v=""/>
    <s v=""/>
    <s v=""/>
    <s v=""/>
    <s v=""/>
    <s v=""/>
    <s v=""/>
    <s v=""/>
    <s v=""/>
    <s v=""/>
    <s v=""/>
    <s v=""/>
    <s v=""/>
    <n v="120"/>
    <s v="bbl"/>
    <s v=""/>
    <s v=""/>
    <s v=""/>
    <s v=""/>
    <s v="8300096500"/>
    <s v="ELAINE 2 BATTERY"/>
    <s v="Upstream"/>
    <s v="1046"/>
    <s v=""/>
    <s v=""/>
    <s v=""/>
    <s v=""/>
    <s v=""/>
    <s v=""/>
    <s v="Hours Worked"/>
    <n v="1.5"/>
    <s v="hour"/>
    <n v="93"/>
    <s v=""/>
    <n v="139.5"/>
    <s v="Pricebook"/>
    <s v="712945"/>
    <d v="2025-10-13T08:51:26"/>
    <s v=""/>
    <s v=""/>
    <s v="Electronic Field Ticket Issue"/>
    <s v=""/>
  </r>
  <r>
    <s v="22728"/>
    <s v="Belloc Energy Services &amp; Transport,LLC"/>
    <x v="12"/>
    <s v="Jacob Rogers"/>
    <s v="Christopher Falcon"/>
    <s v="DROVE TO LOCATION AND PULLED 110 BBLS FROM LOCATION"/>
    <s v="5051054"/>
    <s v="Upstream"/>
    <s v=""/>
    <s v="USD"/>
    <n v="408"/>
    <s v="Direct Entry"/>
    <s v="1"/>
    <s v="Vacuum Truck"/>
    <s v="Vacuum Truck"/>
    <s v=""/>
    <d v="2025-09-28T21:41:40"/>
    <d v="2025-09-22T10:00:00"/>
    <d v="2025-09-22T13:30:00"/>
    <d v="1899-12-30T03:30:00"/>
    <s v="ELAINE 2 BATTERY"/>
    <s v=""/>
    <s v=""/>
    <s v="Produced Water"/>
    <s v=""/>
    <s v=""/>
    <s v=""/>
    <s v=""/>
    <s v=""/>
    <s v=""/>
    <s v=""/>
    <s v=""/>
    <s v=""/>
    <s v=""/>
    <s v=""/>
    <s v=""/>
    <s v=""/>
    <s v=""/>
    <s v=""/>
    <s v=""/>
    <s v=""/>
    <n v="110"/>
    <s v="bbl"/>
    <s v=""/>
    <s v=""/>
    <s v=""/>
    <s v=""/>
    <s v="8300096500"/>
    <s v="ELAINE 2 BATTERY"/>
    <s v="Upstream"/>
    <s v="1046"/>
    <s v=""/>
    <s v=""/>
    <s v=""/>
    <s v=""/>
    <s v=""/>
    <s v=""/>
    <s v="Hours Worked"/>
    <n v="3.5"/>
    <s v="hour"/>
    <n v="93"/>
    <s v=""/>
    <n v="325.5"/>
    <s v="Pricebook"/>
    <s v="712945"/>
    <d v="2025-10-02T17:04:04"/>
    <s v=""/>
    <s v=""/>
    <s v=""/>
    <s v=""/>
  </r>
  <r>
    <s v="21972"/>
    <s v="Belloc Energy Services &amp; Transport,LLC"/>
    <x v="2"/>
    <s v="Jacob Rogers"/>
    <s v="Christopher Falcon"/>
    <s v="PULLED 120 BBLS OF PW FROM LOCATION"/>
    <s v="5051054"/>
    <s v="Upstream"/>
    <s v=""/>
    <s v="USD"/>
    <n v="186"/>
    <s v="Direct Entry"/>
    <s v="1"/>
    <s v="Vacuum Truck"/>
    <s v="Vacuum Truck"/>
    <s v=""/>
    <d v="2025-09-29T15:27:31"/>
    <d v="2025-09-23T11:45:00"/>
    <d v="2025-09-23T13:45:00"/>
    <d v="1899-12-30T02:00:00"/>
    <s v="TP LAND TRUST A BATTERY"/>
    <s v=""/>
    <s v=""/>
    <s v="Produced Water"/>
    <s v=""/>
    <s v=""/>
    <s v=""/>
    <s v=""/>
    <s v=""/>
    <s v=""/>
    <s v=""/>
    <s v=""/>
    <s v=""/>
    <s v=""/>
    <s v=""/>
    <s v=""/>
    <s v=""/>
    <s v=""/>
    <s v=""/>
    <s v=""/>
    <s v=""/>
    <n v="120"/>
    <s v="bbl"/>
    <s v=""/>
    <s v=""/>
    <s v=""/>
    <s v=""/>
    <s v="8300160400"/>
    <s v="TP LAND TRUST A BATTERY"/>
    <s v="Upstream"/>
    <s v="1046"/>
    <s v=""/>
    <s v=""/>
    <s v=""/>
    <s v=""/>
    <s v=""/>
    <s v=""/>
    <s v="Hours Worked"/>
    <n v="2"/>
    <s v="hour"/>
    <n v="93"/>
    <s v=""/>
    <n v="186"/>
    <s v="Pricebook"/>
    <s v="712945"/>
    <d v="2025-10-07T09:23:30"/>
    <s v=""/>
    <s v=""/>
    <s v="Validation Overlapping Hours"/>
    <s v=""/>
  </r>
  <r>
    <s v="659973"/>
    <s v="J&amp;R Roustabout, LLC"/>
    <x v="5"/>
    <s v="Jacob Rogers"/>
    <s v="Christopher Falcon"/>
    <s v="JOHN TRASH TRAILER RENTAL  _x000a_8/26/25 - 9/26/25"/>
    <s v="5051037"/>
    <s v="Upstream"/>
    <s v=""/>
    <s v="USD"/>
    <n v="1200"/>
    <s v="Direct Entry"/>
    <s v="1"/>
    <s v="John/Trash Trailer – Month"/>
    <s v="John/Trash Trailer – Month"/>
    <s v="John/Trash Trailer – Month"/>
    <d v="2025-10-01T09:31:45"/>
    <d v="2025-09-26T00:00:00"/>
    <d v="2025-09-26T00:00:00"/>
    <s v=""/>
    <s v="BRUAN C4"/>
    <s v=""/>
    <s v=""/>
    <s v=""/>
    <s v=""/>
    <s v=""/>
    <s v=""/>
    <s v=""/>
    <s v=""/>
    <s v=""/>
    <s v=""/>
    <s v=""/>
    <s v=""/>
    <s v=""/>
    <s v=""/>
    <s v=""/>
    <s v=""/>
    <s v=""/>
    <s v=""/>
    <s v=""/>
    <s v=""/>
    <s v=""/>
    <s v=""/>
    <s v="Equipment"/>
    <s v=""/>
    <s v=""/>
    <s v=""/>
    <s v="8300084000"/>
    <s v="BRAUN 4-C4 BATTERY"/>
    <s v="Upstream"/>
    <s v="1046"/>
    <s v=""/>
    <s v=""/>
    <s v=""/>
    <s v=""/>
    <s v=""/>
    <s v=""/>
    <s v=""/>
    <n v="1"/>
    <s v="MON"/>
    <n v="1200"/>
    <s v=""/>
    <n v="1200"/>
    <s v="Pricebook"/>
    <s v="712950"/>
    <d v="2025-10-01T09:35:19"/>
    <s v=""/>
    <s v=""/>
    <s v=""/>
    <s v=""/>
  </r>
  <r>
    <s v="23654"/>
    <s v="Belloc Energy Services &amp; Transport,LLC"/>
    <x v="2"/>
    <s v="Jacob Rogers"/>
    <s v="Christopher Falcon"/>
    <s v="PULLED 100 BBLS OF PW FROM LOCATION"/>
    <s v="5051054"/>
    <s v="Upstream"/>
    <s v=""/>
    <s v="USD"/>
    <n v="279"/>
    <s v="Direct Entry"/>
    <s v="1"/>
    <s v="Vacuum Truck"/>
    <s v="Vacuum Truck"/>
    <s v=""/>
    <d v="2025-10-07T08:52:21"/>
    <d v="2025-09-30T06:45:00"/>
    <d v="2025-09-30T09:45:00"/>
    <d v="1899-12-30T03:00:00"/>
    <s v="ELAINE 2 BATTERY"/>
    <s v=""/>
    <s v=""/>
    <s v="Produced Water"/>
    <s v=""/>
    <s v=""/>
    <s v=""/>
    <s v=""/>
    <s v=""/>
    <s v=""/>
    <s v=""/>
    <s v=""/>
    <s v=""/>
    <s v=""/>
    <s v=""/>
    <s v=""/>
    <s v=""/>
    <s v=""/>
    <s v=""/>
    <s v=""/>
    <s v=""/>
    <n v="100"/>
    <s v="bbl"/>
    <s v=""/>
    <s v=""/>
    <s v=""/>
    <s v=""/>
    <s v="8300096500"/>
    <s v="ELAINE 2 BATTERY"/>
    <s v="Upstream"/>
    <s v="1046"/>
    <s v=""/>
    <s v=""/>
    <s v=""/>
    <s v=""/>
    <s v=""/>
    <s v=""/>
    <s v="Hours Worked"/>
    <n v="3"/>
    <s v="hour"/>
    <n v="93"/>
    <s v=""/>
    <n v="279"/>
    <s v="Pricebook"/>
    <s v="712945"/>
    <d v="2025-10-09T16:42:29"/>
    <s v=""/>
    <s v=""/>
    <s v=""/>
    <s v=""/>
  </r>
  <r>
    <s v="23653"/>
    <s v="Belloc Energy Services &amp; Transport,LLC"/>
    <x v="2"/>
    <s v="Jacob Rogers"/>
    <s v="Christopher Falcon"/>
    <s v="PULLED 100 BBLS OF PW FROM LOCATION"/>
    <s v="5051054"/>
    <s v="Upstream"/>
    <s v=""/>
    <s v="USD"/>
    <n v="209.25"/>
    <s v="Direct Entry"/>
    <s v="1"/>
    <s v="Vacuum Truck"/>
    <s v="Vacuum Truck"/>
    <s v=""/>
    <d v="2025-10-07T08:54:40"/>
    <d v="2025-09-30T09:45:00"/>
    <d v="2025-09-30T12:00:00"/>
    <d v="1899-12-30T02:15:00"/>
    <s v="ELAINE 2 BATTERY"/>
    <s v=""/>
    <s v=""/>
    <s v="Produced Water"/>
    <s v=""/>
    <s v=""/>
    <s v=""/>
    <s v=""/>
    <s v=""/>
    <s v=""/>
    <s v=""/>
    <s v=""/>
    <s v=""/>
    <s v=""/>
    <s v=""/>
    <s v=""/>
    <s v=""/>
    <s v=""/>
    <s v=""/>
    <s v=""/>
    <s v=""/>
    <n v="100"/>
    <s v="bbl"/>
    <s v=""/>
    <s v=""/>
    <s v=""/>
    <s v=""/>
    <s v="8300096500"/>
    <s v="ELAINE 2 BATTERY"/>
    <s v="Upstream"/>
    <s v="1046"/>
    <s v=""/>
    <s v=""/>
    <s v=""/>
    <s v=""/>
    <s v=""/>
    <s v=""/>
    <s v="Hours Worked"/>
    <n v="2.25"/>
    <s v="hour"/>
    <n v="93"/>
    <s v=""/>
    <n v="209.25"/>
    <s v="Pricebook"/>
    <s v="712945"/>
    <d v="2025-10-09T16:35:35"/>
    <s v=""/>
    <s v=""/>
    <s v=""/>
    <s v=""/>
  </r>
  <r>
    <s v="23652"/>
    <s v="Belloc Energy Services &amp; Transport,LLC"/>
    <x v="2"/>
    <s v="Jacob Rogers"/>
    <s v="Christopher Falcon"/>
    <s v="PULLED 100 BBLS OF PW FROM LOCATION"/>
    <s v="5051054"/>
    <s v="Upstream"/>
    <s v=""/>
    <s v="USD"/>
    <n v="279"/>
    <s v="Direct Entry"/>
    <s v="1"/>
    <s v="Vacuum Truck"/>
    <s v="Vacuum Truck"/>
    <s v=""/>
    <d v="2025-10-07T08:56:19"/>
    <d v="2025-09-30T12:00:00"/>
    <d v="2025-09-30T15:00:00"/>
    <d v="1899-12-30T03:00:00"/>
    <s v="ELAINE 2 BATTERY"/>
    <s v=""/>
    <s v=""/>
    <s v="Produced Water"/>
    <s v=""/>
    <s v=""/>
    <s v=""/>
    <s v=""/>
    <s v=""/>
    <s v=""/>
    <s v=""/>
    <s v=""/>
    <s v=""/>
    <s v=""/>
    <s v=""/>
    <s v=""/>
    <s v=""/>
    <s v=""/>
    <s v=""/>
    <s v=""/>
    <s v=""/>
    <n v="100"/>
    <s v="bbl"/>
    <s v=""/>
    <s v=""/>
    <s v=""/>
    <s v=""/>
    <s v="8300096500"/>
    <s v="ELAINE 2 BATTERY"/>
    <s v="Upstream"/>
    <s v="1046"/>
    <s v=""/>
    <s v=""/>
    <s v=""/>
    <s v=""/>
    <s v=""/>
    <s v=""/>
    <s v="Hours Worked"/>
    <n v="3"/>
    <s v="hour"/>
    <n v="93"/>
    <s v=""/>
    <n v="279"/>
    <s v="Pricebook"/>
    <s v="712945"/>
    <d v="2025-10-09T16:34:44"/>
    <s v=""/>
    <s v=""/>
    <s v=""/>
    <s v=""/>
  </r>
  <r>
    <s v="23651"/>
    <s v="Belloc Energy Services &amp; Transport,LLC"/>
    <x v="2"/>
    <s v="Jacob Rogers"/>
    <s v="Christopher Falcon"/>
    <s v="PULLED 100 BBLS OF PW FROM LOCATION"/>
    <s v="5051054"/>
    <s v="Upstream"/>
    <s v=""/>
    <s v="USD"/>
    <n v="209.25"/>
    <s v="Direct Entry"/>
    <s v="1"/>
    <s v="Vacuum Truck"/>
    <s v="Vacuum Truck"/>
    <s v=""/>
    <d v="2025-10-07T08:58:02"/>
    <d v="2025-09-30T15:00:00"/>
    <d v="2025-09-30T17:15:00"/>
    <d v="1899-12-30T02:15:00"/>
    <s v="ELAINE 2 BATTERY"/>
    <s v=""/>
    <s v=""/>
    <s v="Produced Water"/>
    <s v=""/>
    <s v=""/>
    <s v=""/>
    <s v=""/>
    <s v=""/>
    <s v=""/>
    <s v=""/>
    <s v=""/>
    <s v=""/>
    <s v=""/>
    <s v=""/>
    <s v=""/>
    <s v=""/>
    <s v=""/>
    <s v=""/>
    <s v=""/>
    <s v=""/>
    <n v="100"/>
    <s v="bbl"/>
    <s v=""/>
    <s v=""/>
    <s v=""/>
    <s v=""/>
    <s v="8300096500"/>
    <s v="ELAINE 2 BATTERY"/>
    <s v="Upstream"/>
    <s v="1046"/>
    <s v=""/>
    <s v=""/>
    <s v=""/>
    <s v=""/>
    <s v=""/>
    <s v=""/>
    <s v="Hours Worked"/>
    <n v="2.25"/>
    <s v="hour"/>
    <n v="93"/>
    <s v=""/>
    <n v="209.25"/>
    <s v="Pricebook"/>
    <s v="712945"/>
    <d v="2025-10-09T16:17:12"/>
    <s v=""/>
    <s v=""/>
    <s v=""/>
    <s v=""/>
  </r>
  <r>
    <s v="T-85851"/>
    <s v="ACH Services, LLC"/>
    <x v="12"/>
    <s v="Jacob Rogers"/>
    <s v="Christopher Falcon"/>
    <s v="Drove to location to haul loads of PW to disposal."/>
    <s v="5051054"/>
    <s v="Upstream"/>
    <s v="166872"/>
    <s v="USD"/>
    <n v="576"/>
    <s v="Direct Entry"/>
    <s v="1"/>
    <s v="Vacuum Truck"/>
    <s v="Vacuum Truck"/>
    <s v="Vacuum Truck Services"/>
    <d v="2025-10-01T15:23:52"/>
    <d v="2025-09-30T19:30:00"/>
    <d v="2025-09-30T23:30:00"/>
    <d v="1899-12-30T04:00:00"/>
    <s v="TP LAND TRUST A BATTERY"/>
    <s v=""/>
    <s v=""/>
    <s v="-"/>
    <s v=""/>
    <s v=""/>
    <s v=""/>
    <s v=""/>
    <s v=""/>
    <s v=""/>
    <s v=""/>
    <s v=""/>
    <s v=""/>
    <s v=""/>
    <s v=""/>
    <s v=""/>
    <s v=""/>
    <s v=""/>
    <s v=""/>
    <s v=""/>
    <s v=""/>
    <n v="0"/>
    <s v="bbl"/>
    <s v=""/>
    <s v=""/>
    <s v=""/>
    <s v=""/>
    <s v="8300160400"/>
    <s v="TP LAND TRUST A BATTERY"/>
    <s v="Upstream"/>
    <s v="1046"/>
    <s v=""/>
    <s v=""/>
    <s v=""/>
    <s v=""/>
    <s v=""/>
    <s v=""/>
    <s v="Hours Worked"/>
    <n v="4"/>
    <s v="hour"/>
    <n v="90"/>
    <s v=""/>
    <n v="360"/>
    <s v="Pricebook"/>
    <s v="712932"/>
    <d v="2025-10-02T13:02:51"/>
    <s v=""/>
    <s v=""/>
    <s v="Validation General"/>
    <s v=""/>
  </r>
  <r>
    <s v="T-83448"/>
    <s v="ACH Services, LLC"/>
    <x v="2"/>
    <s v="Jacob Rogers"/>
    <s v="Christopher Falcon"/>
    <s v="Hauled loas from location to disposal."/>
    <s v="5051054"/>
    <s v="Upstream"/>
    <s v=""/>
    <s v="USD"/>
    <n v="936"/>
    <s v="Direct Entry"/>
    <s v="1"/>
    <s v="Vacuum Truck"/>
    <s v="Vacuum Truck"/>
    <s v="Vacuum Truck Services"/>
    <d v="2025-10-03T14:50:41"/>
    <d v="2025-10-01T00:00:00"/>
    <d v="2025-10-01T08:00:00"/>
    <d v="1899-12-30T08:00:00"/>
    <s v="TP LAND TRUST A BATTERY"/>
    <s v=""/>
    <s v=""/>
    <s v="-"/>
    <s v=""/>
    <s v=""/>
    <s v=""/>
    <s v=""/>
    <s v=""/>
    <s v=""/>
    <s v=""/>
    <s v=""/>
    <s v=""/>
    <s v=""/>
    <s v=""/>
    <s v=""/>
    <s v=""/>
    <s v=""/>
    <s v=""/>
    <s v=""/>
    <s v=""/>
    <n v="0"/>
    <s v="bbl"/>
    <s v=""/>
    <s v=""/>
    <s v=""/>
    <s v=""/>
    <s v="8300160400"/>
    <s v="TP LAND TRUST A BATTERY"/>
    <s v="Upstream"/>
    <s v="1046"/>
    <s v=""/>
    <s v=""/>
    <s v=""/>
    <s v=""/>
    <s v=""/>
    <s v=""/>
    <s v="Hours Worked"/>
    <n v="8"/>
    <s v="hour"/>
    <n v="90"/>
    <s v=""/>
    <n v="720"/>
    <s v="Pricebook"/>
    <s v="712932"/>
    <d v="2025-10-09T09:57:57"/>
    <s v=""/>
    <s v=""/>
    <s v="Validation GPS Detail | Validation GPS Detail"/>
    <s v=""/>
  </r>
  <r>
    <s v="23843"/>
    <s v="Belloc Energy Services &amp; Transport,LLC"/>
    <x v="2"/>
    <s v="Jacob Rogers"/>
    <s v="Christopher Falcon"/>
    <s v="PULLED 120 BBLS OF PW FROM LOCATION"/>
    <s v="5051054"/>
    <s v="Upstream"/>
    <s v=""/>
    <s v="USD"/>
    <n v="325.5"/>
    <s v="Direct Entry"/>
    <s v="1"/>
    <s v="Vacuum Truck"/>
    <s v="Vacuum Truck"/>
    <s v=""/>
    <d v="2025-10-07T11:28:18"/>
    <d v="2025-10-01T07:00:00"/>
    <d v="2025-10-01T10:30:00"/>
    <d v="1899-12-30T03:30:00"/>
    <s v="ELAINE 2 BATTERY"/>
    <s v=""/>
    <s v=""/>
    <s v="Produced Water"/>
    <s v=""/>
    <s v=""/>
    <s v=""/>
    <s v=""/>
    <s v=""/>
    <s v=""/>
    <s v=""/>
    <s v=""/>
    <s v=""/>
    <s v=""/>
    <s v=""/>
    <s v=""/>
    <s v=""/>
    <s v=""/>
    <s v=""/>
    <s v=""/>
    <s v=""/>
    <n v="120"/>
    <s v="bbl"/>
    <s v=""/>
    <s v=""/>
    <s v=""/>
    <s v=""/>
    <s v="8300096500"/>
    <s v="ELAINE 2 BATTERY"/>
    <s v="Upstream"/>
    <s v="1046"/>
    <s v=""/>
    <s v=""/>
    <s v=""/>
    <s v=""/>
    <s v=""/>
    <s v=""/>
    <s v="Hours Worked"/>
    <n v="3.5"/>
    <s v="hour"/>
    <n v="93"/>
    <s v=""/>
    <n v="325.5"/>
    <s v="Pricebook"/>
    <s v="712945"/>
    <d v="2025-10-09T16:50:25"/>
    <s v=""/>
    <s v=""/>
    <s v=""/>
    <s v=""/>
  </r>
  <r>
    <s v="24125"/>
    <s v="Belloc Energy Services &amp; Transport,LLC"/>
    <x v="2"/>
    <s v="Jacob Rogers"/>
    <s v="Christopher Falcon"/>
    <s v="PULLED 120 BBLS OF PW FROM LOCATION"/>
    <s v="5051054"/>
    <s v="Upstream"/>
    <s v=""/>
    <s v="USD"/>
    <n v="232.5"/>
    <s v="Direct Entry"/>
    <s v="1"/>
    <s v="Vacuum Truck"/>
    <s v="Vacuum Truck"/>
    <s v=""/>
    <d v="2025-10-07T11:55:49"/>
    <d v="2025-10-02T06:45:00"/>
    <d v="2025-10-02T09:15:00"/>
    <d v="1899-12-30T02:30:00"/>
    <s v="ELAINE 2 BATTERY"/>
    <s v=""/>
    <s v=""/>
    <s v="Produced Water"/>
    <s v=""/>
    <s v=""/>
    <s v=""/>
    <s v=""/>
    <s v=""/>
    <s v=""/>
    <s v=""/>
    <s v=""/>
    <s v=""/>
    <s v=""/>
    <s v=""/>
    <s v=""/>
    <s v=""/>
    <s v=""/>
    <s v=""/>
    <s v=""/>
    <s v=""/>
    <n v="100"/>
    <s v="bbl"/>
    <s v=""/>
    <s v=""/>
    <s v=""/>
    <s v=""/>
    <s v="8300096500"/>
    <s v="ELAINE 2 BATTERY"/>
    <s v="Upstream"/>
    <s v="1046"/>
    <s v=""/>
    <s v=""/>
    <s v=""/>
    <s v=""/>
    <s v=""/>
    <s v=""/>
    <s v="Hours Worked"/>
    <n v="2.5"/>
    <s v="hour"/>
    <n v="93"/>
    <s v=""/>
    <n v="232.5"/>
    <s v="Pricebook"/>
    <s v="712945"/>
    <d v="2025-10-09T17:06:56"/>
    <s v=""/>
    <s v=""/>
    <s v=""/>
    <s v=""/>
  </r>
  <r>
    <s v="T-81992"/>
    <s v="ACH Services, LLC"/>
    <x v="2"/>
    <s v="Jacob Rogers"/>
    <s v="Christopher Falcon"/>
    <s v="Hauled loas from location to disposal."/>
    <s v="5051054"/>
    <s v="Upstream"/>
    <s v=""/>
    <s v="USD"/>
    <n v="715.5"/>
    <s v="Direct Entry"/>
    <s v="1"/>
    <s v="Vacuum Truck"/>
    <s v="Vacuum Truck"/>
    <s v="Vacuum Truck Services"/>
    <d v="2025-10-03T14:54:54"/>
    <d v="2025-10-02T08:00:00"/>
    <d v="2025-10-02T13:45:00"/>
    <d v="1899-12-30T05:45:00"/>
    <s v="TP LAND TRUST A BATTERY"/>
    <s v=""/>
    <s v=""/>
    <s v="-"/>
    <s v=""/>
    <s v=""/>
    <s v=""/>
    <s v=""/>
    <s v=""/>
    <s v=""/>
    <s v=""/>
    <s v=""/>
    <s v=""/>
    <s v=""/>
    <s v=""/>
    <s v=""/>
    <s v=""/>
    <s v=""/>
    <s v=""/>
    <s v=""/>
    <s v=""/>
    <n v="0"/>
    <s v="bbl"/>
    <s v=""/>
    <s v=""/>
    <s v=""/>
    <s v=""/>
    <s v="8300160400"/>
    <s v="TP LAND TRUST A BATTERY"/>
    <s v="Upstream"/>
    <s v="1046"/>
    <s v=""/>
    <s v=""/>
    <s v=""/>
    <s v=""/>
    <s v=""/>
    <s v=""/>
    <s v="Hours Worked"/>
    <n v="5.75"/>
    <s v="hour"/>
    <n v="90"/>
    <s v=""/>
    <n v="517.5"/>
    <s v="Pricebook"/>
    <s v="712932"/>
    <d v="2025-10-09T09:01:14"/>
    <s v=""/>
    <s v=""/>
    <s v="Validation GPS Detail"/>
    <s v=""/>
  </r>
  <r>
    <s v="24127"/>
    <s v="Belloc Energy Services &amp; Transport,LLC"/>
    <x v="2"/>
    <s v="Jacob Rogers"/>
    <s v="Christopher Falcon"/>
    <s v="PULLED 120 BBLS OF PW FROM LOCATION"/>
    <s v="5051054"/>
    <s v="Upstream"/>
    <s v=""/>
    <s v="USD"/>
    <n v="186"/>
    <s v="Direct Entry"/>
    <s v="1"/>
    <s v="Vacuum Truck"/>
    <s v="Vacuum Truck"/>
    <s v=""/>
    <d v="2025-10-07T11:57:41"/>
    <d v="2025-10-02T09:15:00"/>
    <d v="2025-10-02T11:15:00"/>
    <d v="1899-12-30T02:00:00"/>
    <s v="ELAINE 2 BATTERY"/>
    <s v=""/>
    <s v=""/>
    <s v="Produced Water"/>
    <s v=""/>
    <s v=""/>
    <s v=""/>
    <s v=""/>
    <s v=""/>
    <s v=""/>
    <s v=""/>
    <s v=""/>
    <s v=""/>
    <s v=""/>
    <s v=""/>
    <s v=""/>
    <s v=""/>
    <s v=""/>
    <s v=""/>
    <s v=""/>
    <s v=""/>
    <n v="120"/>
    <s v="bbl"/>
    <s v=""/>
    <s v=""/>
    <s v=""/>
    <s v=""/>
    <s v="8300096500"/>
    <s v="ELAINE 2 BATTERY"/>
    <s v="Upstream"/>
    <s v="1046"/>
    <s v=""/>
    <s v=""/>
    <s v=""/>
    <s v=""/>
    <s v=""/>
    <s v=""/>
    <s v="Hours Worked"/>
    <n v="2"/>
    <s v="hour"/>
    <n v="93"/>
    <s v=""/>
    <n v="186"/>
    <s v="Pricebook"/>
    <s v="712945"/>
    <d v="2025-10-09T17:11:18"/>
    <s v=""/>
    <s v=""/>
    <s v=""/>
    <s v=""/>
  </r>
  <r>
    <s v="R-5326"/>
    <s v="ACH Services, LLC"/>
    <x v="7"/>
    <s v="Billy Christy"/>
    <s v="Jobe Christon"/>
    <s v="Drove to location to power wash VRUs."/>
    <s v="5051027"/>
    <s v="Upstream"/>
    <s v="142223"/>
    <s v="USD"/>
    <n v="713"/>
    <s v="Direct Entry"/>
    <s v="1"/>
    <s v="Roustabout - 2-Man"/>
    <s v="Roustabout - 2-Man"/>
    <s v=""/>
    <d v="2025-10-13T13:43:19"/>
    <d v="2025-10-11T06:30:00"/>
    <d v="2025-10-11T09:30:00"/>
    <s v=""/>
    <s v="WOLCOTT CAMPBELL H BATTERY"/>
    <s v=""/>
    <s v=""/>
    <s v=""/>
    <s v=""/>
    <s v=""/>
    <s v=""/>
    <s v=""/>
    <s v=""/>
    <s v=""/>
    <s v=""/>
    <s v=""/>
    <s v=""/>
    <s v=""/>
    <s v=""/>
    <s v=""/>
    <s v=""/>
    <s v=""/>
    <s v=""/>
    <s v=""/>
    <s v=""/>
    <s v=""/>
    <s v=""/>
    <s v="Labor"/>
    <s v=""/>
    <s v=""/>
    <s v=""/>
    <s v="8000043300"/>
    <s v="WOLCOTT CAMPBELL H BATTERY"/>
    <s v="Upstream"/>
    <s v="1046"/>
    <s v=""/>
    <s v=""/>
    <s v=""/>
    <s v=""/>
    <s v=""/>
    <s v=""/>
    <s v=""/>
    <n v="3"/>
    <s v="HR"/>
    <n v="121"/>
    <s v=""/>
    <n v="363"/>
    <s v="Pricebook"/>
    <s v="712932"/>
    <d v="2025-10-13T13:47:30"/>
    <s v=""/>
    <s v=""/>
    <s v=""/>
    <s v=""/>
  </r>
  <r>
    <s v="24128"/>
    <s v="Belloc Energy Services &amp; Transport,LLC"/>
    <x v="2"/>
    <s v="Jacob Rogers"/>
    <s v="Christopher Falcon"/>
    <s v="PULLED 120 BBLS OF PW FROM LOCATION"/>
    <s v="5051054"/>
    <s v="Upstream"/>
    <s v=""/>
    <s v="USD"/>
    <n v="255.75"/>
    <s v="Direct Entry"/>
    <s v="1"/>
    <s v="Vacuum Truck"/>
    <s v="Vacuum Truck"/>
    <s v=""/>
    <d v="2025-10-07T11:59:22"/>
    <d v="2025-10-02T11:15:00"/>
    <d v="2025-10-02T14:00:00"/>
    <d v="1899-12-30T02:45:00"/>
    <s v="ELAINE 2 BATTERY"/>
    <s v=""/>
    <s v=""/>
    <s v="Produced Water"/>
    <s v=""/>
    <s v=""/>
    <s v=""/>
    <s v=""/>
    <s v=""/>
    <s v=""/>
    <s v=""/>
    <s v=""/>
    <s v=""/>
    <s v=""/>
    <s v=""/>
    <s v=""/>
    <s v=""/>
    <s v=""/>
    <s v=""/>
    <s v=""/>
    <s v=""/>
    <n v="120"/>
    <s v="bbl"/>
    <s v=""/>
    <s v=""/>
    <s v=""/>
    <s v=""/>
    <s v="8300096500"/>
    <s v="ELAINE 2 BATTERY"/>
    <s v="Upstream"/>
    <s v="1046"/>
    <s v=""/>
    <s v=""/>
    <s v=""/>
    <s v=""/>
    <s v=""/>
    <s v=""/>
    <s v="Hours Worked"/>
    <n v="2.75"/>
    <s v="hour"/>
    <n v="93"/>
    <s v=""/>
    <n v="255.75"/>
    <s v="Pricebook"/>
    <s v="712945"/>
    <d v="2025-10-09T17:12:20"/>
    <s v=""/>
    <s v=""/>
    <s v=""/>
    <s v=""/>
  </r>
  <r>
    <s v="T-439148"/>
    <s v="Liberty Lift Solutions LLC"/>
    <x v="0"/>
    <s v="Eduardo Gabaldon"/>
    <s v="Jobe Christon"/>
    <s v="Arrived to location, conducted JSA. Killed well and removed master valve. Fished out rods and RTP well. Aligned unit and installed new packing._x000a_Approver: Eduardo Gabaldon_x000a_LL rep: Efrain Villarreal"/>
    <s v="5051035"/>
    <s v="Upstream"/>
    <s v=""/>
    <s v="USD"/>
    <n v="1500"/>
    <s v="B2B"/>
    <s v="1"/>
    <s v="NC0018"/>
    <s v="55 Ton Crane w/Operator"/>
    <s v=""/>
    <d v="2025-09-29T15:02:44"/>
    <d v="2025-09-23T12:30:00"/>
    <d v="2025-09-23T16:30:00"/>
    <s v=""/>
    <s v="Campbell 29"/>
    <s v=""/>
    <s v=""/>
    <s v=""/>
    <s v=""/>
    <s v=""/>
    <s v=""/>
    <s v=""/>
    <s v=""/>
    <s v=""/>
    <s v=""/>
    <s v=""/>
    <s v=""/>
    <s v=""/>
    <s v=""/>
    <s v=""/>
    <s v=""/>
    <s v=""/>
    <s v=""/>
    <s v=""/>
    <s v=""/>
    <s v=""/>
    <s v=""/>
    <s v="Equipment"/>
    <s v=""/>
    <s v=""/>
    <s v=""/>
    <s v="1000018200"/>
    <s v="CAMPBELL 29"/>
    <s v="Upstream"/>
    <s v="1046"/>
    <s v=""/>
    <s v=""/>
    <s v=""/>
    <s v=""/>
    <s v=""/>
    <s v=""/>
    <s v="Other"/>
    <n v="4"/>
    <s v="HR"/>
    <n v="200"/>
    <s v=""/>
    <n v="800"/>
    <s v="--multiple--"/>
    <s v="708256"/>
    <d v="2025-09-29T15:37:30"/>
    <s v=""/>
    <s v=""/>
    <s v=""/>
    <s v=""/>
  </r>
  <r>
    <s v="1002338"/>
    <s v="B-P Supply Inc"/>
    <x v="4"/>
    <s v="Eduardo Gabaldon"/>
    <s v="Jobe Christon"/>
    <s v="PARTS ORDERED BY ISHMEL MESTA - JOHN FRANKLIN 247 F 6WB"/>
    <s v="5051049"/>
    <s v="Upstream"/>
    <s v=""/>
    <s v="USD"/>
    <n v="1335.55"/>
    <s v="B2B"/>
    <s v="1"/>
    <s v="SPECIALORDER"/>
    <s v="CAMERON 9A-100003551 ASSEMBLY FLOWMETER"/>
    <s v=""/>
    <d v="2025-09-29T14:54:24"/>
    <d v="2025-09-25T00:00:00"/>
    <d v="2025-09-25T00:00:00"/>
    <s v=""/>
    <s v=""/>
    <s v=""/>
    <s v=""/>
    <s v=""/>
    <s v=""/>
    <s v=""/>
    <s v=""/>
    <s v=""/>
    <s v=""/>
    <s v=""/>
    <s v=""/>
    <s v=""/>
    <s v=""/>
    <s v=""/>
    <s v=""/>
    <s v=""/>
    <s v=""/>
    <s v=""/>
    <s v=""/>
    <s v=""/>
    <s v=""/>
    <s v=""/>
    <s v=""/>
    <s v="Material"/>
    <s v=""/>
    <s v=""/>
    <s v=""/>
    <s v="1001136600"/>
    <s v="JOHN FRANKLIN 247 F 6WB"/>
    <s v="Upstream"/>
    <s v="1046"/>
    <s v=""/>
    <s v=""/>
    <s v=""/>
    <s v=""/>
    <s v=""/>
    <s v=""/>
    <s v=""/>
    <n v="1"/>
    <s v="EA"/>
    <n v="1335.55"/>
    <s v=""/>
    <n v="1335.55"/>
    <s v="--multiple--"/>
    <s v="705219"/>
    <d v="2025-10-10T12:27:59"/>
    <s v=""/>
    <s v=""/>
    <s v=""/>
    <s v=""/>
  </r>
  <r>
    <s v="1002360"/>
    <s v="B-P Supply Inc"/>
    <x v="4"/>
    <s v="Eduardo Gabaldon"/>
    <s v="Jobe Christon"/>
    <s v="PARTS ORDERED BY EDUARDO GABALDON - WOLCOTT CAMPBELL HORIZONTAL BATTERY"/>
    <s v="5051049"/>
    <s v="Upstream"/>
    <s v=""/>
    <s v="USD"/>
    <n v="163.5"/>
    <s v="B2B"/>
    <s v="1"/>
    <s v="SPECIALORDER"/>
    <s v="WASP SPRAY CANS"/>
    <s v=""/>
    <d v="2025-09-29T14:54:38"/>
    <d v="2025-09-25T00:00:00"/>
    <d v="2025-09-25T00:00:00"/>
    <s v=""/>
    <s v=""/>
    <s v=""/>
    <s v=""/>
    <s v=""/>
    <s v=""/>
    <s v=""/>
    <s v=""/>
    <s v=""/>
    <s v=""/>
    <s v=""/>
    <s v=""/>
    <s v=""/>
    <s v=""/>
    <s v=""/>
    <s v=""/>
    <s v=""/>
    <s v=""/>
    <s v=""/>
    <s v=""/>
    <s v=""/>
    <s v=""/>
    <s v=""/>
    <s v=""/>
    <s v="Material"/>
    <s v=""/>
    <s v=""/>
    <s v=""/>
    <s v="8000043300"/>
    <s v="WOLCOTT CAMPBELL H BATTERY"/>
    <s v="Upstream"/>
    <s v="1046"/>
    <s v=""/>
    <s v=""/>
    <s v=""/>
    <s v=""/>
    <s v=""/>
    <s v=""/>
    <s v=""/>
    <n v="7"/>
    <s v="EA"/>
    <n v="11.8"/>
    <s v=""/>
    <n v="82.6"/>
    <s v="--multiple--"/>
    <s v="705219"/>
    <d v="2025-10-10T12:29:45"/>
    <s v=""/>
    <s v=""/>
    <s v=""/>
    <s v=""/>
  </r>
  <r>
    <s v="1002506"/>
    <s v="B-P Supply Inc"/>
    <x v="4"/>
    <s v="Eduardo Gabaldon"/>
    <s v="Jobe Christon"/>
    <s v="PARTS ORDERED BY EDUARDO GABALDON - GUARDIAN H BATTERY"/>
    <s v="5051049"/>
    <s v="Upstream"/>
    <s v=""/>
    <s v="USD"/>
    <n v="450.54"/>
    <s v="B2B"/>
    <s v="1"/>
    <s v="0082-V-07-SS"/>
    <s v="1&quot; 3000# SS TEE"/>
    <s v="Other"/>
    <d v="2025-10-07T15:14:28"/>
    <d v="2025-09-29T00:00:00"/>
    <d v="2025-09-29T00:00:00"/>
    <s v=""/>
    <s v=""/>
    <s v=""/>
    <s v=""/>
    <s v=""/>
    <s v=""/>
    <s v=""/>
    <s v=""/>
    <s v=""/>
    <s v=""/>
    <s v=""/>
    <s v=""/>
    <s v=""/>
    <s v=""/>
    <s v=""/>
    <s v=""/>
    <s v=""/>
    <s v=""/>
    <s v=""/>
    <s v=""/>
    <s v=""/>
    <s v=""/>
    <s v=""/>
    <s v=""/>
    <s v="Material"/>
    <s v=""/>
    <s v=""/>
    <s v=""/>
    <s v="8000301200"/>
    <s v="GUARDIAN H BATTERY"/>
    <s v="Upstream"/>
    <s v="1046"/>
    <s v=""/>
    <s v=""/>
    <s v=""/>
    <s v=""/>
    <s v=""/>
    <s v=""/>
    <s v=""/>
    <n v="4"/>
    <s v="EA"/>
    <n v="61.61"/>
    <s v=""/>
    <n v="246.44"/>
    <s v="--multiple--"/>
    <s v="705219"/>
    <d v="2025-10-10T13:52:44"/>
    <s v=""/>
    <s v=""/>
    <s v=""/>
    <s v=""/>
  </r>
  <r>
    <s v="1002510"/>
    <s v="B-P Supply Inc"/>
    <x v="4"/>
    <s v="Eduardo Gabaldon"/>
    <s v="Jobe Christon"/>
    <s v="PARTS ORDERED BY MARCUS GARCIA - CAMPBELL BATTERY"/>
    <s v="5051049"/>
    <s v="Upstream"/>
    <s v=""/>
    <s v="USD"/>
    <n v="2152.9499999999998"/>
    <s v="B2B"/>
    <s v="1"/>
    <s v="0193-GLOV-GOAT-M"/>
    <s v="GOATSKIN GLOVES M PER PAIR"/>
    <s v="Other"/>
    <d v="2025-10-07T15:14:38"/>
    <d v="2025-09-29T00:00:00"/>
    <d v="2025-09-29T00:00:00"/>
    <s v=""/>
    <s v=""/>
    <s v=""/>
    <s v=""/>
    <s v=""/>
    <s v=""/>
    <s v=""/>
    <s v=""/>
    <s v=""/>
    <s v=""/>
    <s v=""/>
    <s v=""/>
    <s v=""/>
    <s v=""/>
    <s v=""/>
    <s v=""/>
    <s v=""/>
    <s v=""/>
    <s v=""/>
    <s v=""/>
    <s v=""/>
    <s v=""/>
    <s v=""/>
    <s v=""/>
    <s v="Material"/>
    <s v=""/>
    <s v=""/>
    <s v=""/>
    <s v="8000042600"/>
    <s v="CAMPBELL BATTERY"/>
    <s v="Upstream"/>
    <s v="1046"/>
    <s v=""/>
    <s v=""/>
    <s v=""/>
    <s v=""/>
    <s v=""/>
    <s v=""/>
    <s v=""/>
    <n v="12"/>
    <s v="EA"/>
    <n v="10.09"/>
    <s v=""/>
    <n v="121.1"/>
    <s v="--multiple--"/>
    <s v="705219"/>
    <d v="2025-10-10T13:54:09"/>
    <s v=""/>
    <s v=""/>
    <s v=""/>
    <s v=""/>
  </r>
  <r>
    <s v="1002803"/>
    <s v="B-P Supply Inc"/>
    <x v="6"/>
    <s v="Eduardo Gabaldon"/>
    <s v="Jobe Christon"/>
    <s v="PARTS ORDERED BY STEVEN PEREZ - MARGARET  M4 BATTERY"/>
    <s v="5051049"/>
    <s v="Upstream"/>
    <s v=""/>
    <s v="USD"/>
    <n v="4116.24"/>
    <s v="B2B"/>
    <s v="1"/>
    <s v="SPECIALORDER"/>
    <s v="WASP SPRAY CANS"/>
    <s v=""/>
    <d v="2025-10-07T15:16:29"/>
    <d v="2025-09-30T00:00:00"/>
    <d v="2025-09-30T00:00:00"/>
    <s v=""/>
    <s v=""/>
    <s v=""/>
    <s v=""/>
    <s v=""/>
    <s v=""/>
    <s v=""/>
    <s v=""/>
    <s v=""/>
    <s v=""/>
    <s v=""/>
    <s v=""/>
    <s v=""/>
    <s v=""/>
    <s v=""/>
    <s v=""/>
    <s v=""/>
    <s v=""/>
    <s v=""/>
    <s v=""/>
    <s v=""/>
    <s v=""/>
    <s v=""/>
    <s v=""/>
    <s v="Material"/>
    <s v=""/>
    <s v=""/>
    <s v=""/>
    <s v="8000133700"/>
    <s v="MARGARET M4 BATTERY"/>
    <s v="Upstream"/>
    <s v="1046"/>
    <s v=""/>
    <s v=""/>
    <s v=""/>
    <s v=""/>
    <s v=""/>
    <s v=""/>
    <s v=""/>
    <n v="4"/>
    <s v="EA"/>
    <n v="11.98"/>
    <s v=""/>
    <n v="47.92"/>
    <s v="--multiple--"/>
    <s v="705219"/>
    <d v="2025-10-13T15:54:17"/>
    <s v=""/>
    <s v=""/>
    <s v=""/>
    <s v=""/>
  </r>
  <r>
    <s v="24129"/>
    <s v="Belloc Energy Services &amp; Transport,LLC"/>
    <x v="2"/>
    <s v="Jacob Rogers"/>
    <s v="Christopher Falcon"/>
    <s v="PULLED 120 BBLS OF PW FROM LOCATION"/>
    <s v="5051054"/>
    <s v="Upstream"/>
    <s v=""/>
    <s v="USD"/>
    <n v="186"/>
    <s v="Direct Entry"/>
    <s v="1"/>
    <s v="Vacuum Truck"/>
    <s v="Vacuum Truck"/>
    <s v=""/>
    <d v="2025-10-07T12:02:37"/>
    <d v="2025-10-02T14:00:00"/>
    <d v="2025-10-02T16:00:00"/>
    <d v="1899-12-30T02:00:00"/>
    <s v="ELAINE 2 BATTERY"/>
    <s v=""/>
    <s v=""/>
    <s v="Produced Water"/>
    <s v=""/>
    <s v=""/>
    <s v=""/>
    <s v=""/>
    <s v=""/>
    <s v=""/>
    <s v=""/>
    <s v=""/>
    <s v=""/>
    <s v=""/>
    <s v=""/>
    <s v=""/>
    <s v=""/>
    <s v=""/>
    <s v=""/>
    <s v=""/>
    <s v=""/>
    <n v="120"/>
    <s v="bbl"/>
    <s v=""/>
    <s v=""/>
    <s v=""/>
    <s v=""/>
    <s v="8300096500"/>
    <s v="ELAINE 2 BATTERY"/>
    <s v="Upstream"/>
    <s v="1046"/>
    <s v=""/>
    <s v=""/>
    <s v=""/>
    <s v=""/>
    <s v=""/>
    <s v=""/>
    <s v="Hours Worked"/>
    <n v="2"/>
    <s v="hour"/>
    <n v="93"/>
    <s v=""/>
    <n v="186"/>
    <s v="Pricebook"/>
    <s v="712945"/>
    <d v="2025-10-09T17:12:46"/>
    <s v=""/>
    <s v=""/>
    <s v=""/>
    <s v=""/>
  </r>
  <r>
    <s v="V-55538"/>
    <s v="J&amp;R Roustabout, LLC"/>
    <x v="7"/>
    <s v="Jacob Thomas"/>
    <s v="Richard Simmons"/>
    <s v="DROVE TO LOCATION, GAUGED TANK, PULLED 110 BBLS OF P/W TO WHITE #1 SWD, AND UNLOADED."/>
    <s v="5051054"/>
    <s v="Upstream"/>
    <s v=""/>
    <s v="USD"/>
    <n v="324.5"/>
    <s v="Direct Entry"/>
    <s v="1"/>
    <s v="VACUUM TRUCK"/>
    <s v="Vacuum Truck"/>
    <s v="VACUUM"/>
    <d v="2025-10-13T12:11:47"/>
    <d v="2025-10-03T06:30:00"/>
    <d v="2025-10-03T09:15:00"/>
    <d v="1899-12-30T02:45:00"/>
    <s v="HUGHES 43"/>
    <s v=""/>
    <s v=""/>
    <s v="LABOR"/>
    <s v=""/>
    <s v=""/>
    <s v=""/>
    <s v=""/>
    <s v=""/>
    <s v=""/>
    <s v=""/>
    <s v=""/>
    <s v=""/>
    <s v=""/>
    <s v=""/>
    <s v=""/>
    <s v=""/>
    <s v=""/>
    <s v=""/>
    <s v=""/>
    <s v=""/>
    <n v="0"/>
    <s v="bbl"/>
    <s v=""/>
    <s v=""/>
    <s v=""/>
    <s v=""/>
    <s v="8300111400"/>
    <s v="HUGHES 43 BATTERY"/>
    <s v="Upstream"/>
    <s v="1046"/>
    <s v=""/>
    <s v=""/>
    <s v=""/>
    <s v=""/>
    <s v=""/>
    <s v=""/>
    <s v="Other"/>
    <n v="2.75"/>
    <s v="HR"/>
    <n v="90"/>
    <s v=""/>
    <n v="247.5"/>
    <s v="Pricebook"/>
    <s v="712950"/>
    <d v="2025-10-13T12:13:45"/>
    <s v=""/>
    <s v=""/>
    <s v=""/>
    <s v=""/>
  </r>
  <r>
    <s v="V-55476"/>
    <s v="J&amp;R Roustabout, LLC"/>
    <x v="7"/>
    <s v="Jacob Thomas"/>
    <s v="Richard Simmons"/>
    <s v="DROVE TO LOCATION, GAUGED TANK, PULLED 110 BBLS OF P/W TO WHITE #1 SWD, AND UNLOADED."/>
    <s v="5051054"/>
    <s v="Upstream"/>
    <s v=""/>
    <s v="USD"/>
    <n v="234.5"/>
    <s v="Direct Entry"/>
    <s v="1"/>
    <s v="VACUUM TRUCK"/>
    <s v="Vacuum Truck"/>
    <s v="VACUUM"/>
    <d v="2025-10-13T08:54:17"/>
    <d v="2025-10-10T09:30:00"/>
    <d v="2025-10-10T11:15:00"/>
    <d v="1899-12-30T01:45:00"/>
    <s v="HEREDIA 46A"/>
    <s v=""/>
    <s v=""/>
    <s v="LABOR"/>
    <s v=""/>
    <s v=""/>
    <s v=""/>
    <s v=""/>
    <s v=""/>
    <s v=""/>
    <s v=""/>
    <s v=""/>
    <s v=""/>
    <s v=""/>
    <s v=""/>
    <s v=""/>
    <s v=""/>
    <s v=""/>
    <s v=""/>
    <s v=""/>
    <s v=""/>
    <n v="0"/>
    <s v="bbl"/>
    <s v=""/>
    <s v=""/>
    <s v=""/>
    <s v=""/>
    <s v="8300184900"/>
    <s v="HEREDIA 46A 1 BATTERY"/>
    <s v="Upstream"/>
    <s v="1046"/>
    <s v=""/>
    <s v=""/>
    <s v=""/>
    <s v=""/>
    <s v=""/>
    <s v=""/>
    <s v="Other"/>
    <n v="1.75"/>
    <s v="HR"/>
    <n v="90"/>
    <s v=""/>
    <n v="157.5"/>
    <s v="Pricebook"/>
    <s v="712950"/>
    <d v="2025-10-13T08:55:46"/>
    <s v=""/>
    <s v=""/>
    <s v=""/>
    <s v=""/>
  </r>
  <r>
    <s v="V-55477"/>
    <s v="J&amp;R Roustabout, LLC"/>
    <x v="7"/>
    <s v="Jacob Thomas"/>
    <s v="Richard Simmons"/>
    <s v="DROVE TO LOCATION, GAUGED TANK, PULLED 110 BBLS OF P/W TO WHITE #1 SWD, AND UNLOADED."/>
    <s v="5051054"/>
    <s v="Upstream"/>
    <s v=""/>
    <s v="USD"/>
    <n v="189.5"/>
    <s v="Direct Entry"/>
    <s v="1"/>
    <s v="VACUUM TRUCK"/>
    <s v="Vacuum Truck"/>
    <s v="VACUUM"/>
    <d v="2025-10-13T08:56:44"/>
    <d v="2025-10-10T11:15:00"/>
    <d v="2025-10-10T12:30:00"/>
    <d v="1899-12-30T01:15:00"/>
    <s v="JONES 2"/>
    <s v=""/>
    <s v=""/>
    <s v="LABOR"/>
    <s v=""/>
    <s v=""/>
    <s v=""/>
    <s v=""/>
    <s v=""/>
    <s v=""/>
    <s v=""/>
    <s v=""/>
    <s v=""/>
    <s v=""/>
    <s v=""/>
    <s v=""/>
    <s v=""/>
    <s v=""/>
    <s v=""/>
    <s v=""/>
    <s v=""/>
    <n v="0"/>
    <s v="bbl"/>
    <s v=""/>
    <s v=""/>
    <s v=""/>
    <s v=""/>
    <s v="8300114600"/>
    <s v="JONES 2 BATTERY"/>
    <s v="Upstream"/>
    <s v="1046"/>
    <s v=""/>
    <s v=""/>
    <s v=""/>
    <s v=""/>
    <s v=""/>
    <s v=""/>
    <s v="Other"/>
    <n v="1.25"/>
    <s v="HR"/>
    <n v="90"/>
    <s v=""/>
    <n v="112.5"/>
    <s v="Pricebook"/>
    <s v="712950"/>
    <d v="2025-10-13T08:58:20"/>
    <s v=""/>
    <s v=""/>
    <s v=""/>
    <s v=""/>
  </r>
  <r>
    <s v="V-55478"/>
    <s v="J&amp;R Roustabout, LLC"/>
    <x v="7"/>
    <s v="Jacob Thomas"/>
    <s v="Richard Simmons"/>
    <s v="DROVE TO LOCATION, GAUGED TANK, PULLED 110 BBLS OF P/W TO WHITE #1 SWD, AND UNLOADED."/>
    <s v="5051054"/>
    <s v="Upstream"/>
    <s v=""/>
    <s v="USD"/>
    <n v="257"/>
    <s v="Direct Entry"/>
    <s v="1"/>
    <s v="VACUUM TRUCK"/>
    <s v="Vacuum Truck"/>
    <s v="VACUUM"/>
    <d v="2025-10-13T08:58:52"/>
    <d v="2025-10-10T12:30:00"/>
    <d v="2025-10-10T14:30:00"/>
    <d v="1899-12-30T02:00:00"/>
    <s v="ALLAR 37A"/>
    <s v=""/>
    <s v=""/>
    <s v="LABOR"/>
    <s v=""/>
    <s v=""/>
    <s v=""/>
    <s v=""/>
    <s v=""/>
    <s v=""/>
    <s v=""/>
    <s v=""/>
    <s v=""/>
    <s v=""/>
    <s v=""/>
    <s v=""/>
    <s v=""/>
    <s v=""/>
    <s v=""/>
    <s v=""/>
    <s v=""/>
    <n v="0"/>
    <s v="bbl"/>
    <s v=""/>
    <s v=""/>
    <s v=""/>
    <s v=""/>
    <s v="8000037800"/>
    <s v="ALLAR 37A BATTERY"/>
    <s v="Upstream"/>
    <s v="1046"/>
    <s v=""/>
    <s v=""/>
    <s v=""/>
    <s v=""/>
    <s v=""/>
    <s v=""/>
    <s v="Other"/>
    <n v="2"/>
    <s v="HR"/>
    <n v="90"/>
    <s v=""/>
    <n v="180"/>
    <s v="Pricebook"/>
    <s v="712950"/>
    <d v="2025-10-13T09:00:31"/>
    <s v=""/>
    <s v=""/>
    <s v=""/>
    <s v=""/>
  </r>
  <r>
    <s v="V-55480"/>
    <s v="J&amp;R Roustabout, LLC"/>
    <x v="7"/>
    <s v="Jacob Thomas"/>
    <s v="Richard Simmons"/>
    <s v="DROVE TO LOCATION, GAUGED TANK, PULLED 110 BBLS OF P/W TO WHITE #1 SWD, AND UNLOADED."/>
    <s v="5051054"/>
    <s v="Upstream"/>
    <s v=""/>
    <s v="USD"/>
    <n v="257"/>
    <s v="Direct Entry"/>
    <s v="1"/>
    <s v="VACUUM TRUCK"/>
    <s v="Vacuum Truck"/>
    <s v="VACUUM"/>
    <d v="2025-10-13T09:03:31"/>
    <d v="2025-10-10T17:00:00"/>
    <d v="2025-10-10T19:00:00"/>
    <d v="1899-12-30T02:00:00"/>
    <s v="HUGHES 43"/>
    <s v=""/>
    <s v=""/>
    <s v="LABOR"/>
    <s v=""/>
    <s v=""/>
    <s v=""/>
    <s v=""/>
    <s v=""/>
    <s v=""/>
    <s v=""/>
    <s v=""/>
    <s v=""/>
    <s v=""/>
    <s v=""/>
    <s v=""/>
    <s v=""/>
    <s v=""/>
    <s v=""/>
    <s v=""/>
    <s v=""/>
    <n v="0"/>
    <s v="bbl"/>
    <s v=""/>
    <s v=""/>
    <s v=""/>
    <s v=""/>
    <s v="8300111400"/>
    <s v="HUGHES 43 BATTERY"/>
    <s v="Upstream"/>
    <s v="1046"/>
    <s v=""/>
    <s v=""/>
    <s v=""/>
    <s v=""/>
    <s v=""/>
    <s v=""/>
    <s v="Other"/>
    <n v="2"/>
    <s v="HR"/>
    <n v="90"/>
    <s v=""/>
    <n v="180"/>
    <s v="Pricebook"/>
    <s v="712950"/>
    <d v="2025-10-13T09:05:08"/>
    <s v=""/>
    <s v=""/>
    <s v=""/>
    <s v=""/>
  </r>
  <r>
    <s v="V-55797"/>
    <s v="J&amp;R Roustabout, LLC"/>
    <x v="7"/>
    <s v="Jacob Thomas"/>
    <s v="Richard Simmons"/>
    <s v="DROVE TO LOCATION, GAUGED TANK, PULLED 110 BBLS OF P/W TO SULPHUR DRAW #1 SWD, AND UNLOADED."/>
    <s v="5051054"/>
    <s v="Upstream"/>
    <s v=""/>
    <s v="USD"/>
    <n v="392"/>
    <s v="Direct Entry"/>
    <s v="1"/>
    <s v="VACUUM TRUCK"/>
    <s v="Vacuum Truck"/>
    <s v="VACUUM"/>
    <d v="2025-10-13T09:49:47"/>
    <d v="2025-10-10T13:00:00"/>
    <d v="2025-10-10T16:30:00"/>
    <d v="1899-12-30T03:30:00"/>
    <s v="PARKER 26"/>
    <s v=""/>
    <s v=""/>
    <s v="LABOR"/>
    <s v=""/>
    <s v=""/>
    <s v=""/>
    <s v=""/>
    <s v=""/>
    <s v=""/>
    <s v=""/>
    <s v=""/>
    <s v=""/>
    <s v=""/>
    <s v=""/>
    <s v=""/>
    <s v=""/>
    <s v=""/>
    <s v=""/>
    <s v=""/>
    <s v=""/>
    <n v="0"/>
    <s v="bbl"/>
    <s v=""/>
    <s v=""/>
    <s v=""/>
    <s v=""/>
    <s v="8300132500"/>
    <s v="PARKER 26 BATTERY"/>
    <s v="Upstream"/>
    <s v="1046"/>
    <s v=""/>
    <s v=""/>
    <s v=""/>
    <s v=""/>
    <s v=""/>
    <s v=""/>
    <s v="Other"/>
    <n v="3.5"/>
    <s v="HR"/>
    <n v="90"/>
    <s v=""/>
    <n v="315"/>
    <s v="Pricebook"/>
    <s v="712950"/>
    <d v="2025-10-13T09:51:26"/>
    <s v=""/>
    <s v=""/>
    <s v=""/>
    <s v=""/>
  </r>
  <r>
    <s v="62030"/>
    <s v="JAT PARTNER LOGISTICS, LLC"/>
    <x v="4"/>
    <s v="Eduardo Gabaldon"/>
    <s v="Jobe Christon"/>
    <s v="DROVE TO LOCATION. PICKED UP SPILL ON LOCATION AND COVERED ALL THE WASTE. RETURNED TO YARD."/>
    <s v="5051027"/>
    <s v="Upstream"/>
    <s v="16695"/>
    <s v="USD"/>
    <n v="540"/>
    <s v="Dispatched Mobile - Android"/>
    <s v="1"/>
    <s v="Vacuum Truck"/>
    <s v="Vacuum Truck"/>
    <s v=""/>
    <d v="2025-10-03T08:42:54"/>
    <d v="2025-10-03T09:45:00"/>
    <d v="2025-10-03T15:45:00"/>
    <d v="1899-12-30T06:00:00"/>
    <s v="CAMPBELL 22"/>
    <s v=""/>
    <s v=""/>
    <s v="HOURS"/>
    <s v=""/>
    <s v=""/>
    <s v=""/>
    <s v=""/>
    <s v=""/>
    <s v=""/>
    <s v=""/>
    <s v=""/>
    <s v=""/>
    <s v=""/>
    <s v=""/>
    <s v=""/>
    <s v=""/>
    <s v=""/>
    <s v=""/>
    <s v=""/>
    <s v=""/>
    <n v="0"/>
    <s v="bbl"/>
    <s v=""/>
    <s v=""/>
    <s v=""/>
    <s v=""/>
    <s v="1000017500"/>
    <s v="CAMPBELL 22"/>
    <s v="Upstream"/>
    <s v="1046"/>
    <s v=""/>
    <s v=""/>
    <s v=""/>
    <s v=""/>
    <s v=""/>
    <s v=""/>
    <s v="Hours Worked"/>
    <n v="6"/>
    <s v="hour"/>
    <n v="90"/>
    <s v=""/>
    <n v="540"/>
    <s v="--multiple--"/>
    <s v="711903"/>
    <d v="2025-10-10T14:36:39"/>
    <s v=""/>
    <s v=""/>
    <s v=""/>
    <s v=""/>
  </r>
  <r>
    <s v="30392"/>
    <s v="Well Solutions LLC"/>
    <x v="7"/>
    <s v="Jacob Thomas"/>
    <s v="Richard Simmons"/>
    <s v="LOAD PW 70 BBL LOADED TUBING 1 BBL PRESSURED UP TO 600 PSI HELD FOR 10 MINUTES. FLUSHED CASING 70 BBL WELL IS PUMPING"/>
    <s v="5051057"/>
    <s v="Upstream"/>
    <s v=""/>
    <s v="USD"/>
    <n v="360.5"/>
    <s v="Direct Entry"/>
    <s v="1"/>
    <s v="10000020"/>
    <s v="Scheduled Program Hot Oil per BBL"/>
    <s v="Hot OIl"/>
    <d v="2025-10-13T14:10:01"/>
    <d v="2025-10-10T10:15:00"/>
    <d v="2025-10-10T11:30:00"/>
    <s v=""/>
    <s v=""/>
    <s v=""/>
    <s v=""/>
    <s v=""/>
    <s v=""/>
    <s v=""/>
    <s v=""/>
    <s v=""/>
    <s v=""/>
    <s v=""/>
    <s v=""/>
    <s v=""/>
    <s v=""/>
    <s v=""/>
    <s v=""/>
    <s v=""/>
    <s v=""/>
    <s v=""/>
    <s v=""/>
    <s v=""/>
    <s v=""/>
    <s v=""/>
    <s v=""/>
    <s v="Labor"/>
    <s v=""/>
    <s v=""/>
    <s v=""/>
    <s v="1001316600"/>
    <s v="JONES 2 2"/>
    <s v="Upstream"/>
    <s v="1046"/>
    <s v=""/>
    <s v=""/>
    <s v=""/>
    <s v=""/>
    <s v=""/>
    <s v=""/>
    <s v=""/>
    <n v="70"/>
    <s v="BBL"/>
    <n v="5.15"/>
    <s v=""/>
    <n v="360.5"/>
    <s v="--multiple--"/>
    <s v="702744"/>
    <d v="2025-10-13T14:11:00"/>
    <s v=""/>
    <s v=""/>
    <s v=""/>
    <s v=""/>
  </r>
  <r>
    <s v="3764"/>
    <s v="Texas Raw Backhoe Service"/>
    <x v="4"/>
    <s v="Eduardo Gabaldon"/>
    <s v="Jobe Christon"/>
    <s v="Drove to location, dug out spill dirt around well head, added caliche from surrounding pad area, mixed &amp; blended, back filled then leveled out._x000a_Drove to location, steam washed valves, flowlines, hand dug around lines, spotted operator and raked then leveled out backfilled material."/>
    <s v="5051027"/>
    <s v="Upstream"/>
    <s v="166915"/>
    <s v="USD"/>
    <n v="1375"/>
    <s v="Direct Entry"/>
    <s v="1"/>
    <s v="Backhoe"/>
    <s v="Backhoe Services"/>
    <s v="Backhoe Excavation"/>
    <d v="2025-10-10T17:15:46"/>
    <d v="2025-10-07T07:30:00"/>
    <d v="2025-10-07T11:00:00"/>
    <s v=""/>
    <s v="Campbell 57"/>
    <s v=""/>
    <s v=""/>
    <s v=""/>
    <s v=""/>
    <s v=""/>
    <s v=""/>
    <s v=""/>
    <s v=""/>
    <s v=""/>
    <s v=""/>
    <s v=""/>
    <s v=""/>
    <s v=""/>
    <s v=""/>
    <s v=""/>
    <s v=""/>
    <s v=""/>
    <s v=""/>
    <s v=""/>
    <s v=""/>
    <s v=""/>
    <s v=""/>
    <s v="Equipment"/>
    <s v=""/>
    <s v=""/>
    <s v=""/>
    <s v="1000020800"/>
    <s v="CAMPBELL 57"/>
    <s v="Upstream"/>
    <s v="1046"/>
    <s v=""/>
    <s v=""/>
    <s v=""/>
    <s v=""/>
    <s v=""/>
    <s v=""/>
    <s v=""/>
    <n v="3.5"/>
    <s v="HR"/>
    <n v="150"/>
    <s v=""/>
    <n v="525"/>
    <s v=""/>
    <s v="712994"/>
    <d v="2025-10-10T17:19:06"/>
    <s v=""/>
    <s v=""/>
    <s v=""/>
    <s v=""/>
  </r>
  <r>
    <s v="3766"/>
    <s v="Texas Raw Backhoe Service"/>
    <x v="4"/>
    <s v="Eduardo Gabaldon"/>
    <s v="Jobe Christon"/>
    <s v="Drove to location, dug out spill dirt around well head, added caliche from surrounding pad area, mixed &amp; blended, back filled then leveled out._x000a_Drove to location, steam washed valves, flowlines, hand dug around lines, spotted operator and raked then leveled out backfilled material."/>
    <s v="5051027"/>
    <s v="Upstream"/>
    <s v="166915"/>
    <s v="USD"/>
    <n v="1625"/>
    <s v="Direct Entry"/>
    <s v="1"/>
    <s v="Backhoe"/>
    <s v="Backhoe Services"/>
    <s v="Backhoe Excavation"/>
    <d v="2025-10-10T19:04:19"/>
    <d v="2025-10-07T13:45:00"/>
    <d v="2025-10-07T18:15:00"/>
    <s v=""/>
    <s v="Campbell 48"/>
    <s v=""/>
    <s v=""/>
    <s v=""/>
    <s v=""/>
    <s v=""/>
    <s v=""/>
    <s v=""/>
    <s v=""/>
    <s v=""/>
    <s v=""/>
    <s v=""/>
    <s v=""/>
    <s v=""/>
    <s v=""/>
    <s v=""/>
    <s v=""/>
    <s v=""/>
    <s v=""/>
    <s v=""/>
    <s v=""/>
    <s v=""/>
    <s v=""/>
    <s v="Equipment"/>
    <s v=""/>
    <s v=""/>
    <s v=""/>
    <s v="1000020000"/>
    <s v="CAMPBELL 48"/>
    <s v="Upstream"/>
    <s v="1046"/>
    <s v=""/>
    <s v=""/>
    <s v=""/>
    <s v=""/>
    <s v=""/>
    <s v=""/>
    <s v=""/>
    <n v="4.5"/>
    <s v="HR"/>
    <n v="150"/>
    <s v=""/>
    <n v="675"/>
    <s v=""/>
    <s v="712994"/>
    <d v="2025-10-10T19:07:43"/>
    <s v=""/>
    <s v=""/>
    <s v=""/>
    <s v=""/>
  </r>
  <r>
    <s v="217630"/>
    <s v="S&amp;R Compression LLC"/>
    <x v="3"/>
    <s v="Ishmel Mesta"/>
    <s v="Jobe Christon"/>
    <s v="CONTRACT MECHANIC SERVICE UNIT 23001"/>
    <s v="5051064"/>
    <s v="Upstream"/>
    <s v=""/>
    <s v="USD"/>
    <n v="900"/>
    <s v="Direct Entry"/>
    <s v="1"/>
    <s v="CONTRACT MECHANIC SOLD SERVICE"/>
    <s v="CONTRACT MECHANIC SOLD SERVICE"/>
    <s v=""/>
    <d v="2025-09-23T13:12:12"/>
    <d v="2025-09-01T00:00:00"/>
    <d v="2025-09-30T00:00:00"/>
    <s v=""/>
    <s v="GUARDIAN H"/>
    <s v=""/>
    <s v=""/>
    <s v=""/>
    <s v=""/>
    <s v=""/>
    <s v=""/>
    <s v=""/>
    <s v=""/>
    <s v=""/>
    <s v=""/>
    <s v=""/>
    <s v=""/>
    <s v=""/>
    <s v=""/>
    <s v=""/>
    <s v=""/>
    <s v=""/>
    <s v=""/>
    <s v=""/>
    <s v=""/>
    <s v=""/>
    <s v=""/>
    <s v="Equipment"/>
    <s v=""/>
    <s v=""/>
    <s v=""/>
    <s v="8000301200"/>
    <s v="GUARDIAN H BATTERY"/>
    <s v="Upstream"/>
    <s v="1046"/>
    <s v=""/>
    <s v=""/>
    <s v=""/>
    <s v=""/>
    <s v=""/>
    <s v=""/>
    <s v=""/>
    <n v="1"/>
    <s v="EA"/>
    <n v="900"/>
    <s v=""/>
    <n v="900"/>
    <s v="--multiple--"/>
    <s v="709323"/>
    <d v="2025-09-29T15:48:07"/>
    <s v=""/>
    <s v=""/>
    <s v=""/>
    <s v=""/>
  </r>
  <r>
    <s v="217605"/>
    <s v="S&amp;R Compression LLC"/>
    <x v="3"/>
    <s v="Ishmel Mesta"/>
    <s v="Jobe Christon"/>
    <s v="VAPOR RECOVERY UNIT 17080"/>
    <s v="5051064"/>
    <s v="Upstream"/>
    <s v=""/>
    <s v="USD"/>
    <n v="2826.3"/>
    <s v="Direct Entry"/>
    <s v="1"/>
    <s v="VAPOR RECOVERY"/>
    <s v="VAPOR RECOVERY"/>
    <s v=""/>
    <d v="2025-09-23T14:22:58"/>
    <d v="2025-09-01T00:00:00"/>
    <d v="2025-09-30T00:00:00"/>
    <s v=""/>
    <s v="CAMPBELL WEST SN 134-321 BATTERY"/>
    <s v=""/>
    <s v=""/>
    <s v=""/>
    <s v=""/>
    <s v=""/>
    <s v=""/>
    <s v=""/>
    <s v=""/>
    <s v=""/>
    <s v=""/>
    <s v=""/>
    <s v=""/>
    <s v=""/>
    <s v=""/>
    <s v=""/>
    <s v=""/>
    <s v=""/>
    <s v=""/>
    <s v=""/>
    <s v=""/>
    <s v=""/>
    <s v=""/>
    <s v="Material"/>
    <s v=""/>
    <s v=""/>
    <s v=""/>
    <s v="8000043800"/>
    <s v="CAMPBELL WEST SN 134-321 BATTERY"/>
    <s v="Upstream"/>
    <s v="1046"/>
    <s v=""/>
    <s v=""/>
    <s v=""/>
    <s v=""/>
    <s v=""/>
    <s v=""/>
    <s v=""/>
    <n v="1"/>
    <s v="EA"/>
    <n v="2665"/>
    <s v=""/>
    <n v="2665"/>
    <s v="--multiple--"/>
    <s v="709323"/>
    <d v="2025-09-29T15:47:49"/>
    <s v=""/>
    <s v=""/>
    <s v=""/>
    <s v=""/>
  </r>
  <r>
    <s v="280009720"/>
    <s v="ChampionX LLC"/>
    <x v="4"/>
    <s v="Ishmel Mesta"/>
    <s v="Jobe Christon"/>
    <s v="MULTIPLE - MONTHLY MONITORING - RENTAL (SOOFIE) - 1649"/>
    <s v="5051064"/>
    <s v="Upstream"/>
    <s v=""/>
    <s v="USD"/>
    <n v="1649"/>
    <s v="B2B"/>
    <s v="1"/>
    <s v="1171269"/>
    <s v="Monthly Monitoring Fee-SOOFIE"/>
    <s v=""/>
    <d v="2025-09-24T08:55:37"/>
    <d v="2025-09-01T00:00:00"/>
    <d v="2025-09-30T00:00:00"/>
    <s v=""/>
    <s v="Campbell Battery"/>
    <s v=""/>
    <s v=""/>
    <s v=""/>
    <s v=""/>
    <s v=""/>
    <s v=""/>
    <s v=""/>
    <s v=""/>
    <s v=""/>
    <s v=""/>
    <s v=""/>
    <s v=""/>
    <s v=""/>
    <s v=""/>
    <s v=""/>
    <s v=""/>
    <s v=""/>
    <s v=""/>
    <s v=""/>
    <s v=""/>
    <s v=""/>
    <s v=""/>
    <s v=""/>
    <s v=""/>
    <s v=""/>
    <s v=""/>
    <s v="8000042600"/>
    <s v="CAMPBELL BATTERY"/>
    <s v="Upstream"/>
    <s v="1046"/>
    <s v=""/>
    <s v=""/>
    <s v=""/>
    <s v=""/>
    <s v=""/>
    <s v=""/>
    <s v="Other"/>
    <n v="4"/>
    <s v="EA"/>
    <n v="21"/>
    <s v=""/>
    <n v="84"/>
    <s v="--multiple--"/>
    <s v="711892"/>
    <d v="2025-10-10T10:59:50"/>
    <s v=""/>
    <s v=""/>
    <s v="Attachment Issue"/>
    <s v=""/>
  </r>
  <r>
    <s v="V-55762"/>
    <s v="J&amp;R Roustabout, LLC"/>
    <x v="7"/>
    <s v="Jacob Thomas"/>
    <s v="Richard Simmons"/>
    <s v="DROVE TO LOCATION AND GAUGE TANK PULLED ONE LOAD 110 BBLS OF PRODUCED WATER AND HAULED SULPHUR DRAW #1 TO SWD AND UNLOADED."/>
    <s v="5051054"/>
    <s v="Upstream"/>
    <s v=""/>
    <s v="USD"/>
    <n v="324.5"/>
    <s v="Direct Entry"/>
    <s v="1"/>
    <s v="VACUUM TRUCK"/>
    <s v="Vacuum Truck"/>
    <s v="VACUUM"/>
    <d v="2025-10-13T09:20:02"/>
    <d v="2025-10-12T16:45:00"/>
    <d v="2025-10-12T19:30:00"/>
    <d v="1899-12-30T02:45:00"/>
    <s v="HUGHES 43"/>
    <s v=""/>
    <s v=""/>
    <s v="LABOR"/>
    <s v=""/>
    <s v=""/>
    <s v=""/>
    <s v=""/>
    <s v=""/>
    <s v=""/>
    <s v=""/>
    <s v=""/>
    <s v=""/>
    <s v=""/>
    <s v=""/>
    <s v=""/>
    <s v=""/>
    <s v=""/>
    <s v=""/>
    <s v=""/>
    <s v=""/>
    <n v="0"/>
    <s v="bbl"/>
    <s v=""/>
    <s v=""/>
    <s v=""/>
    <s v=""/>
    <s v="8300111400"/>
    <s v="HUGHES 43 BATTERY"/>
    <s v="Upstream"/>
    <s v="1046"/>
    <s v=""/>
    <s v=""/>
    <s v=""/>
    <s v=""/>
    <s v=""/>
    <s v=""/>
    <s v="Other"/>
    <n v="2.75"/>
    <s v="HR"/>
    <n v="90"/>
    <s v=""/>
    <n v="247.5"/>
    <s v="Pricebook"/>
    <s v="712950"/>
    <d v="2025-10-13T09:22:20"/>
    <s v=""/>
    <s v=""/>
    <s v=""/>
    <s v=""/>
  </r>
  <r>
    <s v="MD2699349"/>
    <s v="Jet Specialty Inc"/>
    <x v="3"/>
    <s v="Jeremy Woods"/>
    <s v="Elam Tavarez"/>
    <s v="LEASE: BROWN 3-10; BUYER: JEREMY WOODS/RAMON SANCHEZ 432-528-2107; PO: WO # 153517P"/>
    <s v="5051052"/>
    <s v="Upstream"/>
    <s v="153517"/>
    <s v="USD"/>
    <n v="705.66"/>
    <s v="API"/>
    <s v="1"/>
    <s v="219516"/>
    <s v="4&quot; GRV ES COOPLOK COUPLING"/>
    <s v="Fitting:Grooved"/>
    <d v="2025-10-10T13:33:09"/>
    <d v="2025-09-23T00:00:00"/>
    <d v="2025-09-23T00:00:00"/>
    <s v=""/>
    <s v=""/>
    <s v=""/>
    <s v=""/>
    <s v=""/>
    <s v=""/>
    <s v=""/>
    <s v=""/>
    <s v=""/>
    <s v=""/>
    <s v=""/>
    <s v=""/>
    <s v=""/>
    <s v=""/>
    <s v=""/>
    <s v=""/>
    <s v=""/>
    <s v=""/>
    <s v=""/>
    <s v=""/>
    <s v=""/>
    <s v=""/>
    <s v=""/>
    <s v=""/>
    <s v="Material"/>
    <s v=""/>
    <s v=""/>
    <s v=""/>
    <s v="8300084800"/>
    <s v="BROWN 3-10 BATTERY"/>
    <s v="Upstream"/>
    <s v="1046"/>
    <s v=""/>
    <s v=""/>
    <s v=""/>
    <s v=""/>
    <s v=""/>
    <s v=""/>
    <s v=""/>
    <n v="3"/>
    <s v="EA"/>
    <n v="51.75"/>
    <s v=""/>
    <n v="155.25"/>
    <s v="--multiple--"/>
    <s v="708023"/>
    <d v="2025-10-10T13:45:57"/>
    <s v=""/>
    <s v=""/>
    <s v=""/>
    <s v=""/>
  </r>
  <r>
    <s v="5-117111"/>
    <s v="RK Supply"/>
    <x v="4"/>
    <s v="Ishmel Mesta"/>
    <s v="Jobe Christon"/>
    <s v="Oilfield Parts and Supplies"/>
    <s v="5051049"/>
    <s v="Upstream"/>
    <s v=""/>
    <s v="USD"/>
    <n v="25.12"/>
    <s v="B2B"/>
    <s v="1"/>
    <s v="32513"/>
    <s v="RAVEN NITRILE GLOVE 100PK"/>
    <s v="SAFETY"/>
    <d v="2025-10-04T18:55:39"/>
    <d v="2025-09-24T00:00:00"/>
    <d v="2025-09-24T00:00:00"/>
    <s v=""/>
    <s v="GUARDIAN H BATTERY"/>
    <s v=""/>
    <s v=""/>
    <s v=""/>
    <s v=""/>
    <s v=""/>
    <s v=""/>
    <s v=""/>
    <s v=""/>
    <s v=""/>
    <s v=""/>
    <s v=""/>
    <s v=""/>
    <s v=""/>
    <s v=""/>
    <s v=""/>
    <s v=""/>
    <s v=""/>
    <s v=""/>
    <s v=""/>
    <s v=""/>
    <s v=""/>
    <s v=""/>
    <s v="Material"/>
    <s v=""/>
    <s v=""/>
    <s v=""/>
    <s v="8000301200"/>
    <s v="GUARDIAN H BATTERY"/>
    <s v="Upstream"/>
    <s v="1046"/>
    <s v=""/>
    <s v=""/>
    <s v=""/>
    <s v=""/>
    <s v=""/>
    <s v=""/>
    <s v=""/>
    <n v="1"/>
    <s v="EA"/>
    <n v="15.99"/>
    <s v=""/>
    <n v="15.99"/>
    <s v="--multiple--"/>
    <s v="709232"/>
    <d v="2025-10-11T11:02:52"/>
    <s v=""/>
    <s v=""/>
    <s v=""/>
    <s v=""/>
  </r>
  <r>
    <s v="1002365"/>
    <s v="B-P Supply Inc"/>
    <x v="4"/>
    <s v="Ishmel Mesta"/>
    <s v="Jobe Christon"/>
    <s v="PARTS ORDERED BY MIGUEL YBARRA - MARGARET  M4 BATTERY"/>
    <s v="5051049"/>
    <s v="Upstream"/>
    <s v=""/>
    <s v="USD"/>
    <n v="2106.36"/>
    <s v="B2B"/>
    <s v="1"/>
    <s v="0218-GREASE-JT6"/>
    <s v="14 OZ JT6 HI-TEMP MP MYSTIC RED"/>
    <s v="Other"/>
    <d v="2025-10-07T15:14:33"/>
    <d v="2025-09-25T00:00:00"/>
    <d v="2025-09-25T00:00:00"/>
    <s v=""/>
    <s v=""/>
    <s v=""/>
    <s v=""/>
    <s v=""/>
    <s v=""/>
    <s v=""/>
    <s v=""/>
    <s v=""/>
    <s v=""/>
    <s v=""/>
    <s v=""/>
    <s v=""/>
    <s v=""/>
    <s v=""/>
    <s v=""/>
    <s v=""/>
    <s v=""/>
    <s v=""/>
    <s v=""/>
    <s v=""/>
    <s v=""/>
    <s v=""/>
    <s v=""/>
    <s v="Material"/>
    <s v=""/>
    <s v=""/>
    <s v=""/>
    <s v="8000133700"/>
    <s v="MARGARET M4 BATTERY"/>
    <s v="Upstream"/>
    <s v="1046"/>
    <s v=""/>
    <s v=""/>
    <s v=""/>
    <s v=""/>
    <s v=""/>
    <s v=""/>
    <s v=""/>
    <n v="30"/>
    <s v="EA"/>
    <n v="7.8"/>
    <s v=""/>
    <n v="234.07"/>
    <s v="--multiple--"/>
    <s v="705219"/>
    <d v="2025-10-10T12:30:54"/>
    <s v=""/>
    <s v=""/>
    <s v=""/>
    <s v=""/>
  </r>
  <r>
    <s v="202544771"/>
    <s v="AM Fabrication Inc"/>
    <x v="6"/>
    <s v="Jeremy Woods"/>
    <s v="Elam Tavarez"/>
    <s v="Picked up chemicals to let the cooler sit in._x000a_Cooler was already drained upon arrival._x000a_Added chemicals to the cooler._x000a_Letting it soak for a couple of days."/>
    <s v="5051006"/>
    <s v="Upstream"/>
    <s v="167498"/>
    <s v="USD"/>
    <n v="488.12"/>
    <s v="Direct Entry"/>
    <s v="1"/>
    <s v="LABOR - 1"/>
    <s v="Technician Labor Hours"/>
    <s v=""/>
    <d v="2025-10-10T10:46:15"/>
    <d v="2025-10-03T10:00:00"/>
    <d v="2025-10-03T14:00:00"/>
    <s v=""/>
    <s v="DUKE BATTERY"/>
    <s v=""/>
    <s v=""/>
    <s v=""/>
    <s v=""/>
    <s v=""/>
    <s v=""/>
    <s v=""/>
    <s v=""/>
    <s v=""/>
    <s v=""/>
    <s v=""/>
    <s v=""/>
    <s v=""/>
    <s v=""/>
    <s v=""/>
    <s v=""/>
    <s v=""/>
    <s v=""/>
    <s v=""/>
    <s v=""/>
    <s v=""/>
    <s v=""/>
    <s v="Labor"/>
    <s v=""/>
    <s v=""/>
    <s v=""/>
    <s v="8000312400"/>
    <s v="DUKE BATTERY"/>
    <s v="Upstream"/>
    <s v="1046"/>
    <s v=""/>
    <s v=""/>
    <s v=""/>
    <s v=""/>
    <s v=""/>
    <s v=""/>
    <s v=""/>
    <n v="4"/>
    <s v="hour"/>
    <n v="105"/>
    <s v=""/>
    <n v="420"/>
    <s v="--multiple--"/>
    <s v="703623"/>
    <d v="2025-10-10T10:50:45"/>
    <s v=""/>
    <s v=""/>
    <s v=""/>
    <s v=""/>
  </r>
  <r>
    <s v="HHAY_250910_222207"/>
    <s v="Superior Optimization Ltd"/>
    <x v="9"/>
    <s v="Jesse Melendez"/>
    <s v="Jose Villarreal"/>
    <s v="Dispatched by Jesse Melendez to location as part of the ongoing initiative to migrate this site from Spot AI to the new VMS (Video Management System). This location is designated as a test site for evaluating the transition._x000a_• Brought a bucket truck on-site to access the main yard tower._x000a_• Removed the existing Cambium radio and replaced it with a higher-capacity radio compatible with MikroTik hardware and the Diamondback network infrastructure._x000a_• Verified power and alignment of the new radio and ensured communication with the MikroTik network was established._x000a_• After completing the radio upgrade, traveled to the connected well pads to address outstanding camera issues._x000a_• Realigned camera views as needed and resolved any connectivity or configuration problems._x000a_• Confirmed that all cameras are currently online and properly aimed per site requirements._x000a_• The VMS software and hardware were not yet available for installation at this time. A follow-up visit will be required to complete the full migration to the VMS platform once it becomes available."/>
    <s v="5051043"/>
    <s v="Upstream"/>
    <s v=""/>
    <s v="USD"/>
    <n v="3670.75"/>
    <s v="B2B"/>
    <s v="1"/>
    <s v="LINFOREMAN"/>
    <s v="Line Foreman"/>
    <s v=""/>
    <d v="2025-09-24T09:41:28"/>
    <d v="2025-09-04T06:00:00"/>
    <d v="2025-09-04T14:00:00"/>
    <s v=""/>
    <s v=""/>
    <s v=""/>
    <s v=""/>
    <s v=""/>
    <s v=""/>
    <s v=""/>
    <s v=""/>
    <s v=""/>
    <s v=""/>
    <s v=""/>
    <s v=""/>
    <s v=""/>
    <s v=""/>
    <s v=""/>
    <s v=""/>
    <s v=""/>
    <s v=""/>
    <s v=""/>
    <s v=""/>
    <s v=""/>
    <s v=""/>
    <s v=""/>
    <s v=""/>
    <s v="Labor"/>
    <s v=""/>
    <s v=""/>
    <s v=""/>
    <s v="8300098300"/>
    <s v="FASKEN 9-16-21 (2) BATTERY"/>
    <s v="Upstream"/>
    <s v="1046"/>
    <s v=""/>
    <s v=""/>
    <s v=""/>
    <s v=""/>
    <s v=""/>
    <s v=""/>
    <s v=""/>
    <n v="8"/>
    <s v="HR"/>
    <n v="75"/>
    <s v=""/>
    <n v="600"/>
    <s v="--multiple--"/>
    <s v="700399"/>
    <d v="2025-10-02T10:36:09"/>
    <s v=""/>
    <s v=""/>
    <s v=""/>
    <s v=""/>
  </r>
  <r>
    <s v="V-55829"/>
    <s v="J&amp;R Roustabout, LLC"/>
    <x v="3"/>
    <s v="Jeff Garza"/>
    <s v="Cody Clement"/>
    <s v="DROVE TO LOCATION, GAUGED TANK, PULLED 110 BBLS OF P/W TO BLUE DUCK #2 SWD, AND UNLOADED."/>
    <s v="5051054"/>
    <s v="Upstream"/>
    <s v=""/>
    <s v="USD"/>
    <n v="234.5"/>
    <s v="Direct Entry"/>
    <s v="1"/>
    <s v="VACUUM TRUCK"/>
    <s v="Vacuum Truck"/>
    <s v="VACUUM"/>
    <d v="2025-10-13T08:44:32"/>
    <d v="2025-10-10T15:15:00"/>
    <d v="2025-10-10T17:00:00"/>
    <d v="1899-12-30T01:45:00"/>
    <s v="BREEDLOVE E"/>
    <s v=""/>
    <s v=""/>
    <s v="LABOR"/>
    <s v=""/>
    <s v=""/>
    <s v=""/>
    <s v=""/>
    <s v=""/>
    <s v=""/>
    <s v=""/>
    <s v=""/>
    <s v=""/>
    <s v=""/>
    <s v=""/>
    <s v=""/>
    <s v=""/>
    <s v=""/>
    <s v=""/>
    <s v=""/>
    <s v=""/>
    <n v="0"/>
    <s v="bbl"/>
    <s v=""/>
    <s v=""/>
    <s v=""/>
    <s v=""/>
    <s v="8300176100"/>
    <s v="BREEDLOVE E BATTERY"/>
    <s v="Upstream"/>
    <s v="1046"/>
    <s v=""/>
    <s v=""/>
    <s v=""/>
    <s v=""/>
    <s v=""/>
    <s v=""/>
    <s v="Other"/>
    <n v="1.75"/>
    <s v="HR"/>
    <n v="90"/>
    <s v=""/>
    <n v="157.5"/>
    <s v="Pricebook"/>
    <s v="712950"/>
    <d v="2025-10-13T08:47:23"/>
    <s v=""/>
    <s v=""/>
    <s v=""/>
    <s v=""/>
  </r>
  <r>
    <s v="V-55758"/>
    <s v="J&amp;R Roustabout, LLC"/>
    <x v="3"/>
    <s v="Jeff Garza"/>
    <s v="Cody Clement"/>
    <s v="DROVE TO LOCATION AND GAUGE TANK PULLED ONE LOAD 110 BBLS OF PRODUCED WATER AND HAULED BLUE DUCK #2 TO SWD AND UNLOADED."/>
    <s v="5051054"/>
    <s v="Upstream"/>
    <s v=""/>
    <s v="USD"/>
    <n v="302"/>
    <s v="Direct Entry"/>
    <s v="1"/>
    <s v="VACUUM TRUCK"/>
    <s v="Vacuum Truck"/>
    <s v="VACUUM"/>
    <d v="2025-10-13T09:04:26"/>
    <d v="2025-10-12T08:15:00"/>
    <d v="2025-10-12T10:45:00"/>
    <d v="1899-12-30T02:30:00"/>
    <s v="BREEDLOVE H"/>
    <s v=""/>
    <s v=""/>
    <s v="LABOR"/>
    <s v=""/>
    <s v=""/>
    <s v=""/>
    <s v=""/>
    <s v=""/>
    <s v=""/>
    <s v=""/>
    <s v=""/>
    <s v=""/>
    <s v=""/>
    <s v=""/>
    <s v=""/>
    <s v=""/>
    <s v=""/>
    <s v=""/>
    <s v=""/>
    <s v=""/>
    <n v="0"/>
    <s v="bbl"/>
    <s v=""/>
    <s v=""/>
    <s v=""/>
    <s v=""/>
    <s v="8300176400"/>
    <s v="BREEDLOVE H 1 BATTERY"/>
    <s v="Upstream"/>
    <s v="1046"/>
    <s v=""/>
    <s v=""/>
    <s v=""/>
    <s v=""/>
    <s v=""/>
    <s v=""/>
    <s v="Other"/>
    <n v="2.5"/>
    <s v="HR"/>
    <n v="90"/>
    <s v=""/>
    <n v="225"/>
    <s v="Pricebook"/>
    <s v="712950"/>
    <d v="2025-10-13T09:07:39"/>
    <s v=""/>
    <s v=""/>
    <s v=""/>
    <s v=""/>
  </r>
  <r>
    <s v="V-55759"/>
    <s v="J&amp;R Roustabout, LLC"/>
    <x v="3"/>
    <s v="Jeff Garza"/>
    <s v="Cody Clement"/>
    <s v="DROVE TO LOCATION AND GAUGE TANK PULLED ONE LOAD 110 BBLS OF PRODUCED WATER AND HAULED BLUE DUCK #2 TO SWD AND UNLOADED."/>
    <s v="5051054"/>
    <s v="Upstream"/>
    <s v=""/>
    <s v="USD"/>
    <n v="302"/>
    <s v="Direct Entry"/>
    <s v="1"/>
    <s v="VACUUM TRUCK"/>
    <s v="Vacuum Truck"/>
    <s v="VACUUM"/>
    <d v="2025-10-13T09:08:23"/>
    <d v="2025-10-12T10:45:00"/>
    <d v="2025-10-12T13:15:00"/>
    <d v="1899-12-30T02:30:00"/>
    <s v="LAMBRIGHT 3"/>
    <s v=""/>
    <s v=""/>
    <s v="LABOR"/>
    <s v=""/>
    <s v=""/>
    <s v=""/>
    <s v=""/>
    <s v=""/>
    <s v=""/>
    <s v=""/>
    <s v=""/>
    <s v=""/>
    <s v=""/>
    <s v=""/>
    <s v=""/>
    <s v=""/>
    <s v=""/>
    <s v=""/>
    <s v=""/>
    <s v=""/>
    <n v="0"/>
    <s v="bbl"/>
    <s v=""/>
    <s v=""/>
    <s v=""/>
    <s v=""/>
    <s v="8300188000"/>
    <s v="LAMBRIGHT A 3 BATTERY"/>
    <s v="Upstream"/>
    <s v="1046"/>
    <s v=""/>
    <s v=""/>
    <s v=""/>
    <s v=""/>
    <s v=""/>
    <s v=""/>
    <s v="Other"/>
    <n v="2.5"/>
    <s v="HR"/>
    <n v="90"/>
    <s v=""/>
    <n v="225"/>
    <s v="Pricebook"/>
    <s v="712950"/>
    <d v="2025-10-13T09:10:05"/>
    <s v=""/>
    <s v=""/>
    <s v=""/>
    <s v=""/>
  </r>
  <r>
    <s v="1002787"/>
    <s v="B-P Supply Inc"/>
    <x v="6"/>
    <s v="Ishmel Mesta"/>
    <s v="Jobe Christon"/>
    <s v="PARTS ORDERED BY TYSON MERRITT - GUARDIAN H BATTERY"/>
    <s v="5051049"/>
    <s v="Upstream"/>
    <s v=""/>
    <s v="USD"/>
    <n v="340.77"/>
    <s v="B2B"/>
    <s v="1"/>
    <s v="0218-GREASE-JT6"/>
    <s v="14 OZ JT6 HI-TEMP MP MYSTIC RED"/>
    <s v="Other"/>
    <d v="2025-10-07T15:16:36"/>
    <d v="2025-09-30T00:00:00"/>
    <d v="2025-09-30T00:00:00"/>
    <s v=""/>
    <s v=""/>
    <s v=""/>
    <s v=""/>
    <s v=""/>
    <s v=""/>
    <s v=""/>
    <s v=""/>
    <s v=""/>
    <s v=""/>
    <s v=""/>
    <s v=""/>
    <s v=""/>
    <s v=""/>
    <s v=""/>
    <s v=""/>
    <s v=""/>
    <s v=""/>
    <s v=""/>
    <s v=""/>
    <s v=""/>
    <s v=""/>
    <s v=""/>
    <s v=""/>
    <s v="Material"/>
    <s v=""/>
    <s v=""/>
    <s v=""/>
    <s v="8000301200"/>
    <s v="GUARDIAN H BATTERY"/>
    <s v="Upstream"/>
    <s v="1046"/>
    <s v=""/>
    <s v=""/>
    <s v=""/>
    <s v=""/>
    <s v=""/>
    <s v=""/>
    <s v=""/>
    <n v="20"/>
    <s v="EA"/>
    <n v="7.8"/>
    <s v=""/>
    <n v="156.05000000000001"/>
    <s v="--multiple--"/>
    <s v="705219"/>
    <d v="2025-10-13T15:53:42"/>
    <s v=""/>
    <s v=""/>
    <s v=""/>
    <s v=""/>
  </r>
  <r>
    <s v="DM45915-43"/>
    <s v="Advanced Integrated Services Inc"/>
    <x v="6"/>
    <s v="Jesse Melendez"/>
    <s v="Jose Villarreal"/>
    <s v="Labor - performed full pm on facility to make necessary repairs ETC"/>
    <s v="5051128"/>
    <s v="Upstream"/>
    <s v=""/>
    <s v="USD"/>
    <n v="1184"/>
    <s v="Direct Entry"/>
    <s v="1"/>
    <s v=""/>
    <s v="Programmer 2 (Mid-Level)"/>
    <s v=""/>
    <d v="2025-10-02T08:55:40"/>
    <d v="2025-09-16T07:00:00"/>
    <d v="2025-09-16T15:00:00"/>
    <s v=""/>
    <s v="Rio 27-18 SL U3/U4 Tank Battery"/>
    <s v=""/>
    <s v=""/>
    <s v=""/>
    <s v=""/>
    <s v=""/>
    <s v=""/>
    <s v=""/>
    <s v=""/>
    <s v=""/>
    <s v=""/>
    <s v=""/>
    <s v=""/>
    <s v=""/>
    <s v=""/>
    <s v=""/>
    <s v=""/>
    <s v=""/>
    <s v=""/>
    <s v=""/>
    <s v=""/>
    <s v=""/>
    <s v=""/>
    <s v="Labor"/>
    <s v=""/>
    <s v=""/>
    <s v=""/>
    <s v="8300146800"/>
    <s v="RIO PECOS 27-18SL BATTERY"/>
    <s v="Upstream"/>
    <s v="1046"/>
    <s v=""/>
    <s v=""/>
    <s v=""/>
    <s v=""/>
    <s v=""/>
    <s v=""/>
    <s v=""/>
    <n v="8"/>
    <s v="HR"/>
    <n v="125"/>
    <s v=""/>
    <n v="1000"/>
    <s v="Pricebook"/>
    <s v="712953"/>
    <d v="2025-10-02T08:57:31"/>
    <s v=""/>
    <s v=""/>
    <s v=""/>
    <s v=""/>
  </r>
  <r>
    <s v="DM45915-47"/>
    <s v="Advanced Integrated Services Inc"/>
    <x v="9"/>
    <s v="Jesse Melendez"/>
    <s v="Jose Villarreal"/>
    <s v="Labor - remove micromotion transmitter from facility that was no longer being used, ETC"/>
    <s v="5051043"/>
    <s v="Upstream"/>
    <s v=""/>
    <s v="USD"/>
    <n v="592"/>
    <s v="Direct Entry"/>
    <s v="1"/>
    <s v=""/>
    <s v="Programmer 2 (Mid-Level)"/>
    <s v=""/>
    <d v="2025-10-02T09:11:31"/>
    <d v="2025-09-19T07:00:00"/>
    <d v="2025-09-19T11:00:00"/>
    <s v=""/>
    <s v="Rio Lavaca 17-48 Unit 1 Tank Battery"/>
    <s v=""/>
    <s v=""/>
    <s v=""/>
    <s v=""/>
    <s v=""/>
    <s v=""/>
    <s v=""/>
    <s v=""/>
    <s v=""/>
    <s v=""/>
    <s v=""/>
    <s v=""/>
    <s v=""/>
    <s v=""/>
    <s v=""/>
    <s v=""/>
    <s v=""/>
    <s v=""/>
    <s v=""/>
    <s v=""/>
    <s v=""/>
    <s v=""/>
    <s v="Labor"/>
    <s v=""/>
    <s v=""/>
    <s v=""/>
    <s v="8300146200"/>
    <s v="RIO LAVACA 17-48 WSL BATTERY"/>
    <s v="Upstream"/>
    <s v="1046"/>
    <s v=""/>
    <s v=""/>
    <s v=""/>
    <s v=""/>
    <s v=""/>
    <s v=""/>
    <s v=""/>
    <n v="4"/>
    <s v="HR"/>
    <n v="125"/>
    <s v=""/>
    <n v="500"/>
    <s v="Pricebook"/>
    <s v="712953"/>
    <d v="2025-10-02T09:12:50"/>
    <s v=""/>
    <s v=""/>
    <s v=""/>
    <s v=""/>
  </r>
  <r>
    <s v="DM45915-49"/>
    <s v="Advanced Integrated Services Inc"/>
    <x v="9"/>
    <s v="Jesse Melendez"/>
    <s v="Jose Villarreal"/>
    <s v="Labor - verify installation of power and comms to bms, ETC"/>
    <s v="5051043"/>
    <s v="Upstream"/>
    <s v=""/>
    <s v="USD"/>
    <n v="592"/>
    <s v="Direct Entry"/>
    <s v="1"/>
    <s v=""/>
    <s v="Programmer 2 (Mid-Level)"/>
    <s v=""/>
    <d v="2025-10-02T09:16:47"/>
    <d v="2025-09-19T15:00:00"/>
    <d v="2025-09-19T18:00:00"/>
    <s v=""/>
    <s v="Neff Tank Battery"/>
    <s v=""/>
    <s v=""/>
    <s v=""/>
    <s v=""/>
    <s v=""/>
    <s v=""/>
    <s v=""/>
    <s v=""/>
    <s v=""/>
    <s v=""/>
    <s v=""/>
    <s v=""/>
    <s v=""/>
    <s v=""/>
    <s v=""/>
    <s v=""/>
    <s v=""/>
    <s v=""/>
    <s v=""/>
    <s v=""/>
    <s v=""/>
    <s v=""/>
    <s v="Labor"/>
    <s v=""/>
    <s v=""/>
    <s v=""/>
    <s v="8000324900"/>
    <s v="NEFF BATTERY"/>
    <s v="Upstream"/>
    <s v="1046"/>
    <s v=""/>
    <s v=""/>
    <s v=""/>
    <s v=""/>
    <s v=""/>
    <s v=""/>
    <s v=""/>
    <n v="4"/>
    <s v="HR"/>
    <n v="125"/>
    <s v=""/>
    <n v="500"/>
    <s v="Pricebook"/>
    <s v="712953"/>
    <d v="2025-10-02T09:27:13"/>
    <s v=""/>
    <s v=""/>
    <s v=""/>
    <s v=""/>
  </r>
  <r>
    <s v="DM45915-50"/>
    <s v="Advanced Integrated Services Inc"/>
    <x v="9"/>
    <s v="Jesse Melendez"/>
    <s v="Jose Villarreal"/>
    <s v="Labor - LO called saying facility is single phasing, called out electrical crew to troubleshoot ETC"/>
    <s v="5051043"/>
    <s v="Upstream"/>
    <s v=""/>
    <s v="USD"/>
    <n v="592"/>
    <s v="Direct Entry"/>
    <s v="1"/>
    <s v=""/>
    <s v="Programmer 2 (Mid-Level)"/>
    <s v=""/>
    <d v="2025-10-02T09:28:18"/>
    <d v="2025-09-20T07:00:00"/>
    <d v="2025-09-20T11:00:00"/>
    <s v=""/>
    <s v="Glenn Riley H Tank Battery"/>
    <s v=""/>
    <s v=""/>
    <s v=""/>
    <s v=""/>
    <s v=""/>
    <s v=""/>
    <s v=""/>
    <s v=""/>
    <s v=""/>
    <s v=""/>
    <s v=""/>
    <s v=""/>
    <s v=""/>
    <s v=""/>
    <s v=""/>
    <s v=""/>
    <s v=""/>
    <s v=""/>
    <s v=""/>
    <s v=""/>
    <s v=""/>
    <s v=""/>
    <s v="Labor"/>
    <s v=""/>
    <s v=""/>
    <s v=""/>
    <s v="8000134500"/>
    <s v="GLENN RILEY H BATTERY"/>
    <s v="Upstream"/>
    <s v="1046"/>
    <s v=""/>
    <s v=""/>
    <s v=""/>
    <s v=""/>
    <s v=""/>
    <s v=""/>
    <s v=""/>
    <n v="4"/>
    <s v="HR"/>
    <n v="125"/>
    <s v=""/>
    <n v="500"/>
    <s v="Pricebook"/>
    <s v="712953"/>
    <d v="2025-10-02T09:36:56"/>
    <s v=""/>
    <s v=""/>
    <s v=""/>
    <s v=""/>
  </r>
  <r>
    <s v="DM45915-52"/>
    <s v="Advanced Integrated Services Inc"/>
    <x v="9"/>
    <s v="Jesse Melendez"/>
    <s v="Jose Villarreal"/>
    <s v="Labor - troubleshoot well pad 1 showing esd alarm on hmi and will not clear, ETC"/>
    <s v="5051043"/>
    <s v="Upstream"/>
    <s v=""/>
    <s v="USD"/>
    <n v="592"/>
    <s v="Direct Entry"/>
    <s v="1"/>
    <s v=""/>
    <s v="Programmer 2 (Mid-Level)"/>
    <s v=""/>
    <d v="2025-10-02T09:41:53"/>
    <d v="2025-09-20T15:00:00"/>
    <d v="2025-09-20T18:00:00"/>
    <s v=""/>
    <s v="Rio Lavaca 28-48 U2 Well A 113"/>
    <s v=""/>
    <s v=""/>
    <s v=""/>
    <s v=""/>
    <s v=""/>
    <s v=""/>
    <s v=""/>
    <s v=""/>
    <s v=""/>
    <s v=""/>
    <s v=""/>
    <s v=""/>
    <s v=""/>
    <s v=""/>
    <s v=""/>
    <s v=""/>
    <s v=""/>
    <s v=""/>
    <s v=""/>
    <s v=""/>
    <s v=""/>
    <s v=""/>
    <s v="Labor"/>
    <s v=""/>
    <s v=""/>
    <s v=""/>
    <s v="1001447100"/>
    <s v="RIO LAVACA 28-48 A 113"/>
    <s v="Upstream"/>
    <s v="1046"/>
    <s v=""/>
    <s v=""/>
    <s v=""/>
    <s v=""/>
    <s v=""/>
    <s v=""/>
    <s v=""/>
    <n v="4"/>
    <s v="HR"/>
    <n v="125"/>
    <s v=""/>
    <n v="500"/>
    <s v="Pricebook"/>
    <s v="712953"/>
    <d v="2025-10-02T09:43:16"/>
    <s v=""/>
    <s v=""/>
    <s v=""/>
    <s v=""/>
  </r>
  <r>
    <s v="2025-06996"/>
    <s v="GTG Automation, Inc."/>
    <x v="9"/>
    <s v="Jesse Melendez"/>
    <s v="Jose Villarreal"/>
    <s v="Service Time: 0500-1300 Truck: PL309_x000a_Went out to location had a safety meeting before we started then went to each well pad and killed out banks and tightened all hardware on banks and also opened up disconnects and tightened and dusted off everything in the panels"/>
    <s v="5051044"/>
    <s v="Upstream"/>
    <s v=""/>
    <s v="USD"/>
    <n v="2560"/>
    <s v="Direct Entry"/>
    <s v="1"/>
    <s v="Power Line Field Foreman"/>
    <s v="POWER LINE FIELD FOREMAN"/>
    <s v="Labor"/>
    <d v="2025-10-02T12:53:52"/>
    <d v="2025-09-30T05:00:00"/>
    <d v="2025-09-30T13:00:00"/>
    <s v=""/>
    <s v=""/>
    <s v=""/>
    <s v=""/>
    <s v=""/>
    <s v=""/>
    <s v=""/>
    <s v=""/>
    <s v=""/>
    <s v=""/>
    <s v=""/>
    <s v=""/>
    <s v=""/>
    <s v=""/>
    <s v=""/>
    <s v=""/>
    <s v=""/>
    <s v=""/>
    <s v=""/>
    <s v=""/>
    <s v=""/>
    <s v=""/>
    <s v=""/>
    <s v=""/>
    <s v="Labor"/>
    <s v=""/>
    <s v=""/>
    <s v=""/>
    <s v="8300169400"/>
    <s v="WTH 20-8 BATTERY"/>
    <s v="Upstream"/>
    <s v="1046"/>
    <s v=""/>
    <s v=""/>
    <s v=""/>
    <s v=""/>
    <s v=""/>
    <s v=""/>
    <s v=""/>
    <n v="8"/>
    <s v="HR"/>
    <n v="73"/>
    <s v=""/>
    <n v="584"/>
    <s v="--multiple--"/>
    <s v="707669"/>
    <d v="2025-10-02T12:57:15"/>
    <s v=""/>
    <s v=""/>
    <s v=""/>
    <s v=""/>
  </r>
  <r>
    <s v="2025-06997"/>
    <s v="GTG Automation, Inc."/>
    <x v="9"/>
    <s v="Jimmy Martin"/>
    <s v="Jose Villarreal"/>
    <s v="Service Time: 1300-1630 Truck: PL309, PL321_x000a_Killed out bank, checked out transformers found bad 25kva transformer. Went to Spanish trail lay down yard and picked up good 25kva. Hung good transformer, made bank hot and started up well. Took bad transformer to Spanish trail lay down yard."/>
    <s v="5051044"/>
    <s v="Upstream"/>
    <s v=""/>
    <s v="USD"/>
    <n v="1695.75"/>
    <s v="Direct Entry"/>
    <s v="1"/>
    <s v="Power Line Foreman Over Time"/>
    <s v="Power Line Foreman Over Time"/>
    <s v=""/>
    <d v="2025-10-02T12:59:31"/>
    <d v="2025-09-30T13:00:00"/>
    <d v="2025-09-30T16:30:00"/>
    <s v=""/>
    <s v=""/>
    <s v=""/>
    <s v=""/>
    <s v=""/>
    <s v=""/>
    <s v=""/>
    <s v=""/>
    <s v=""/>
    <s v=""/>
    <s v=""/>
    <s v=""/>
    <s v=""/>
    <s v=""/>
    <s v=""/>
    <s v=""/>
    <s v=""/>
    <s v=""/>
    <s v=""/>
    <s v=""/>
    <s v=""/>
    <s v=""/>
    <s v=""/>
    <s v=""/>
    <s v="Labor"/>
    <s v=""/>
    <s v=""/>
    <s v=""/>
    <s v="1000440600"/>
    <s v="TRAILAND A UNIT 3905WB"/>
    <s v="Upstream"/>
    <s v="1046"/>
    <s v=""/>
    <s v=""/>
    <s v=""/>
    <s v=""/>
    <s v=""/>
    <s v=""/>
    <s v=""/>
    <n v="3.5"/>
    <s v="HR"/>
    <n v="88.5"/>
    <s v=""/>
    <n v="309.75"/>
    <s v="--multiple--"/>
    <s v="707669"/>
    <d v="2025-10-02T13:04:22"/>
    <s v=""/>
    <s v=""/>
    <s v=""/>
    <s v=""/>
  </r>
  <r>
    <s v="670237"/>
    <s v="AggieTech Energy Services LLC"/>
    <x v="1"/>
    <s v="Jeremy Woods"/>
    <s v="Jobe Christon"/>
    <s v="JEREMY WOODS-OGREASED AND INSPECTED CAMPBELL WEST #15"/>
    <s v="5051035"/>
    <s v="Upstream"/>
    <s v="147700"/>
    <s v="USD"/>
    <n v="145"/>
    <s v="Direct Entry"/>
    <s v="1"/>
    <s v="PUMPING UNIT INSPECTION"/>
    <s v="PUMPING UNIT INSPECTION"/>
    <s v=""/>
    <d v="2025-10-08T12:59:55"/>
    <d v="2025-09-24T08:00:00"/>
    <d v="2025-09-24T09:00:00"/>
    <s v=""/>
    <s v="CAMPBELL WEST #15"/>
    <s v=""/>
    <s v=""/>
    <s v=""/>
    <s v=""/>
    <s v=""/>
    <s v=""/>
    <s v=""/>
    <s v=""/>
    <s v=""/>
    <s v=""/>
    <s v=""/>
    <s v=""/>
    <s v=""/>
    <s v=""/>
    <s v=""/>
    <s v=""/>
    <s v=""/>
    <s v=""/>
    <s v=""/>
    <s v=""/>
    <s v=""/>
    <s v=""/>
    <s v="Equipment"/>
    <s v=""/>
    <s v=""/>
    <s v=""/>
    <s v="1000016800"/>
    <s v="CAMPBELL WEST 15"/>
    <s v="Upstream"/>
    <s v="1046"/>
    <s v=""/>
    <s v=""/>
    <s v=""/>
    <s v=""/>
    <s v=""/>
    <s v=""/>
    <s v=""/>
    <n v="1"/>
    <s v="EA"/>
    <n v="140"/>
    <s v=""/>
    <n v="140"/>
    <s v="--multiple--"/>
    <s v="701830"/>
    <d v="2025-10-08T13:01:36"/>
    <s v=""/>
    <s v=""/>
    <s v=""/>
    <s v=""/>
  </r>
  <r>
    <s v="670238"/>
    <s v="AggieTech Energy Services LLC"/>
    <x v="1"/>
    <s v="Jeremy Woods"/>
    <s v="Jobe Christon"/>
    <s v="JEREMY WOODS-GREASED AND INSPECTED CAMPBELL WEST #38"/>
    <s v="5051035"/>
    <s v="Upstream"/>
    <s v="147560"/>
    <s v="USD"/>
    <n v="145"/>
    <s v="Direct Entry"/>
    <s v="1"/>
    <s v="PUMPING UNIT INSPECTION"/>
    <s v="PUMPING UNIT INSPECTION"/>
    <s v=""/>
    <d v="2025-10-08T13:03:08"/>
    <d v="2025-09-24T09:00:00"/>
    <d v="2025-09-24T10:00:00"/>
    <s v=""/>
    <s v="CAMPBELL WEST #38"/>
    <s v=""/>
    <s v=""/>
    <s v=""/>
    <s v=""/>
    <s v=""/>
    <s v=""/>
    <s v=""/>
    <s v=""/>
    <s v=""/>
    <s v=""/>
    <s v=""/>
    <s v=""/>
    <s v=""/>
    <s v=""/>
    <s v=""/>
    <s v=""/>
    <s v=""/>
    <s v=""/>
    <s v=""/>
    <s v=""/>
    <s v=""/>
    <s v=""/>
    <s v="Equipment"/>
    <s v=""/>
    <s v=""/>
    <s v=""/>
    <s v="1000019100"/>
    <s v="CAMPBELL WEST 38"/>
    <s v="Upstream"/>
    <s v="1046"/>
    <s v=""/>
    <s v=""/>
    <s v=""/>
    <s v=""/>
    <s v=""/>
    <s v=""/>
    <s v=""/>
    <n v="1"/>
    <s v="EA"/>
    <n v="140"/>
    <s v=""/>
    <n v="140"/>
    <s v="--multiple--"/>
    <s v="701830"/>
    <d v="2025-10-08T13:04:44"/>
    <s v=""/>
    <s v=""/>
    <s v=""/>
    <s v=""/>
  </r>
  <r>
    <s v="670239"/>
    <s v="AggieTech Energy Services LLC"/>
    <x v="1"/>
    <s v="Jeremy Woods"/>
    <s v="Jobe Christon"/>
    <s v="JEREMY WOODS-GREASED AND INSPECTED CAMPBELL WEST #39"/>
    <s v="5051035"/>
    <s v="Upstream"/>
    <s v="147314"/>
    <s v="USD"/>
    <n v="145"/>
    <s v="Direct Entry"/>
    <s v="1"/>
    <s v="PUMPING UNIT INSPECTION"/>
    <s v="PUMPING UNIT INSPECTION"/>
    <s v=""/>
    <d v="2025-10-08T13:06:37"/>
    <d v="2025-09-24T10:00:00"/>
    <d v="2025-09-24T11:00:00"/>
    <s v=""/>
    <s v="CAMPBELL WEST #39"/>
    <s v=""/>
    <s v=""/>
    <s v=""/>
    <s v=""/>
    <s v=""/>
    <s v=""/>
    <s v=""/>
    <s v=""/>
    <s v=""/>
    <s v=""/>
    <s v=""/>
    <s v=""/>
    <s v=""/>
    <s v=""/>
    <s v=""/>
    <s v=""/>
    <s v=""/>
    <s v=""/>
    <s v=""/>
    <s v=""/>
    <s v=""/>
    <s v=""/>
    <s v="Equipment"/>
    <s v=""/>
    <s v=""/>
    <s v=""/>
    <s v="1000019200"/>
    <s v="CAMPBELL WEST 39"/>
    <s v="Upstream"/>
    <s v="1046"/>
    <s v=""/>
    <s v=""/>
    <s v=""/>
    <s v=""/>
    <s v=""/>
    <s v=""/>
    <s v=""/>
    <n v="1"/>
    <s v="EA"/>
    <n v="140"/>
    <s v=""/>
    <n v="140"/>
    <s v="--multiple--"/>
    <s v="701830"/>
    <d v="2025-10-08T13:09:04"/>
    <s v=""/>
    <s v=""/>
    <s v=""/>
    <s v=""/>
  </r>
  <r>
    <s v="T-435649"/>
    <s v="Liberty Lift Solutions LLC"/>
    <x v="6"/>
    <s v="Joshua Eilenberger"/>
    <s v="Jobe Christon"/>
    <s v="Completed Job _x000a__x000a_Traveled to location. Balanced unit._x000a_Requested by: Josh Eilenburger_x000a_LL Rep: Ray Rodriguez"/>
    <s v="5051035"/>
    <s v="Upstream"/>
    <s v="158840"/>
    <s v="USD"/>
    <n v="1125"/>
    <s v="B2B"/>
    <s v="1"/>
    <s v="NP0008"/>
    <s v="Field Technician"/>
    <s v="Service"/>
    <d v="2025-10-13T14:24:43"/>
    <d v="2025-09-13T09:00:00"/>
    <d v="2025-09-13T12:00:00"/>
    <s v=""/>
    <s v="Jones Holton 222SH"/>
    <s v=""/>
    <s v=""/>
    <s v=""/>
    <s v=""/>
    <s v=""/>
    <s v=""/>
    <s v=""/>
    <s v=""/>
    <s v=""/>
    <s v=""/>
    <s v=""/>
    <s v=""/>
    <s v=""/>
    <s v=""/>
    <s v=""/>
    <s v=""/>
    <s v=""/>
    <s v=""/>
    <s v=""/>
    <s v=""/>
    <s v=""/>
    <s v=""/>
    <s v="Labor"/>
    <s v=""/>
    <s v=""/>
    <s v=""/>
    <s v="1000106600"/>
    <s v="JONES-HOLTON 222SH"/>
    <s v="Upstream"/>
    <s v="1046"/>
    <s v=""/>
    <s v=""/>
    <s v=""/>
    <s v=""/>
    <s v=""/>
    <s v=""/>
    <s v="Other"/>
    <n v="3"/>
    <s v="HR"/>
    <n v="65"/>
    <s v=""/>
    <n v="195"/>
    <s v="--multiple--"/>
    <s v="708256"/>
    <d v="2025-10-13T15:35:49"/>
    <s v=""/>
    <s v=""/>
    <s v=""/>
    <s v=""/>
  </r>
  <r>
    <s v="T-437164"/>
    <s v="Liberty Lift Solutions LLC"/>
    <x v="6"/>
    <s v="Joshua Eilenberger"/>
    <s v="Jobe Christon"/>
    <s v="Completed Job _x000a__x000a_Changed out belts, balanced unit and adjusted brake._x000a_Requested by: Josh Eilenburger_x000a_LL Rep: Ray Rodriguez"/>
    <s v="5051035"/>
    <s v="Upstream"/>
    <s v="159192"/>
    <s v="USD"/>
    <n v="1525"/>
    <s v="B2B"/>
    <s v="1"/>
    <s v="NP0008"/>
    <s v="Field Technician"/>
    <s v="Service"/>
    <d v="2025-10-13T14:45:55"/>
    <d v="2025-09-16T11:00:00"/>
    <d v="2025-09-16T14:00:00"/>
    <s v=""/>
    <s v="Jones Holton 122SH"/>
    <s v=""/>
    <s v=""/>
    <s v=""/>
    <s v=""/>
    <s v=""/>
    <s v=""/>
    <s v=""/>
    <s v=""/>
    <s v=""/>
    <s v=""/>
    <s v=""/>
    <s v=""/>
    <s v=""/>
    <s v=""/>
    <s v=""/>
    <s v=""/>
    <s v=""/>
    <s v=""/>
    <s v=""/>
    <s v=""/>
    <s v=""/>
    <s v=""/>
    <s v="Labor"/>
    <s v=""/>
    <s v=""/>
    <s v=""/>
    <s v="1000102300"/>
    <s v="JONES-HOLTON 122SH"/>
    <s v="Upstream"/>
    <s v="1046"/>
    <s v=""/>
    <s v=""/>
    <s v=""/>
    <s v=""/>
    <s v=""/>
    <s v=""/>
    <s v="Other"/>
    <n v="3"/>
    <s v="HR"/>
    <n v="65"/>
    <s v=""/>
    <n v="195"/>
    <s v="--multiple--"/>
    <s v="708256"/>
    <d v="2025-10-13T15:49:27"/>
    <s v=""/>
    <s v=""/>
    <s v=""/>
    <s v=""/>
  </r>
  <r>
    <s v="78506"/>
    <s v="Pumping Unit Technologies, LLC"/>
    <x v="0"/>
    <s v="Joshua Eilenberger"/>
    <s v="Jobe Christon"/>
    <s v="Balanced Unit and Tightened Belts"/>
    <s v="5051035"/>
    <s v="Upstream"/>
    <s v="78506"/>
    <s v="USD"/>
    <n v="1875"/>
    <s v="Direct Entry"/>
    <s v="1"/>
    <s v=""/>
    <s v="Tandem/Crane with Operator and Pumping Unit Work"/>
    <s v=""/>
    <d v="2025-09-29T13:17:57"/>
    <d v="2025-09-17T07:00:00"/>
    <d v="2025-09-17T12:00:00"/>
    <s v=""/>
    <s v="Kathryn Ida Unit 606H"/>
    <s v=""/>
    <s v=""/>
    <s v=""/>
    <s v=""/>
    <s v=""/>
    <s v=""/>
    <s v=""/>
    <s v=""/>
    <s v=""/>
    <s v=""/>
    <s v=""/>
    <s v=""/>
    <s v=""/>
    <s v=""/>
    <s v=""/>
    <s v=""/>
    <s v=""/>
    <s v=""/>
    <s v=""/>
    <s v=""/>
    <s v=""/>
    <s v=""/>
    <s v="Labor"/>
    <s v=""/>
    <s v=""/>
    <s v=""/>
    <s v="1000003600"/>
    <s v="KATHRYN IDA UNIT 606H"/>
    <s v="Upstream"/>
    <s v="1046"/>
    <s v=""/>
    <s v=""/>
    <s v=""/>
    <s v=""/>
    <s v=""/>
    <s v=""/>
    <s v=""/>
    <n v="5"/>
    <s v="HR"/>
    <n v="305"/>
    <s v=""/>
    <n v="1525"/>
    <s v="--multiple--"/>
    <s v="712963"/>
    <d v="2025-09-29T13:19:21"/>
    <s v=""/>
    <s v=""/>
    <s v=""/>
    <s v=""/>
  </r>
  <r>
    <s v="78505"/>
    <s v="Pumping Unit Technologies, LLC"/>
    <x v="0"/>
    <s v="Joshua Eilenberger"/>
    <s v="Jobe Christon"/>
    <s v="Replaced Brake Pads &amp; Adjusted Brake"/>
    <s v="5051035"/>
    <s v="Upstream"/>
    <s v="159337"/>
    <s v="USD"/>
    <n v="612.5"/>
    <s v="Direct Entry"/>
    <s v="1"/>
    <s v="SL11998"/>
    <s v="Field Welder"/>
    <s v=""/>
    <d v="2025-09-29T13:20:24"/>
    <d v="2025-09-17T08:30:00"/>
    <d v="2025-09-17T11:00:00"/>
    <s v=""/>
    <s v="Jones-Holton 223 SH"/>
    <s v=""/>
    <s v=""/>
    <s v=""/>
    <s v=""/>
    <s v=""/>
    <s v=""/>
    <s v=""/>
    <s v=""/>
    <s v=""/>
    <s v=""/>
    <s v=""/>
    <s v=""/>
    <s v=""/>
    <s v=""/>
    <s v=""/>
    <s v=""/>
    <s v=""/>
    <s v=""/>
    <s v=""/>
    <s v=""/>
    <s v=""/>
    <s v=""/>
    <s v="Labor"/>
    <s v=""/>
    <s v=""/>
    <s v=""/>
    <s v="1000106700"/>
    <s v="JONES-HOLTON 223SH"/>
    <s v="Upstream"/>
    <s v="1046"/>
    <s v=""/>
    <s v=""/>
    <s v=""/>
    <s v=""/>
    <s v=""/>
    <s v=""/>
    <s v=""/>
    <n v="2.5"/>
    <s v="HR"/>
    <n v="175"/>
    <s v=""/>
    <n v="437.5"/>
    <s v="--multiple--"/>
    <s v="712963"/>
    <d v="2025-09-29T13:22:26"/>
    <s v=""/>
    <s v=""/>
    <s v=""/>
    <s v=""/>
  </r>
  <r>
    <s v="T-437611"/>
    <s v="Liberty Lift Solutions LLC"/>
    <x v="6"/>
    <s v="Joshua Eilenberger"/>
    <s v="Jobe Christon"/>
    <s v="Completed Job _x000a__x000a_Balanced unit._x000a_Requested by: Josh Eilenburger_x000a_LL Rep: Ray Rodriguez"/>
    <s v="5051035"/>
    <s v="Upstream"/>
    <s v="157970"/>
    <s v="USD"/>
    <n v="1125"/>
    <s v="B2B"/>
    <s v="1"/>
    <s v="NP0008"/>
    <s v="Field Technician"/>
    <s v="Service"/>
    <d v="2025-10-13T14:59:22"/>
    <d v="2025-09-17T15:30:00"/>
    <d v="2025-09-17T18:30:00"/>
    <s v=""/>
    <s v="Holt Ranch 23-8 E 5LS"/>
    <s v=""/>
    <s v=""/>
    <s v=""/>
    <s v=""/>
    <s v=""/>
    <s v=""/>
    <s v=""/>
    <s v=""/>
    <s v=""/>
    <s v=""/>
    <s v=""/>
    <s v=""/>
    <s v=""/>
    <s v=""/>
    <s v=""/>
    <s v=""/>
    <s v=""/>
    <s v=""/>
    <s v=""/>
    <s v=""/>
    <s v=""/>
    <s v=""/>
    <s v="Labor"/>
    <s v=""/>
    <s v=""/>
    <s v=""/>
    <s v="1000651500"/>
    <s v="HOLT RANCH 23-8 E 5LS"/>
    <s v="Upstream"/>
    <s v="1046"/>
    <s v=""/>
    <s v=""/>
    <s v=""/>
    <s v=""/>
    <s v=""/>
    <s v=""/>
    <s v="Other"/>
    <n v="3"/>
    <s v="HR"/>
    <n v="65"/>
    <s v=""/>
    <n v="195"/>
    <s v="--multiple--"/>
    <s v="708256"/>
    <d v="2025-10-13T16:08:07"/>
    <s v=""/>
    <s v=""/>
    <s v=""/>
    <s v=""/>
  </r>
  <r>
    <s v="T-438124"/>
    <s v="Liberty Lift Solutions LLC"/>
    <x v="6"/>
    <s v="Joshua Eilenberger"/>
    <s v="Jobe Christon"/>
    <s v="Completed Job _x000a__x000a_Balanced unit._x000a_Requested by: Josh Eilenburger_x000a_LL Rep: Ray Rodriguez"/>
    <s v="5051035"/>
    <s v="Upstream"/>
    <s v="159806"/>
    <s v="USD"/>
    <n v="1125"/>
    <s v="B2B"/>
    <s v="1"/>
    <s v="NP0008"/>
    <s v="Field Technician"/>
    <s v="Service"/>
    <d v="2025-10-13T15:04:18"/>
    <d v="2025-09-19T15:30:00"/>
    <d v="2025-09-19T18:30:00"/>
    <s v=""/>
    <s v="Holt Ranch 22-9 14LL"/>
    <s v=""/>
    <s v=""/>
    <s v=""/>
    <s v=""/>
    <s v=""/>
    <s v=""/>
    <s v=""/>
    <s v=""/>
    <s v=""/>
    <s v=""/>
    <s v=""/>
    <s v=""/>
    <s v=""/>
    <s v=""/>
    <s v=""/>
    <s v=""/>
    <s v=""/>
    <s v=""/>
    <s v=""/>
    <s v=""/>
    <s v=""/>
    <s v=""/>
    <s v="Labor"/>
    <s v=""/>
    <s v=""/>
    <s v=""/>
    <s v="1000280300"/>
    <s v="HOLT RANCH 22-9 (ALLOC-4NH) 14LL"/>
    <s v="Upstream"/>
    <s v="1046"/>
    <s v=""/>
    <s v=""/>
    <s v=""/>
    <s v=""/>
    <s v=""/>
    <s v=""/>
    <s v="Other"/>
    <n v="3"/>
    <s v="HR"/>
    <n v="65"/>
    <s v=""/>
    <n v="195"/>
    <s v="--multiple--"/>
    <s v="708256"/>
    <d v="2025-10-13T16:23:52"/>
    <s v=""/>
    <s v=""/>
    <s v=""/>
    <s v=""/>
  </r>
  <r>
    <s v="78523"/>
    <s v="Pumping Unit Technologies, LLC"/>
    <x v="0"/>
    <s v="Joshua Eilenberger"/>
    <s v="Jobe Christon"/>
    <s v="Replaced Sheave"/>
    <s v="5051035"/>
    <s v="Upstream"/>
    <s v="162324"/>
    <s v="USD"/>
    <n v="1347.5"/>
    <s v="Direct Entry"/>
    <s v="1"/>
    <s v="SL11998"/>
    <s v="Field Welder"/>
    <s v=""/>
    <d v="2025-09-29T14:37:58"/>
    <d v="2025-09-23T14:00:00"/>
    <d v="2025-09-23T19:30:00"/>
    <s v=""/>
    <s v="Holt Ranch 21-10 #11MM"/>
    <s v=""/>
    <s v=""/>
    <s v=""/>
    <s v=""/>
    <s v=""/>
    <s v=""/>
    <s v=""/>
    <s v=""/>
    <s v=""/>
    <s v=""/>
    <s v=""/>
    <s v=""/>
    <s v=""/>
    <s v=""/>
    <s v=""/>
    <s v=""/>
    <s v=""/>
    <s v=""/>
    <s v=""/>
    <s v=""/>
    <s v=""/>
    <s v=""/>
    <s v="Labor"/>
    <s v=""/>
    <s v=""/>
    <s v=""/>
    <s v="1000310000"/>
    <s v="HOLT RANCH 21-10 (ALLOC-3NH) 11MM"/>
    <s v="Upstream"/>
    <s v="1046"/>
    <s v=""/>
    <s v=""/>
    <s v=""/>
    <s v=""/>
    <s v=""/>
    <s v=""/>
    <s v=""/>
    <n v="5.5"/>
    <s v="HR"/>
    <n v="175"/>
    <s v=""/>
    <n v="962.5"/>
    <s v="--multiple--"/>
    <s v="712963"/>
    <d v="2025-09-29T14:41:12"/>
    <s v=""/>
    <s v=""/>
    <s v=""/>
    <s v=""/>
  </r>
  <r>
    <s v="51119866"/>
    <s v="Lufkin US Acquisition Company LLC"/>
    <x v="3"/>
    <s v="Joshua Eilenberger"/>
    <s v="Jobe Christon"/>
    <s v="PARTS"/>
    <s v="5051035"/>
    <s v="Upstream"/>
    <s v=""/>
    <s v="USD"/>
    <n v="705"/>
    <s v="Direct Entry"/>
    <s v="1"/>
    <s v="062.1001"/>
    <s v="Load Cell 50K"/>
    <s v=""/>
    <d v="2025-10-01T13:39:22"/>
    <d v="2025-09-30T00:00:00"/>
    <d v="2025-09-30T00:00:00"/>
    <s v=""/>
    <s v="TY RANCH WEST 2453WB"/>
    <s v=""/>
    <s v=""/>
    <s v=""/>
    <s v=""/>
    <s v=""/>
    <s v=""/>
    <s v=""/>
    <s v=""/>
    <s v=""/>
    <s v=""/>
    <s v=""/>
    <s v=""/>
    <s v=""/>
    <s v=""/>
    <s v=""/>
    <s v=""/>
    <s v=""/>
    <s v=""/>
    <s v=""/>
    <s v=""/>
    <s v=""/>
    <s v=""/>
    <s v="Material"/>
    <s v=""/>
    <s v=""/>
    <s v=""/>
    <s v="1000237900"/>
    <s v="TY RANCH WEST 2453WB"/>
    <s v="Upstream"/>
    <s v="1046"/>
    <s v=""/>
    <s v=""/>
    <s v=""/>
    <s v=""/>
    <s v=""/>
    <s v=""/>
    <s v=""/>
    <n v="1"/>
    <s v="EA"/>
    <n v="595"/>
    <s v=""/>
    <n v="595"/>
    <s v="--multiple--"/>
    <s v="706723"/>
    <d v="2025-10-01T13:39:56"/>
    <s v=""/>
    <s v=""/>
    <s v=""/>
    <s v=""/>
  </r>
  <r>
    <s v="51119868"/>
    <s v="Lufkin US Acquisition Company LLC"/>
    <x v="3"/>
    <s v="Joshua Eilenberger"/>
    <s v="Jobe Christon"/>
    <s v="Load Cable Coiled 55'"/>
    <s v="5051035"/>
    <s v="Upstream"/>
    <s v=""/>
    <s v="USD"/>
    <n v="455"/>
    <s v="Direct Entry"/>
    <s v="1"/>
    <s v="510.8055"/>
    <s v="Load Cable Coiled 55'"/>
    <s v=""/>
    <d v="2025-10-01T13:49:41"/>
    <d v="2025-09-30T00:00:00"/>
    <d v="2025-09-30T00:00:00"/>
    <s v=""/>
    <s v="JONES - HOLTON 122SH"/>
    <s v=""/>
    <s v=""/>
    <s v=""/>
    <s v=""/>
    <s v=""/>
    <s v=""/>
    <s v=""/>
    <s v=""/>
    <s v=""/>
    <s v=""/>
    <s v=""/>
    <s v=""/>
    <s v=""/>
    <s v=""/>
    <s v=""/>
    <s v=""/>
    <s v=""/>
    <s v=""/>
    <s v=""/>
    <s v=""/>
    <s v=""/>
    <s v=""/>
    <s v="Material"/>
    <s v=""/>
    <s v=""/>
    <s v=""/>
    <s v="1000102300"/>
    <s v="JONES-HOLTON 122SH"/>
    <s v="Upstream"/>
    <s v="1046"/>
    <s v=""/>
    <s v=""/>
    <s v=""/>
    <s v=""/>
    <s v=""/>
    <s v=""/>
    <s v=""/>
    <n v="1"/>
    <s v="PC"/>
    <n v="455"/>
    <s v=""/>
    <n v="455"/>
    <s v="--multiple--"/>
    <s v="706723"/>
    <d v="2025-10-01T13:50:24"/>
    <s v=""/>
    <s v=""/>
    <s v=""/>
    <s v=""/>
  </r>
  <r>
    <s v="301063"/>
    <s v="Cowboy Pump &amp; Supply"/>
    <x v="1"/>
    <s v="Justin Spraglin"/>
    <s v="Jobe Christon"/>
    <s v="PARTS DELIVERED"/>
    <s v="5051049"/>
    <s v="Upstream"/>
    <s v="157816"/>
    <s v="USD"/>
    <n v="4945.8"/>
    <s v="Direct Entry"/>
    <s v="1"/>
    <s v="65-612FMTDBEXX0"/>
    <s v="612 FMT DB PO-D W/TI (EXX)"/>
    <s v="VALVE PARTS AND VALVES"/>
    <d v="2025-10-07T12:59:53"/>
    <d v="2025-09-10T00:00:00"/>
    <d v="2025-09-10T00:00:00"/>
    <s v=""/>
    <s v=""/>
    <s v=""/>
    <s v=""/>
    <s v=""/>
    <s v=""/>
    <s v=""/>
    <s v=""/>
    <s v=""/>
    <s v=""/>
    <s v=""/>
    <s v=""/>
    <s v=""/>
    <s v=""/>
    <s v=""/>
    <s v=""/>
    <s v=""/>
    <s v=""/>
    <s v=""/>
    <s v=""/>
    <s v=""/>
    <s v=""/>
    <s v=""/>
    <s v=""/>
    <s v="Material"/>
    <s v=""/>
    <s v=""/>
    <s v=""/>
    <s v="8000043200"/>
    <s v="KITTA BELLE BATTERY"/>
    <s v="Upstream"/>
    <s v="1046"/>
    <s v=""/>
    <s v=""/>
    <s v=""/>
    <s v=""/>
    <s v=""/>
    <s v=""/>
    <s v=""/>
    <n v="1"/>
    <s v="EA"/>
    <n v="4934.5"/>
    <s v=""/>
    <n v="4934.5"/>
    <s v="E-Maintenance"/>
    <s v="703921"/>
    <d v="2025-10-07T13:01:49"/>
    <s v=""/>
    <s v=""/>
    <s v=""/>
    <s v=""/>
  </r>
  <r>
    <s v="211614"/>
    <s v="Basin Trucking LLC"/>
    <x v="1"/>
    <s v="Justin Spraglin"/>
    <s v="Jobe Christon"/>
    <s v="12&quot; 16 pipe horizontal firetube coating"/>
    <s v="5051049"/>
    <s v="Upstream"/>
    <s v="167433"/>
    <s v="USD"/>
    <n v="1800"/>
    <s v="Direct Entry"/>
    <s v="1"/>
    <s v="12' 16&quot; PIPE HORIZONTAL FIRETUBE COATING"/>
    <s v="12' 16&quot; PIPE HORIZONTAL FIRETUBE COATING"/>
    <s v=""/>
    <d v="2025-10-07T11:23:56"/>
    <d v="2025-09-30T06:00:00"/>
    <d v="2025-09-30T18:00:00"/>
    <s v=""/>
    <s v="JO GREGORY BATTERY"/>
    <s v=""/>
    <s v=""/>
    <s v=""/>
    <s v=""/>
    <s v=""/>
    <s v=""/>
    <s v=""/>
    <s v=""/>
    <s v=""/>
    <s v=""/>
    <s v=""/>
    <s v=""/>
    <s v=""/>
    <s v=""/>
    <s v=""/>
    <s v=""/>
    <s v=""/>
    <s v=""/>
    <s v=""/>
    <s v=""/>
    <s v=""/>
    <s v=""/>
    <s v="Labor"/>
    <s v=""/>
    <s v=""/>
    <s v=""/>
    <s v="8000301100"/>
    <s v="JO GREGORY BATTERY"/>
    <s v="Upstream"/>
    <s v="1046"/>
    <s v=""/>
    <s v=""/>
    <s v=""/>
    <s v=""/>
    <s v=""/>
    <s v=""/>
    <s v=""/>
    <n v="1"/>
    <s v="EA"/>
    <n v="1800"/>
    <s v=""/>
    <n v="1800"/>
    <s v="--multiple--"/>
    <s v="703517"/>
    <d v="2025-10-07T11:26:12"/>
    <s v=""/>
    <s v=""/>
    <s v=""/>
    <s v=""/>
  </r>
  <r>
    <s v="212135"/>
    <s v="Basin Trucking LLC"/>
    <x v="3"/>
    <s v="Justin Spraglin"/>
    <s v="Jobe Christon"/>
    <s v="Picked up the firetube from the yard and delivered to location."/>
    <s v="5051049"/>
    <s v="Upstream"/>
    <s v="167433"/>
    <s v="USD"/>
    <n v="1137.5"/>
    <s v="Direct Entry"/>
    <s v="1"/>
    <s v="3 Man Crew"/>
    <s v="3 Man Crew"/>
    <s v="Roustabout Crew"/>
    <d v="2025-10-09T07:24:49"/>
    <d v="2025-10-01T06:45:00"/>
    <d v="2025-10-01T10:00:00"/>
    <s v=""/>
    <s v="Jo Gregory Battery"/>
    <s v=""/>
    <s v=""/>
    <s v=""/>
    <s v=""/>
    <s v=""/>
    <s v=""/>
    <s v=""/>
    <s v=""/>
    <s v=""/>
    <s v=""/>
    <s v=""/>
    <s v=""/>
    <s v=""/>
    <s v=""/>
    <s v=""/>
    <s v=""/>
    <s v=""/>
    <s v=""/>
    <s v=""/>
    <s v=""/>
    <s v=""/>
    <s v=""/>
    <s v="Labor"/>
    <s v=""/>
    <s v=""/>
    <s v=""/>
    <s v="8000301100"/>
    <s v="JO GREGORY BATTERY"/>
    <s v="Upstream"/>
    <s v="1046"/>
    <s v=""/>
    <s v=""/>
    <s v=""/>
    <s v=""/>
    <s v=""/>
    <s v=""/>
    <s v=""/>
    <n v="3.25"/>
    <s v="HR"/>
    <n v="130"/>
    <s v=""/>
    <n v="422.5"/>
    <s v="--multiple--"/>
    <s v="703517"/>
    <d v="2025-10-09T07:31:53"/>
    <s v=""/>
    <s v=""/>
    <s v=""/>
    <s v=""/>
  </r>
  <r>
    <s v="14056"/>
    <s v="GDL Industrial Electronics"/>
    <x v="8"/>
    <s v="Jimmy Martin"/>
    <s v="Jose Villarreal"/>
    <s v="MATERIAL"/>
    <s v="5051003"/>
    <s v="Upstream"/>
    <s v=""/>
    <s v="USD"/>
    <n v="1118"/>
    <s v="Direct Entry"/>
    <s v="1"/>
    <s v="161117-001"/>
    <s v="17FT FIBERGLASS LADDER"/>
    <s v=""/>
    <d v="2025-10-04T09:29:58"/>
    <d v="2025-10-02T12:00:00"/>
    <d v="2025-10-02T12:00:00"/>
    <s v=""/>
    <s v=""/>
    <s v=""/>
    <s v=""/>
    <s v=""/>
    <s v=""/>
    <s v=""/>
    <s v=""/>
    <s v=""/>
    <s v=""/>
    <s v=""/>
    <s v=""/>
    <s v=""/>
    <s v=""/>
    <s v=""/>
    <s v=""/>
    <s v=""/>
    <s v=""/>
    <s v=""/>
    <s v=""/>
    <s v=""/>
    <s v=""/>
    <s v=""/>
    <s v=""/>
    <s v="Material"/>
    <s v=""/>
    <s v=""/>
    <s v=""/>
    <s v="9100005100"/>
    <s v="FRM RTE-SMITH ERIC"/>
    <s v="Upstream"/>
    <s v="1046"/>
    <s v=""/>
    <s v=""/>
    <s v=""/>
    <s v=""/>
    <s v=""/>
    <s v=""/>
    <s v=""/>
    <n v="0.67"/>
    <s v="EA"/>
    <n v="559"/>
    <s v=""/>
    <n v="372.67"/>
    <s v="--multiple--"/>
    <s v="704121"/>
    <d v="2025-10-04T09:31:41"/>
    <s v=""/>
    <s v=""/>
    <s v=""/>
    <s v=""/>
  </r>
  <r>
    <s v="211619"/>
    <s v="Basin Trucking LLC"/>
    <x v="1"/>
    <s v="Justin Spraglin"/>
    <s v="Jobe Christon"/>
    <s v="Rent out manlift to work on well"/>
    <s v="5051049"/>
    <s v="Upstream"/>
    <s v="168858"/>
    <s v="USD"/>
    <n v="320"/>
    <s v="Direct Entry"/>
    <s v="1"/>
    <s v="10K Forklift"/>
    <s v="10K Forklift"/>
    <s v=""/>
    <d v="2025-10-08T12:08:00"/>
    <d v="2025-10-02T06:00:00"/>
    <d v="2025-10-02T18:00:00"/>
    <s v=""/>
    <s v="BUCK (AK)"/>
    <s v=""/>
    <s v=""/>
    <s v=""/>
    <s v=""/>
    <s v=""/>
    <s v=""/>
    <s v=""/>
    <s v=""/>
    <s v=""/>
    <s v=""/>
    <s v=""/>
    <s v=""/>
    <s v=""/>
    <s v=""/>
    <s v=""/>
    <s v=""/>
    <s v=""/>
    <s v=""/>
    <s v=""/>
    <s v=""/>
    <s v=""/>
    <s v=""/>
    <s v="Equipment"/>
    <s v=""/>
    <s v=""/>
    <s v=""/>
    <s v="1000287900"/>
    <s v="BUCK (AK) 4UL"/>
    <s v="Upstream"/>
    <s v="1046"/>
    <s v=""/>
    <s v=""/>
    <s v=""/>
    <s v=""/>
    <s v=""/>
    <s v=""/>
    <s v=""/>
    <n v="1"/>
    <s v="Day"/>
    <n v="320"/>
    <s v=""/>
    <n v="320"/>
    <s v="--multiple--"/>
    <s v="703517"/>
    <d v="2025-10-08T12:10:08"/>
    <s v=""/>
    <s v=""/>
    <s v=""/>
    <s v=""/>
  </r>
  <r>
    <s v="14052"/>
    <s v="GDL Industrial Electronics"/>
    <x v="8"/>
    <s v="Joel Gaona"/>
    <s v="Jimmy Martin"/>
    <s v="MATERIAL"/>
    <s v="5051003"/>
    <s v="Upstream"/>
    <s v=""/>
    <s v="USD"/>
    <n v="557.28"/>
    <s v="Direct Entry"/>
    <s v="1"/>
    <s v="HGPT6000-SSS-HC-6R01-E1"/>
    <s v="PRESS XMTR 6000psi 4-20mA+HART"/>
    <s v=""/>
    <d v="2025-10-03T15:24:15"/>
    <d v="2025-10-02T12:00:00"/>
    <d v="2025-10-02T12:00:00"/>
    <s v=""/>
    <s v=""/>
    <s v=""/>
    <s v=""/>
    <s v=""/>
    <s v=""/>
    <s v=""/>
    <s v=""/>
    <s v=""/>
    <s v=""/>
    <s v=""/>
    <s v=""/>
    <s v=""/>
    <s v=""/>
    <s v=""/>
    <s v=""/>
    <s v=""/>
    <s v=""/>
    <s v=""/>
    <s v=""/>
    <s v=""/>
    <s v=""/>
    <s v=""/>
    <s v=""/>
    <s v="Material"/>
    <s v=""/>
    <s v=""/>
    <s v=""/>
    <s v="1001629400"/>
    <s v="NE CTY 3547 174"/>
    <s v="Upstream"/>
    <s v="1046"/>
    <s v=""/>
    <s v=""/>
    <s v=""/>
    <s v=""/>
    <s v=""/>
    <s v=""/>
    <s v=""/>
    <n v="1"/>
    <s v="EA"/>
    <n v="557.28"/>
    <s v=""/>
    <n v="557.28"/>
    <s v="--multiple--"/>
    <s v="704121"/>
    <d v="2025-10-03T15:24:51"/>
    <s v=""/>
    <s v=""/>
    <s v=""/>
    <s v=""/>
  </r>
  <r>
    <s v="213702"/>
    <s v="Basin Trucking LLC"/>
    <x v="3"/>
    <s v="Justin Spraglin"/>
    <s v="Jobe Christon"/>
    <s v="Rent out the forklift to work on well"/>
    <s v="5051049"/>
    <s v="Upstream"/>
    <s v="168513"/>
    <s v="USD"/>
    <n v="320"/>
    <s v="Direct Entry"/>
    <s v="1"/>
    <s v="10K Forklift"/>
    <s v="10K Forklift"/>
    <s v=""/>
    <d v="2025-10-10T14:07:16"/>
    <d v="2025-10-05T06:00:00"/>
    <d v="2025-10-05T18:00:00"/>
    <s v=""/>
    <s v="BUCK (AK) 2LA"/>
    <s v=""/>
    <s v=""/>
    <s v=""/>
    <s v=""/>
    <s v=""/>
    <s v=""/>
    <s v=""/>
    <s v=""/>
    <s v=""/>
    <s v=""/>
    <s v=""/>
    <s v=""/>
    <s v=""/>
    <s v=""/>
    <s v=""/>
    <s v=""/>
    <s v=""/>
    <s v=""/>
    <s v=""/>
    <s v=""/>
    <s v=""/>
    <s v=""/>
    <s v="Equipment"/>
    <s v=""/>
    <s v=""/>
    <s v=""/>
    <s v="1000287700"/>
    <s v="BUCK (AK) 2LA"/>
    <s v="Upstream"/>
    <s v="1046"/>
    <s v=""/>
    <s v=""/>
    <s v=""/>
    <s v=""/>
    <s v=""/>
    <s v=""/>
    <s v=""/>
    <n v="1"/>
    <s v="Day"/>
    <n v="320"/>
    <s v=""/>
    <n v="320"/>
    <s v="--multiple--"/>
    <s v="703517"/>
    <d v="2025-10-10T14:14:15"/>
    <s v=""/>
    <s v=""/>
    <s v=""/>
    <s v=""/>
  </r>
  <r>
    <s v="212147"/>
    <s v="Basin Trucking LLC"/>
    <x v="3"/>
    <s v="Justin Spraglin"/>
    <s v="Jobe Christon"/>
    <s v="Continued to cut poly pipe and put on the container"/>
    <s v="5051049"/>
    <s v="Upstream"/>
    <s v="168856"/>
    <s v="USD"/>
    <n v="845"/>
    <s v="Direct Entry"/>
    <s v="1"/>
    <s v="3 Man Crew"/>
    <s v="3 Man Crew"/>
    <s v="Roustabout Crew"/>
    <d v="2025-10-10T13:44:24"/>
    <d v="2025-10-05T06:15:00"/>
    <d v="2025-10-05T12:45:00"/>
    <s v=""/>
    <s v="BUCK (AK) 3LL"/>
    <s v=""/>
    <s v=""/>
    <s v=""/>
    <s v=""/>
    <s v=""/>
    <s v=""/>
    <s v=""/>
    <s v=""/>
    <s v=""/>
    <s v=""/>
    <s v=""/>
    <s v=""/>
    <s v=""/>
    <s v=""/>
    <s v=""/>
    <s v=""/>
    <s v=""/>
    <s v=""/>
    <s v=""/>
    <s v=""/>
    <s v=""/>
    <s v=""/>
    <s v="Labor"/>
    <s v=""/>
    <s v=""/>
    <s v=""/>
    <s v="1000287800"/>
    <s v="BUCK (AK) 3LL"/>
    <s v="Upstream"/>
    <s v="1046"/>
    <s v=""/>
    <s v=""/>
    <s v=""/>
    <s v=""/>
    <s v=""/>
    <s v=""/>
    <s v=""/>
    <n v="6.5"/>
    <s v="HR"/>
    <n v="130"/>
    <s v=""/>
    <n v="845"/>
    <s v="--multiple--"/>
    <s v="703517"/>
    <d v="2025-10-10T13:45:31"/>
    <s v=""/>
    <s v=""/>
    <s v=""/>
    <s v=""/>
  </r>
  <r>
    <s v="212148"/>
    <s v="Basin Trucking LLC"/>
    <x v="3"/>
    <s v="Justin Spraglin"/>
    <s v="Jobe Christon"/>
    <s v="Went to RK to picked up parts and starting to make a thread and put hammer union on both sides made stand for the pipe cut 20' of starkness"/>
    <s v="5051049"/>
    <s v="Upstream"/>
    <s v="168855"/>
    <s v="USD"/>
    <n v="1945"/>
    <s v="Direct Entry"/>
    <s v="1"/>
    <s v="3 Man Crew"/>
    <s v="3 Man Crew"/>
    <s v="Roustabout Crew"/>
    <d v="2025-10-13T09:51:30"/>
    <d v="2025-10-06T06:15:00"/>
    <d v="2025-10-06T18:45:00"/>
    <s v=""/>
    <s v="BUCK (AK) 1LB"/>
    <s v=""/>
    <s v=""/>
    <s v=""/>
    <s v=""/>
    <s v=""/>
    <s v=""/>
    <s v=""/>
    <s v=""/>
    <s v=""/>
    <s v=""/>
    <s v=""/>
    <s v=""/>
    <s v=""/>
    <s v=""/>
    <s v=""/>
    <s v=""/>
    <s v=""/>
    <s v=""/>
    <s v=""/>
    <s v=""/>
    <s v=""/>
    <s v=""/>
    <s v="Labor"/>
    <s v=""/>
    <s v=""/>
    <s v=""/>
    <s v="1000287600"/>
    <s v="BUCK (AK) 1LB"/>
    <s v="Upstream"/>
    <s v="1046"/>
    <s v=""/>
    <s v=""/>
    <s v=""/>
    <s v=""/>
    <s v=""/>
    <s v=""/>
    <s v=""/>
    <n v="12.5"/>
    <s v="HR"/>
    <n v="130"/>
    <s v=""/>
    <n v="1625"/>
    <s v="--multiple--"/>
    <s v="703517"/>
    <d v="2025-10-13T09:52:37"/>
    <s v=""/>
    <s v=""/>
    <s v=""/>
    <s v=""/>
  </r>
  <r>
    <s v="9181"/>
    <s v="Viper Energy Services &amp; Transport, LLC"/>
    <x v="3"/>
    <s v="Nic Scoughton"/>
    <s v="Jobe Christon"/>
    <s v="Maintenance Roustabout - Installed wellhead measured, cut and grooved lengths."/>
    <s v="5051062"/>
    <s v="Upstream"/>
    <s v="171017"/>
    <s v="USD"/>
    <n v="480"/>
    <s v="Direct Entry"/>
    <s v="1"/>
    <s v="R17"/>
    <s v="Roustabout"/>
    <s v="Roustabout"/>
    <d v="2025-10-13T13:42:23"/>
    <d v="2025-10-10T09:00:00"/>
    <d v="2025-10-10T13:00:00"/>
    <s v=""/>
    <s v="CAMPBELL 501H"/>
    <s v=""/>
    <s v=""/>
    <s v=""/>
    <s v=""/>
    <s v=""/>
    <s v=""/>
    <s v=""/>
    <s v=""/>
    <s v=""/>
    <s v=""/>
    <s v=""/>
    <s v=""/>
    <s v=""/>
    <s v=""/>
    <s v=""/>
    <s v=""/>
    <s v=""/>
    <s v=""/>
    <s v=""/>
    <s v=""/>
    <s v=""/>
    <s v=""/>
    <s v="Labor"/>
    <s v=""/>
    <s v=""/>
    <s v=""/>
    <s v="1000046200"/>
    <s v="CAMPBELL 501H"/>
    <s v="Upstream"/>
    <s v="1046"/>
    <s v=""/>
    <s v=""/>
    <s v=""/>
    <s v=""/>
    <s v=""/>
    <s v=""/>
    <s v=""/>
    <n v="4"/>
    <s v="HR"/>
    <n v="120"/>
    <s v=""/>
    <n v="480"/>
    <s v="--multiple--"/>
    <s v="712296"/>
    <d v="2025-10-13T13:44:30"/>
    <s v=""/>
    <s v=""/>
    <s v=""/>
    <s v=""/>
  </r>
  <r>
    <s v="10829"/>
    <s v="Viper Energy Services &amp; Transport, LLC"/>
    <x v="3"/>
    <s v="Nic Scoughton"/>
    <s v="Jobe Christon"/>
    <s v="Maintenance Roustabout - Installed well head cut and transferred riser."/>
    <s v="5051062"/>
    <s v="Upstream"/>
    <s v="171014"/>
    <s v="USD"/>
    <n v="510"/>
    <s v="Direct Entry"/>
    <s v="1"/>
    <s v="R17"/>
    <s v="Roustabout"/>
    <s v="Roustabout"/>
    <d v="2025-10-13T13:46:41"/>
    <d v="2025-10-10T13:00:00"/>
    <d v="2025-10-10T17:15:00"/>
    <s v=""/>
    <s v="CAMPBELL 101H"/>
    <s v=""/>
    <s v=""/>
    <s v=""/>
    <s v=""/>
    <s v=""/>
    <s v=""/>
    <s v=""/>
    <s v=""/>
    <s v=""/>
    <s v=""/>
    <s v=""/>
    <s v=""/>
    <s v=""/>
    <s v=""/>
    <s v=""/>
    <s v=""/>
    <s v=""/>
    <s v=""/>
    <s v=""/>
    <s v=""/>
    <s v=""/>
    <s v=""/>
    <s v="Labor"/>
    <s v=""/>
    <s v=""/>
    <s v=""/>
    <s v="1000046100"/>
    <s v="CAMPBELL 101H"/>
    <s v="Upstream"/>
    <s v="1046"/>
    <s v=""/>
    <s v=""/>
    <s v=""/>
    <s v=""/>
    <s v=""/>
    <s v=""/>
    <s v=""/>
    <n v="4.25"/>
    <s v="HR"/>
    <n v="120"/>
    <s v=""/>
    <n v="510"/>
    <s v="--multiple--"/>
    <s v="712296"/>
    <d v="2025-10-13T13:48:47"/>
    <s v=""/>
    <s v=""/>
    <s v=""/>
    <s v=""/>
  </r>
  <r>
    <s v="MD2609472"/>
    <s v="Jet Specialty Inc"/>
    <x v="1"/>
    <s v="Richard Garcia"/>
    <s v="Jobe Christon"/>
    <s v="LEASE: KITTA BELLE 502H; BUYER: RICHARD GARCIA, KEVIN PEREZ; PO: WO# 156075R"/>
    <s v="5051049"/>
    <s v="Upstream"/>
    <s v="156075"/>
    <s v="USD"/>
    <n v="168.53"/>
    <s v="API"/>
    <s v="1"/>
    <s v="NS660"/>
    <s v="1&quot; 2000# WOG 316SS RFTE 3PC FP BV"/>
    <s v=""/>
    <d v="2025-10-07T13:40:26"/>
    <d v="2025-09-04T00:00:00"/>
    <d v="2025-09-04T00:00:00"/>
    <s v=""/>
    <s v=""/>
    <s v=""/>
    <s v=""/>
    <s v=""/>
    <s v=""/>
    <s v=""/>
    <s v=""/>
    <s v=""/>
    <s v=""/>
    <s v=""/>
    <s v=""/>
    <s v=""/>
    <s v=""/>
    <s v=""/>
    <s v=""/>
    <s v=""/>
    <s v=""/>
    <s v=""/>
    <s v=""/>
    <s v=""/>
    <s v=""/>
    <s v=""/>
    <s v=""/>
    <s v="Material"/>
    <s v=""/>
    <s v=""/>
    <s v=""/>
    <s v="1000117600"/>
    <s v="KITTA BELLE 502H"/>
    <s v="Upstream"/>
    <s v="1046"/>
    <s v=""/>
    <s v=""/>
    <s v=""/>
    <s v=""/>
    <s v=""/>
    <s v=""/>
    <s v=""/>
    <n v="1"/>
    <s v="each"/>
    <n v="168.53"/>
    <s v=""/>
    <n v="168.53"/>
    <s v="--multiple--"/>
    <s v="708023"/>
    <d v="2025-10-07T13:44:54"/>
    <s v=""/>
    <s v=""/>
    <s v=""/>
    <s v=""/>
  </r>
  <r>
    <s v="MD2609072"/>
    <s v="Jet Specialty Inc"/>
    <x v="1"/>
    <s v="Richard Garcia"/>
    <s v="Jobe Christon"/>
    <s v="LEASE: HOLT RANCH SOUTH; BUYER: RICHARD GARCIA/ DENY ELIZONDO; PO: WK# 151384R"/>
    <s v="5051049"/>
    <s v="Upstream"/>
    <s v="151384"/>
    <s v="USD"/>
    <n v="1217.1600000000001"/>
    <s v="API"/>
    <s v="1"/>
    <s v="560078"/>
    <s v="60&quot; BLUE ANODE"/>
    <s v="Misc"/>
    <d v="2025-10-07T13:40:24"/>
    <d v="2025-09-08T00:00:00"/>
    <d v="2025-09-08T00:00:00"/>
    <s v=""/>
    <s v=""/>
    <s v=""/>
    <s v=""/>
    <s v=""/>
    <s v=""/>
    <s v=""/>
    <s v=""/>
    <s v=""/>
    <s v=""/>
    <s v=""/>
    <s v=""/>
    <s v=""/>
    <s v=""/>
    <s v=""/>
    <s v=""/>
    <s v=""/>
    <s v=""/>
    <s v=""/>
    <s v=""/>
    <s v=""/>
    <s v=""/>
    <s v=""/>
    <s v=""/>
    <s v="Material"/>
    <s v=""/>
    <s v=""/>
    <s v=""/>
    <s v="8000133600"/>
    <s v="HOLT RANCH SOUTH BATTERY"/>
    <s v="Upstream"/>
    <s v="1046"/>
    <s v=""/>
    <s v=""/>
    <s v=""/>
    <s v=""/>
    <s v=""/>
    <s v=""/>
    <s v=""/>
    <n v="4"/>
    <s v="each"/>
    <n v="304.29000000000002"/>
    <s v=""/>
    <n v="1217.1600000000001"/>
    <s v="--multiple--"/>
    <s v="708023"/>
    <d v="2025-10-07T13:44:06"/>
    <s v=""/>
    <s v=""/>
    <s v=""/>
    <s v=""/>
  </r>
  <r>
    <s v="5-117171"/>
    <s v="RK Supply"/>
    <x v="1"/>
    <s v="Richard Garcia"/>
    <s v="Jobe Christon"/>
    <s v="Oilfield Parts and Supplies"/>
    <s v="5051049"/>
    <s v="Upstream"/>
    <s v="166480"/>
    <s v="USD"/>
    <n v="143.78"/>
    <s v="B2B"/>
    <s v="1"/>
    <s v="49821"/>
    <s v="4 FUNKLOK 2500# STYLE 88-ES RIGID GROOVED COUPLING"/>
    <s v="Fitting:Grooved"/>
    <d v="2025-10-04T18:55:11"/>
    <d v="2025-09-26T00:00:00"/>
    <d v="2025-09-26T00:00:00"/>
    <s v=""/>
    <s v="HOLT RANCH SOUTH BATTERY**049**"/>
    <s v=""/>
    <s v=""/>
    <s v=""/>
    <s v=""/>
    <s v=""/>
    <s v=""/>
    <s v=""/>
    <s v=""/>
    <s v=""/>
    <s v=""/>
    <s v=""/>
    <s v=""/>
    <s v=""/>
    <s v=""/>
    <s v=""/>
    <s v=""/>
    <s v=""/>
    <s v=""/>
    <s v=""/>
    <s v=""/>
    <s v=""/>
    <s v=""/>
    <s v="Material"/>
    <s v=""/>
    <s v=""/>
    <s v=""/>
    <s v="8000133600"/>
    <s v="HOLT RANCH SOUTH BATTERY"/>
    <s v="Upstream"/>
    <s v="1046"/>
    <s v=""/>
    <s v=""/>
    <s v=""/>
    <s v=""/>
    <s v=""/>
    <s v=""/>
    <s v=""/>
    <n v="4"/>
    <s v="EA"/>
    <n v="31.5"/>
    <s v=""/>
    <n v="126"/>
    <s v="--multiple--"/>
    <s v="709232"/>
    <d v="2025-10-07T13:37:55"/>
    <s v=""/>
    <s v=""/>
    <s v=""/>
    <s v=""/>
  </r>
  <r>
    <s v="5-117260"/>
    <s v="RK Supply"/>
    <x v="3"/>
    <s v="Richard Garcia"/>
    <s v="Jobe Christon"/>
    <s v="Oilfield Parts and Supplies"/>
    <s v="5051028"/>
    <s v="Upstream"/>
    <s v="167631"/>
    <s v="USD"/>
    <n v="432.07"/>
    <s v="B2B"/>
    <s v="1"/>
    <s v="27827"/>
    <s v="2 ADJUSTABLE CHOKE (1&quot; TRIM)"/>
    <s v="WELL HEAD CONN"/>
    <d v="2025-10-12T17:13:04"/>
    <d v="2025-09-29T12:00:00"/>
    <d v="2025-09-29T12:00:00"/>
    <s v=""/>
    <s v="CAMPBELL 11**028**"/>
    <s v=""/>
    <s v=""/>
    <s v=""/>
    <s v=""/>
    <s v=""/>
    <s v=""/>
    <s v=""/>
    <s v=""/>
    <s v=""/>
    <s v=""/>
    <s v=""/>
    <s v=""/>
    <s v=""/>
    <s v=""/>
    <s v=""/>
    <s v=""/>
    <s v=""/>
    <s v=""/>
    <s v=""/>
    <s v=""/>
    <s v=""/>
    <s v=""/>
    <s v="Material"/>
    <s v=""/>
    <s v=""/>
    <s v=""/>
    <s v="1000016500"/>
    <s v="CAMPBELL 11"/>
    <s v="Upstream"/>
    <s v="1046"/>
    <s v=""/>
    <s v=""/>
    <s v=""/>
    <s v=""/>
    <s v=""/>
    <s v=""/>
    <s v=""/>
    <n v="1"/>
    <s v="EA"/>
    <n v="407.15"/>
    <s v=""/>
    <n v="407.15"/>
    <s v="--multiple--"/>
    <s v="709232"/>
    <d v="2025-10-13T10:01:55"/>
    <s v=""/>
    <s v=""/>
    <s v=""/>
    <s v=""/>
  </r>
  <r>
    <s v="G5836110"/>
    <s v="Montero Energy Services LLC"/>
    <x v="5"/>
    <s v="Richard Garcia"/>
    <s v="Jobe Christon"/>
    <s v="Production-Roustabout 3 man-The crew replaced the tester 4&quot; water dump."/>
    <s v="5051049"/>
    <s v="Upstream"/>
    <s v="167230"/>
    <s v="USD"/>
    <n v="595"/>
    <s v="API"/>
    <s v="1"/>
    <s v="100007"/>
    <s v="Three man crew with roustabout truck"/>
    <s v="Roustabout Crew"/>
    <d v="2025-10-08T06:58:25"/>
    <d v="2025-09-30T06:18:00"/>
    <d v="2025-09-30T11:04:00"/>
    <s v=""/>
    <s v="Guardian H Battery"/>
    <s v=""/>
    <s v="Guardian H Battery"/>
    <s v=""/>
    <s v=""/>
    <s v=""/>
    <s v=""/>
    <s v=""/>
    <s v=""/>
    <s v=""/>
    <s v=""/>
    <s v=""/>
    <s v=""/>
    <s v=""/>
    <s v=""/>
    <s v=""/>
    <s v=""/>
    <s v=""/>
    <s v=""/>
    <s v=""/>
    <s v=""/>
    <s v=""/>
    <s v=""/>
    <s v="Labor"/>
    <s v="Perez, Fermin"/>
    <s v=""/>
    <s v=""/>
    <s v="8000301200"/>
    <s v="GUARDIAN H BATTERY"/>
    <s v="Upstream"/>
    <s v="1046"/>
    <s v=""/>
    <s v=""/>
    <s v=""/>
    <s v=""/>
    <s v=""/>
    <s v=""/>
    <s v=""/>
    <n v="4.76"/>
    <s v="HR"/>
    <n v="125"/>
    <s v=""/>
    <n v="595"/>
    <s v="--multiple--"/>
    <s v="706718"/>
    <d v="2025-10-08T08:00:18"/>
    <s v=""/>
    <s v=""/>
    <s v=""/>
    <s v=""/>
  </r>
  <r>
    <s v="5-117283"/>
    <s v="RK Supply"/>
    <x v="3"/>
    <s v="Richard Garcia"/>
    <s v="Jobe Christon"/>
    <s v="Oilfield Parts and Supplies"/>
    <s v="5051028"/>
    <s v="Upstream"/>
    <s v="167626"/>
    <s v="USD"/>
    <n v="631.98"/>
    <s v="B2B"/>
    <s v="1"/>
    <s v="32020"/>
    <s v="2 5000 RP CS/CS THREADED BODY BALON THREADED END BALL VALVE (2R-S5M-SE)"/>
    <s v="Valves"/>
    <d v="2025-10-12T17:13:41"/>
    <d v="2025-09-30T12:00:00"/>
    <d v="2025-09-30T12:00:00"/>
    <s v=""/>
    <s v="CAMPBELL 101H**028**"/>
    <s v=""/>
    <s v=""/>
    <s v=""/>
    <s v=""/>
    <s v=""/>
    <s v=""/>
    <s v=""/>
    <s v=""/>
    <s v=""/>
    <s v=""/>
    <s v=""/>
    <s v=""/>
    <s v=""/>
    <s v=""/>
    <s v=""/>
    <s v=""/>
    <s v=""/>
    <s v=""/>
    <s v=""/>
    <s v=""/>
    <s v=""/>
    <s v=""/>
    <s v="Material"/>
    <s v=""/>
    <s v=""/>
    <s v=""/>
    <s v="1000046100"/>
    <s v="CAMPBELL 101H"/>
    <s v="Upstream"/>
    <s v="1046"/>
    <s v=""/>
    <s v=""/>
    <s v=""/>
    <s v=""/>
    <s v=""/>
    <s v=""/>
    <s v=""/>
    <n v="2"/>
    <s v="EA"/>
    <n v="187.5"/>
    <s v=""/>
    <n v="375"/>
    <s v="--multiple--"/>
    <s v="709232"/>
    <d v="2025-10-13T10:19:06"/>
    <s v=""/>
    <s v=""/>
    <s v=""/>
    <s v=""/>
  </r>
  <r>
    <s v="G5857092"/>
    <s v="Montero Energy Services LLC"/>
    <x v="4"/>
    <s v="Richard Garcia"/>
    <s v="Jobe Christon"/>
    <s v="Production-Roustabout 3 man-The crew pressure washed the portable tester and disconnected from the Guardian H Battery."/>
    <s v="5051049"/>
    <s v="Upstream"/>
    <s v="168438"/>
    <s v="USD"/>
    <n v="2303.75"/>
    <s v="API"/>
    <s v="1"/>
    <s v="100007"/>
    <s v="Three man crew with roustabout truck"/>
    <s v="Roustabout Crew"/>
    <d v="2025-10-07T12:13:04"/>
    <d v="2025-10-03T06:13:00"/>
    <d v="2025-10-03T21:10:00"/>
    <s v=""/>
    <s v="YOUNG FAYE BATTERY"/>
    <s v=""/>
    <s v="YOUNG FAYE BATTERY"/>
    <s v=""/>
    <s v=""/>
    <s v=""/>
    <s v=""/>
    <s v=""/>
    <s v=""/>
    <s v=""/>
    <s v=""/>
    <s v=""/>
    <s v=""/>
    <s v=""/>
    <s v=""/>
    <s v=""/>
    <s v=""/>
    <s v=""/>
    <s v=""/>
    <s v=""/>
    <s v=""/>
    <s v=""/>
    <s v=""/>
    <s v="Labor"/>
    <s v="Perez, Fermin"/>
    <s v=""/>
    <s v=""/>
    <s v="8000312700"/>
    <s v="YOUNG FAYE BATTERY"/>
    <s v="Upstream"/>
    <s v="1046"/>
    <s v=""/>
    <s v=""/>
    <s v=""/>
    <s v=""/>
    <s v=""/>
    <s v=""/>
    <s v=""/>
    <n v="14.95"/>
    <s v="HR"/>
    <n v="125"/>
    <s v=""/>
    <n v="1868.75"/>
    <s v="--multiple--"/>
    <s v="706718"/>
    <d v="2025-10-10T08:58:04"/>
    <s v=""/>
    <s v=""/>
    <s v="Attachment Issue"/>
    <s v=""/>
  </r>
  <r>
    <s v="G5726014"/>
    <s v="NLP Enterprises, LLC"/>
    <x v="6"/>
    <s v="Thomas Ramos"/>
    <s v="Jobe Christon"/>
    <s v="Drove to location and we empty the tester with the help of the suction trick and change the one inch nipple and hammer union in the gas line and change the 3 inch go and tee in the water line."/>
    <s v="5051049"/>
    <s v="Upstream"/>
    <s v="158870"/>
    <s v="USD"/>
    <n v="776.25"/>
    <s v="API"/>
    <s v="1"/>
    <s v="D3"/>
    <s v="Production-Pusher and 2 Hands"/>
    <s v=""/>
    <d v="2025-09-29T10:04:23"/>
    <d v="2025-09-15T09:15:00"/>
    <d v="2025-09-15T15:00:00"/>
    <s v=""/>
    <s v="KATHRYN IDA UNIT"/>
    <s v=""/>
    <s v="KATHRYN IDA UNIT"/>
    <s v=""/>
    <s v=""/>
    <s v=""/>
    <s v=""/>
    <s v=""/>
    <s v=""/>
    <s v=""/>
    <s v=""/>
    <s v=""/>
    <s v=""/>
    <s v=""/>
    <s v=""/>
    <s v=""/>
    <s v=""/>
    <s v=""/>
    <s v=""/>
    <s v=""/>
    <s v=""/>
    <s v=""/>
    <s v=""/>
    <s v="Labor"/>
    <s v="Soto, Juan"/>
    <s v=""/>
    <s v=""/>
    <s v="8000043000"/>
    <s v="KATHRYN IDA UNIT"/>
    <s v="Upstream"/>
    <s v="1046"/>
    <s v=""/>
    <s v=""/>
    <s v=""/>
    <s v=""/>
    <s v=""/>
    <s v=""/>
    <s v=""/>
    <n v="5.75"/>
    <s v="HR"/>
    <n v="135"/>
    <s v=""/>
    <n v="776.25"/>
    <s v="--multiple--"/>
    <s v="700289"/>
    <d v="2025-10-13T15:55:57"/>
    <s v=""/>
    <s v=""/>
    <s v=""/>
    <s v=""/>
  </r>
  <r>
    <s v="5-117119"/>
    <s v="RK Supply"/>
    <x v="3"/>
    <s v="Thomas Ramos"/>
    <s v="Jobe Christon"/>
    <s v="Oilfield Parts and Supplies"/>
    <s v="5051028"/>
    <s v="Upstream"/>
    <s v="165899"/>
    <s v="USD"/>
    <n v="633.4"/>
    <s v="B2B"/>
    <s v="1"/>
    <s v="24722"/>
    <s v="4 150 FP CS/SS BALON FLANGED END CHECK VALVE NACE (4F-C13S-RF)"/>
    <s v="Valves"/>
    <d v="2025-10-04T18:55:47"/>
    <d v="2025-09-24T00:00:00"/>
    <d v="2025-09-24T00:00:00"/>
    <s v=""/>
    <s v="BUCK (AK) 1LB**028**"/>
    <s v=""/>
    <s v=""/>
    <s v=""/>
    <s v=""/>
    <s v=""/>
    <s v=""/>
    <s v=""/>
    <s v=""/>
    <s v=""/>
    <s v=""/>
    <s v=""/>
    <s v=""/>
    <s v=""/>
    <s v=""/>
    <s v=""/>
    <s v=""/>
    <s v=""/>
    <s v=""/>
    <s v=""/>
    <s v=""/>
    <s v=""/>
    <s v=""/>
    <s v="Material"/>
    <s v=""/>
    <s v=""/>
    <s v=""/>
    <s v="1000287600"/>
    <s v="BUCK (AK) 1LB"/>
    <s v="Upstream"/>
    <s v="1046"/>
    <s v=""/>
    <s v=""/>
    <s v=""/>
    <s v=""/>
    <s v=""/>
    <s v=""/>
    <s v=""/>
    <n v="1"/>
    <s v="EA"/>
    <n v="600"/>
    <s v=""/>
    <n v="600"/>
    <s v="--multiple--"/>
    <s v="709232"/>
    <d v="2025-10-11T09:45:10"/>
    <s v=""/>
    <s v=""/>
    <s v=""/>
    <s v=""/>
  </r>
  <r>
    <s v="252611"/>
    <s v="NLP Enterprises, LLC"/>
    <x v="6"/>
    <s v="Thomas Ramos"/>
    <s v="Jobe Christon"/>
    <s v="Drove to location and we changed the water dump in a tester"/>
    <s v="5051049"/>
    <s v="Upstream"/>
    <s v="167262"/>
    <s v="USD"/>
    <n v="405"/>
    <s v="Direct Entry"/>
    <s v="1"/>
    <s v="D3"/>
    <s v="Diamondback- Pusher and 2 Hands w/ Truck"/>
    <s v=""/>
    <d v="2025-10-13T14:45:47"/>
    <d v="2025-09-30T13:00:00"/>
    <d v="2025-09-30T16:00:00"/>
    <s v=""/>
    <s v=""/>
    <s v=""/>
    <s v=""/>
    <s v=""/>
    <s v=""/>
    <s v=""/>
    <s v=""/>
    <s v=""/>
    <s v=""/>
    <s v=""/>
    <s v=""/>
    <s v=""/>
    <s v=""/>
    <s v=""/>
    <s v=""/>
    <s v=""/>
    <s v=""/>
    <s v=""/>
    <s v=""/>
    <s v=""/>
    <s v=""/>
    <s v=""/>
    <s v=""/>
    <s v="Labor"/>
    <s v=""/>
    <s v=""/>
    <s v=""/>
    <s v="8000043200"/>
    <s v="KITTA BELLE BATTERY"/>
    <s v="Upstream"/>
    <s v="1046"/>
    <s v=""/>
    <s v=""/>
    <s v=""/>
    <s v=""/>
    <s v=""/>
    <s v=""/>
    <s v=""/>
    <n v="3"/>
    <s v="HR"/>
    <n v="135"/>
    <s v=""/>
    <n v="405"/>
    <s v="--multiple--"/>
    <s v="700289"/>
    <d v="2025-10-13T14:48:32"/>
    <s v=""/>
    <s v=""/>
    <s v=""/>
    <s v=""/>
  </r>
  <r>
    <s v="G5851349"/>
    <s v="NLP Enterprises, LLC"/>
    <x v="3"/>
    <s v="Thomas Ramos"/>
    <s v="Jobe Christon"/>
    <s v="Drove to location and we changed the 2&quot; valve in the casing."/>
    <s v="5051062"/>
    <s v="Upstream"/>
    <s v="169128"/>
    <s v="USD"/>
    <n v="270"/>
    <s v="API"/>
    <s v="1"/>
    <s v="D3"/>
    <s v="Production-Pusher and 2 Hands"/>
    <s v=""/>
    <d v="2025-10-10T13:34:34"/>
    <d v="2025-10-02T09:00:00"/>
    <d v="2025-10-02T11:00:00"/>
    <s v=""/>
    <s v=""/>
    <s v=""/>
    <s v="BUCK (AK) 1LB/2LA/3LL/4UL (4WP)"/>
    <s v=""/>
    <s v=""/>
    <s v=""/>
    <s v=""/>
    <s v=""/>
    <s v=""/>
    <s v=""/>
    <s v=""/>
    <s v=""/>
    <s v=""/>
    <s v=""/>
    <s v=""/>
    <s v=""/>
    <s v=""/>
    <s v=""/>
    <s v=""/>
    <s v=""/>
    <s v=""/>
    <s v=""/>
    <s v=""/>
    <s v="Labor"/>
    <s v="Soto, Juan"/>
    <s v=""/>
    <s v=""/>
    <s v="1000287900"/>
    <s v="BUCK (AK) 4UL"/>
    <s v="Upstream"/>
    <s v="1046"/>
    <s v=""/>
    <s v=""/>
    <s v=""/>
    <s v=""/>
    <s v=""/>
    <s v=""/>
    <s v=""/>
    <n v="2"/>
    <s v="HR"/>
    <n v="135"/>
    <s v=""/>
    <n v="270"/>
    <s v="--multiple--"/>
    <s v="700289"/>
    <d v="2025-10-13T14:52:03"/>
    <s v=""/>
    <s v=""/>
    <s v=""/>
    <s v=""/>
  </r>
  <r>
    <s v="G5852081"/>
    <s v="NLP Enterprises, LLC"/>
    <x v="6"/>
    <s v="Thomas Ramos"/>
    <s v="Jobe Christon"/>
    <s v="Drove to location and we replaced the 4 inch line on the water transfer pump and washed the lines."/>
    <s v="5051049"/>
    <s v="Upstream"/>
    <s v="169127"/>
    <s v="USD"/>
    <n v="1245"/>
    <s v="API"/>
    <s v="1"/>
    <s v="D3"/>
    <s v="Production-Pusher and 2 Hands"/>
    <s v=""/>
    <d v="2025-10-10T13:34:55"/>
    <d v="2025-10-02T11:00:00"/>
    <d v="2025-10-02T18:00:00"/>
    <s v=""/>
    <s v="JONES HOLTON 210H"/>
    <s v=""/>
    <s v="Jones-holton 10"/>
    <s v=""/>
    <s v=""/>
    <s v=""/>
    <s v=""/>
    <s v=""/>
    <s v=""/>
    <s v=""/>
    <s v=""/>
    <s v=""/>
    <s v=""/>
    <s v=""/>
    <s v=""/>
    <s v=""/>
    <s v=""/>
    <s v=""/>
    <s v=""/>
    <s v=""/>
    <s v=""/>
    <s v=""/>
    <s v=""/>
    <s v="Labor"/>
    <s v="Soto, Juan"/>
    <s v=""/>
    <s v=""/>
    <s v="1000106100"/>
    <s v="JONES HOLTON 210H"/>
    <s v="Upstream"/>
    <s v="1046"/>
    <s v=""/>
    <s v=""/>
    <s v=""/>
    <s v=""/>
    <s v=""/>
    <s v=""/>
    <s v=""/>
    <n v="7"/>
    <s v="HR"/>
    <n v="135"/>
    <s v=""/>
    <n v="945"/>
    <s v="--multiple--"/>
    <s v="700289"/>
    <d v="2025-10-13T15:31:12"/>
    <s v=""/>
    <s v=""/>
    <s v=""/>
    <s v=""/>
  </r>
  <r>
    <s v="T-86216"/>
    <s v="ACH Services, LLC"/>
    <x v="2"/>
    <s v="Jesus Rodriguez"/>
    <s v="Justin Rodriguez"/>
    <s v="Drove to location to haul chemicals to disposal then washed out."/>
    <s v="5051054"/>
    <s v="Upstream"/>
    <s v="169419"/>
    <s v="USD"/>
    <n v="1359"/>
    <s v="Direct Entry"/>
    <s v="1"/>
    <s v="Vacuum Truck"/>
    <s v="Vacuum Truck"/>
    <s v="Vacuum Truck Services"/>
    <d v="2025-10-07T13:57:46"/>
    <d v="2025-10-03T04:30:00"/>
    <d v="2025-10-03T16:00:00"/>
    <d v="1899-12-30T11:30:00"/>
    <s v="RIO LAVACA SAN GABRIEL BATTERY"/>
    <s v=""/>
    <s v=""/>
    <s v="-"/>
    <s v=""/>
    <s v=""/>
    <s v=""/>
    <s v=""/>
    <s v=""/>
    <s v=""/>
    <s v=""/>
    <s v=""/>
    <s v=""/>
    <s v=""/>
    <s v=""/>
    <s v=""/>
    <s v=""/>
    <s v=""/>
    <s v=""/>
    <s v=""/>
    <s v=""/>
    <n v="0"/>
    <s v="bbl"/>
    <s v=""/>
    <s v=""/>
    <s v=""/>
    <s v=""/>
    <s v="8300146400"/>
    <s v="RIO LAVACA SAN GABRIEL BATTERY"/>
    <s v="Upstream"/>
    <s v="1046"/>
    <s v=""/>
    <s v=""/>
    <s v=""/>
    <s v=""/>
    <s v=""/>
    <s v=""/>
    <s v="Hours Worked"/>
    <n v="11.5"/>
    <s v="hour"/>
    <n v="90"/>
    <s v=""/>
    <n v="1035"/>
    <s v="Pricebook"/>
    <s v="712932"/>
    <d v="2025-10-07T14:07:02"/>
    <s v=""/>
    <s v=""/>
    <s v=""/>
    <s v=""/>
  </r>
  <r>
    <s v="91109"/>
    <s v="BLS Electrical, Inc."/>
    <x v="5"/>
    <s v="Joey Heredia"/>
    <s v="Gus Levario"/>
    <s v="Diamondback_x000a_Marie A 10BU_x000a_GPS: 32.3258103, -101.9833260_x000a_Work Time: 11:30am-1:30pm_x000a_Truck:542_x000a_LOE:Upstream_x000a_GL:5051043_x000a__x000a_Gus Levario asked me to do go to this location for a PT not working. The Screen on the PT was blank so I checked voltage with my meter. I was getting Voltage so that told me the PT was bad. I opened the fuse on the terminal block in the Panel. Then I took off the wires attached to the PT, I took off the straight flex fitting. I then closed the ball valves so I could and did take the PT off. I tefloned the new PT and screwed it on. I put the flex on it then landed the wires. I pushed back in the fuse and made sure I was getting values."/>
    <s v="5051003"/>
    <s v="Upstream"/>
    <s v=""/>
    <s v="USD"/>
    <n v="890.94"/>
    <s v="API"/>
    <s v="1"/>
    <s v="Automation Tech 2"/>
    <s v="Automation Tech 2"/>
    <s v=""/>
    <d v="2025-07-25T10:25:09"/>
    <d v="2025-06-30T11:30:00"/>
    <d v="2025-06-30T13:30:00"/>
    <s v=""/>
    <s v="Marie A 10BU"/>
    <s v=""/>
    <s v=""/>
    <s v=""/>
    <s v=""/>
    <s v=""/>
    <s v=""/>
    <s v=""/>
    <s v=""/>
    <s v=""/>
    <s v=""/>
    <s v=""/>
    <s v=""/>
    <s v=""/>
    <s v=""/>
    <s v=""/>
    <s v=""/>
    <s v=""/>
    <s v=""/>
    <s v=""/>
    <s v=""/>
    <s v=""/>
    <s v=""/>
    <s v="Labor"/>
    <s v=""/>
    <s v=""/>
    <s v=""/>
    <s v="1000356700"/>
    <s v="MARIE A 10BU"/>
    <s v="Upstream"/>
    <s v="1046"/>
    <s v=""/>
    <s v=""/>
    <s v=""/>
    <s v=""/>
    <s v=""/>
    <s v=""/>
    <s v=""/>
    <n v="1.55"/>
    <s v="hour"/>
    <n v="75"/>
    <s v=""/>
    <n v="116.33"/>
    <s v="--multiple--"/>
    <s v="710565"/>
    <d v="2025-10-14T08:36:47"/>
    <s v=""/>
    <s v=""/>
    <s v="Validation Overlapping Hours | Validation Overlapping Hours | Validation Overlapping Hours"/>
    <s v=""/>
  </r>
  <r>
    <s v="250811071"/>
    <s v="Range Technical Services LLC"/>
    <x v="5"/>
    <s v="Joey Heredia"/>
    <s v="Gus Levario"/>
    <s v="Service Call"/>
    <s v="5051044"/>
    <s v="Upstream"/>
    <s v=""/>
    <s v="USD"/>
    <n v="621"/>
    <s v="Direct Entry"/>
    <s v="1"/>
    <s v="AT1"/>
    <s v="Automation / Instrument Technician I - Day Rate"/>
    <s v=""/>
    <d v="2025-10-13T09:05:10"/>
    <d v="2025-09-11T00:00:00"/>
    <d v="2025-09-11T00:00:00"/>
    <s v=""/>
    <s v=""/>
    <s v=""/>
    <s v=""/>
    <s v=""/>
    <s v=""/>
    <s v=""/>
    <s v=""/>
    <s v=""/>
    <s v=""/>
    <s v=""/>
    <s v=""/>
    <s v=""/>
    <s v=""/>
    <s v=""/>
    <s v=""/>
    <s v=""/>
    <s v=""/>
    <s v=""/>
    <s v=""/>
    <s v=""/>
    <s v=""/>
    <s v=""/>
    <s v=""/>
    <s v="Labor"/>
    <s v=""/>
    <s v=""/>
    <s v=""/>
    <s v="1001384800"/>
    <s v="WOODY 6-35 1 212"/>
    <s v="Upstream"/>
    <s v="1046"/>
    <s v=""/>
    <s v=""/>
    <s v=""/>
    <s v=""/>
    <s v=""/>
    <s v=""/>
    <s v=""/>
    <n v="1"/>
    <s v="Day"/>
    <n v="621"/>
    <s v=""/>
    <n v="621"/>
    <s v=""/>
    <s v="713690"/>
    <d v="2025-10-13T09:08:24"/>
    <s v=""/>
    <s v=""/>
    <s v=""/>
    <s v=""/>
  </r>
  <r>
    <s v="25093553"/>
    <s v="Lone Star Instrumentation &amp; Electric Corp"/>
    <x v="1"/>
    <s v="Joey Heredia"/>
    <s v="Gus Levario"/>
    <s v="WORK DESCRIPTION:Upon arrival at the location, a Job Safety Analysis (JSA) was completed and a_x000d__x000a_tailgate meeting was conducted to review the job task and reinforce safety protocols. The thermocouple wire was de-terminated from both the fire tube and the BMS. Zip ties securing the wire were cut, and the wire was isolated and moved safely out of the way. Upon completion, the work area was cleaned and all trash was collected and disposed of safely and efficiently."/>
    <s v="5051044"/>
    <s v="Upstream"/>
    <s v=""/>
    <s v="USD"/>
    <n v="510"/>
    <s v="B2B"/>
    <s v="1"/>
    <s v=""/>
    <s v="TECHNICIAN III"/>
    <s v=""/>
    <d v="2025-10-03T08:59:27"/>
    <d v="2025-09-22T07:30:00"/>
    <d v="2025-09-22T10:30:00"/>
    <s v=""/>
    <s v="YOU JANE 20-25 BATTERY"/>
    <s v=""/>
    <s v=""/>
    <s v=""/>
    <s v=""/>
    <s v=""/>
    <s v=""/>
    <s v=""/>
    <s v=""/>
    <s v=""/>
    <s v=""/>
    <s v=""/>
    <s v=""/>
    <s v=""/>
    <s v=""/>
    <s v=""/>
    <s v=""/>
    <s v=""/>
    <s v=""/>
    <s v=""/>
    <s v=""/>
    <s v=""/>
    <s v=""/>
    <s v="Labor"/>
    <s v=""/>
    <s v=""/>
    <s v=""/>
    <s v="8300170200"/>
    <s v="YOU JANE 20-25 BATTERY"/>
    <s v="Upstream"/>
    <s v="1046"/>
    <s v=""/>
    <s v=""/>
    <s v=""/>
    <s v=""/>
    <s v=""/>
    <s v=""/>
    <s v=""/>
    <n v="3"/>
    <s v="HR"/>
    <n v="80"/>
    <s v=""/>
    <n v="240"/>
    <s v="--multiple--"/>
    <s v="708305"/>
    <d v="2025-10-08T09:12:04"/>
    <s v=""/>
    <s v=""/>
    <s v=""/>
    <s v=""/>
  </r>
  <r>
    <s v="25093554"/>
    <s v="Lone Star Instrumentation &amp; Electric Corp"/>
    <x v="1"/>
    <s v="Joey Heredia"/>
    <s v="Gus Levario"/>
    <s v="WORK DESCRIPTION:Upon arrival at the location, a Job Safety Analysis (JSA) was completed and a_x000d__x000a_tailgate meeting was conducted to review the job task and enforce safety protocols. The location of the circulating pump panel was identified, and an amp test was performed. The unit was tested to verify proper operation of all components. Following verification, the work area was cleaned and all trash was disposed of safely and efficiently."/>
    <s v="5051128"/>
    <s v="Upstream"/>
    <s v="162957"/>
    <s v="USD"/>
    <n v="255"/>
    <s v="B2B"/>
    <s v="1"/>
    <s v=""/>
    <s v="TECHNICIAN III"/>
    <s v=""/>
    <d v="2025-10-03T08:59:28"/>
    <d v="2025-09-22T10:30:00"/>
    <d v="2025-09-22T12:00:00"/>
    <s v=""/>
    <s v="TRIPLE NAIL BATTERY"/>
    <s v=""/>
    <s v=""/>
    <s v=""/>
    <s v=""/>
    <s v=""/>
    <s v=""/>
    <s v=""/>
    <s v=""/>
    <s v=""/>
    <s v=""/>
    <s v=""/>
    <s v=""/>
    <s v=""/>
    <s v=""/>
    <s v=""/>
    <s v=""/>
    <s v=""/>
    <s v=""/>
    <s v=""/>
    <s v=""/>
    <s v=""/>
    <s v=""/>
    <s v="Labor"/>
    <s v=""/>
    <s v=""/>
    <s v=""/>
    <s v="8000323600"/>
    <s v="TRIPLE NAIL BATTERY"/>
    <s v="Upstream"/>
    <s v="1046"/>
    <s v=""/>
    <s v=""/>
    <s v=""/>
    <s v=""/>
    <s v=""/>
    <s v=""/>
    <s v=""/>
    <n v="1.5"/>
    <s v="HR"/>
    <n v="80"/>
    <s v=""/>
    <n v="120"/>
    <s v="--multiple--"/>
    <s v="708305"/>
    <d v="2025-10-08T09:13:43"/>
    <s v=""/>
    <s v=""/>
    <s v=""/>
    <s v=""/>
  </r>
  <r>
    <s v="25093556"/>
    <s v="Lone Star Instrumentation &amp; Electric Corp"/>
    <x v="1"/>
    <s v="Joey Heredia"/>
    <s v="Gus Levario"/>
    <s v="WORK DESCRIPTION:Upon arrival at the location, a Job Safety Analysis (JSA) was completed and a_x000d__x000a_tailgate meeting was conducted to review the job task and reinforce safety protocols. Troubleshooting was performed on the valve, after which the damaged valve was retrieved and transported to Konex"/>
    <s v="5051044"/>
    <s v="Upstream"/>
    <s v=""/>
    <s v="USD"/>
    <n v="170"/>
    <s v="B2B"/>
    <s v="1"/>
    <s v=""/>
    <s v="TECHNICIAN III"/>
    <s v=""/>
    <d v="2025-10-03T08:59:29"/>
    <d v="2025-09-22T14:00:00"/>
    <d v="2025-09-22T15:00:00"/>
    <s v=""/>
    <s v="YOU JANE 20-25 UNIT 1 124"/>
    <s v=""/>
    <s v=""/>
    <s v=""/>
    <s v=""/>
    <s v=""/>
    <s v=""/>
    <s v=""/>
    <s v=""/>
    <s v=""/>
    <s v=""/>
    <s v=""/>
    <s v=""/>
    <s v=""/>
    <s v=""/>
    <s v=""/>
    <s v=""/>
    <s v=""/>
    <s v=""/>
    <s v=""/>
    <s v=""/>
    <s v=""/>
    <s v=""/>
    <s v="Labor"/>
    <s v=""/>
    <s v=""/>
    <s v=""/>
    <s v="8300170200"/>
    <s v="YOU JANE 20-25 BATTERY"/>
    <s v="Upstream"/>
    <s v="1046"/>
    <s v=""/>
    <s v=""/>
    <s v=""/>
    <s v=""/>
    <s v=""/>
    <s v=""/>
    <s v=""/>
    <n v="1"/>
    <s v="HR"/>
    <n v="80"/>
    <s v=""/>
    <n v="80"/>
    <s v="--multiple--"/>
    <s v="708305"/>
    <d v="2025-10-08T09:18:20"/>
    <s v=""/>
    <s v=""/>
    <s v=""/>
    <s v=""/>
  </r>
  <r>
    <s v="25093558"/>
    <s v="Lone Star Instrumentation &amp; Electric Corp"/>
    <x v="6"/>
    <s v="Joey Heredia"/>
    <s v="Gus Levario"/>
    <s v="WORK DESCRIPTION: Upon arrival at the location, a Job Safety Analysis (JSA) was completed and a tailgate meeting was conducted to review the job task and reinforce safety protocols. Two 1/2” holes were drilled in the pump panel, and wire was routed into the panel. The wire was cut to the required length, rolled up, and neatly placed inside the panel. A section of DIN rail was cut to size, installed, and fitted with an 11- pin relay. Upon completion, the work area was cleaned and all trash was collected and disposed of safely and efficiently."/>
    <s v="5051044"/>
    <s v="Upstream"/>
    <s v=""/>
    <s v="USD"/>
    <n v="787"/>
    <s v="B2B"/>
    <s v="1"/>
    <s v=""/>
    <s v="TECHNICIAN III"/>
    <s v=""/>
    <d v="2025-10-03T08:59:32"/>
    <d v="2025-09-22T15:00:00"/>
    <d v="2025-09-22T18:30:00"/>
    <s v=""/>
    <s v="TOMCAT 23-24 F 2AB"/>
    <s v=""/>
    <s v=""/>
    <s v=""/>
    <s v=""/>
    <s v=""/>
    <s v=""/>
    <s v=""/>
    <s v=""/>
    <s v=""/>
    <s v=""/>
    <s v=""/>
    <s v=""/>
    <s v=""/>
    <s v=""/>
    <s v=""/>
    <s v=""/>
    <s v=""/>
    <s v=""/>
    <s v=""/>
    <s v=""/>
    <s v=""/>
    <s v=""/>
    <s v="Labor"/>
    <s v=""/>
    <s v=""/>
    <s v=""/>
    <s v="1000703800"/>
    <s v="TOMCAT 23-24 F 2AB"/>
    <s v="Upstream"/>
    <s v="1046"/>
    <s v=""/>
    <s v=""/>
    <s v=""/>
    <s v=""/>
    <s v=""/>
    <s v=""/>
    <s v=""/>
    <n v="0.5"/>
    <s v="HR"/>
    <n v="80"/>
    <s v=""/>
    <n v="40"/>
    <s v="--multiple--"/>
    <s v="708305"/>
    <d v="2025-10-14T15:17:46"/>
    <s v=""/>
    <s v=""/>
    <s v="Requisitioner Error"/>
    <s v=""/>
  </r>
  <r>
    <s v="0071892"/>
    <s v="ANGUS MEASUREMENT SERVICES LP"/>
    <x v="5"/>
    <s v="Joey Heredia"/>
    <s v="Gus Levario"/>
    <s v="Sales"/>
    <s v="5051003"/>
    <s v="Upstream"/>
    <s v=""/>
    <s v="USD"/>
    <n v="1820"/>
    <s v="Direct Entry"/>
    <s v="1"/>
    <s v="ELSF3060HP230480V"/>
    <s v="30/60HP 230/480V SOFT START"/>
    <s v=""/>
    <d v="2025-10-13T08:56:28"/>
    <d v="2025-09-23T08:00:00"/>
    <d v="2025-09-23T09:00:00"/>
    <s v=""/>
    <s v=""/>
    <s v=""/>
    <s v=""/>
    <s v=""/>
    <s v=""/>
    <s v=""/>
    <s v=""/>
    <s v=""/>
    <s v=""/>
    <s v=""/>
    <s v=""/>
    <s v=""/>
    <s v=""/>
    <s v=""/>
    <s v=""/>
    <s v=""/>
    <s v=""/>
    <s v=""/>
    <s v=""/>
    <s v=""/>
    <s v=""/>
    <s v=""/>
    <s v=""/>
    <s v="Material"/>
    <s v=""/>
    <s v=""/>
    <s v=""/>
    <s v="8000312700"/>
    <s v="YOUNG FAYE BATTERY"/>
    <s v="Upstream"/>
    <s v="1046"/>
    <s v=""/>
    <s v=""/>
    <s v=""/>
    <s v=""/>
    <s v=""/>
    <s v=""/>
    <s v=""/>
    <n v="1"/>
    <s v="EA"/>
    <n v="1820"/>
    <s v=""/>
    <n v="1820"/>
    <s v="E-Maintenance"/>
    <s v="702514"/>
    <d v="2025-10-13T08:57:57"/>
    <s v=""/>
    <s v=""/>
    <s v=""/>
    <s v=""/>
  </r>
  <r>
    <s v="25054810"/>
    <s v="Lone Star Instrumentation &amp; Electric Corp"/>
    <x v="7"/>
    <s v="Joey Heredia"/>
    <s v="Gus Levario"/>
    <s v="WORK DESCRIPTION:WO# 166091_x000d__x000a_Called to look at esd failed to open. On arrival checked esd permissive and fuses all_x000d__x000a_were ok. Reset well and opened valve. It opened correctly. Reset esp permissive_x000d__x000a_and it was ready to start."/>
    <s v="5051044"/>
    <s v="Upstream"/>
    <s v="166091"/>
    <s v="USD"/>
    <n v="147"/>
    <s v="B2B"/>
    <s v="1"/>
    <s v=""/>
    <s v="PROGRAMMER-PRINCIPAL"/>
    <s v=""/>
    <d v="2025-10-03T09:00:19"/>
    <d v="2025-09-24T13:30:00"/>
    <d v="2025-09-24T14:30:00"/>
    <s v=""/>
    <s v="JOHN FRANKLIN 247 F 6WB"/>
    <s v=""/>
    <s v=""/>
    <s v=""/>
    <s v=""/>
    <s v=""/>
    <s v=""/>
    <s v=""/>
    <s v=""/>
    <s v=""/>
    <s v=""/>
    <s v=""/>
    <s v=""/>
    <s v=""/>
    <s v=""/>
    <s v=""/>
    <s v=""/>
    <s v=""/>
    <s v=""/>
    <s v=""/>
    <s v=""/>
    <s v=""/>
    <s v=""/>
    <s v="Labor"/>
    <s v=""/>
    <s v=""/>
    <s v=""/>
    <s v="1001136600"/>
    <s v="JOHN FRANKLIN 247 F 6WB"/>
    <s v="Upstream"/>
    <s v="1046"/>
    <s v=""/>
    <s v=""/>
    <s v=""/>
    <s v=""/>
    <s v=""/>
    <s v=""/>
    <s v=""/>
    <n v="1"/>
    <s v="HR"/>
    <n v="115"/>
    <s v=""/>
    <n v="115"/>
    <s v="--multiple--"/>
    <s v="708305"/>
    <d v="2025-10-09T08:33:13"/>
    <s v=""/>
    <s v=""/>
    <s v=""/>
    <s v=""/>
  </r>
  <r>
    <s v="25054811"/>
    <s v="Lone Star Instrumentation &amp; Electric Corp"/>
    <x v="7"/>
    <s v="Joey Heredia"/>
    <s v="Gus Levario"/>
    <s v="WORK DESCRIPTION:WO# 166000_x000d__x000a_Called to look at water transfer pumps that faulted with no alarms. On arrival logged_x000d__x000a_into plc panel checked charge pump and transfer pump fail to run alarms on all_x000d__x000a_pumps to make sure they were all enabled and operating properly. Went through_x000d__x000a_alarm log history and found that fail to run alarms had come one and were in_x000d__x000a_history. No issues found with program or alarming."/>
    <s v="5051043"/>
    <s v="Upstream"/>
    <s v="166000"/>
    <s v="USD"/>
    <n v="409"/>
    <s v="B2B"/>
    <s v="1"/>
    <s v=""/>
    <s v="PROGRAMMER-PRINCIPAL OT/HOLIDAY/WEEKEND"/>
    <s v=""/>
    <d v="2025-10-03T09:00:20"/>
    <d v="2025-09-24T14:30:00"/>
    <d v="2025-09-24T16:30:00"/>
    <s v=""/>
    <s v="MARGARET M4 BATTERY"/>
    <s v=""/>
    <s v=""/>
    <s v=""/>
    <s v=""/>
    <s v=""/>
    <s v=""/>
    <s v=""/>
    <s v=""/>
    <s v=""/>
    <s v=""/>
    <s v=""/>
    <s v=""/>
    <s v=""/>
    <s v=""/>
    <s v=""/>
    <s v=""/>
    <s v=""/>
    <s v=""/>
    <s v=""/>
    <s v=""/>
    <s v=""/>
    <s v=""/>
    <s v="Labor"/>
    <s v=""/>
    <s v=""/>
    <s v=""/>
    <s v="8000133700"/>
    <s v="MARGARET M4 BATTERY"/>
    <s v="Upstream"/>
    <s v="1046"/>
    <s v=""/>
    <s v=""/>
    <s v=""/>
    <s v=""/>
    <s v=""/>
    <s v=""/>
    <s v=""/>
    <n v="2"/>
    <s v="HR"/>
    <n v="172.5"/>
    <s v=""/>
    <n v="345"/>
    <s v="--multiple--"/>
    <s v="708305"/>
    <d v="2025-10-09T08:34:41"/>
    <s v=""/>
    <s v=""/>
    <s v=""/>
    <s v=""/>
  </r>
  <r>
    <s v="25093530"/>
    <s v="Lone Star Instrumentation &amp; Electric Corp"/>
    <x v="1"/>
    <s v="Joey Heredia"/>
    <s v="Gus Levario"/>
    <s v="WORK DESCRIPTION: Arrived on location and help out drive tech changeout a soft start drive. Removed bad drive and installed a new one. Terminated all wires. Checked rotation and left drive on auto"/>
    <s v="5051128"/>
    <s v="Upstream"/>
    <s v="166796"/>
    <s v="USD"/>
    <n v="465"/>
    <s v="B2B"/>
    <s v="1"/>
    <s v=""/>
    <s v="Qualified Electrician"/>
    <s v=""/>
    <d v="2025-10-03T08:59:42"/>
    <d v="2025-09-25T10:00:00"/>
    <d v="2025-09-25T13:00:00"/>
    <s v=""/>
    <s v="YOUNG FAYE BATTERY"/>
    <s v=""/>
    <s v=""/>
    <s v=""/>
    <s v=""/>
    <s v=""/>
    <s v=""/>
    <s v=""/>
    <s v=""/>
    <s v=""/>
    <s v=""/>
    <s v=""/>
    <s v=""/>
    <s v=""/>
    <s v=""/>
    <s v=""/>
    <s v=""/>
    <s v=""/>
    <s v=""/>
    <s v=""/>
    <s v=""/>
    <s v=""/>
    <s v=""/>
    <s v="Labor"/>
    <s v=""/>
    <s v=""/>
    <s v=""/>
    <s v="8000312700"/>
    <s v="YOUNG FAYE BATTERY"/>
    <s v="Upstream"/>
    <s v="1046"/>
    <s v=""/>
    <s v=""/>
    <s v=""/>
    <s v=""/>
    <s v=""/>
    <s v=""/>
    <s v=""/>
    <n v="3"/>
    <s v="HR"/>
    <n v="65"/>
    <s v=""/>
    <n v="195"/>
    <s v="--multiple--"/>
    <s v="708305"/>
    <d v="2025-10-08T08:22:50"/>
    <s v=""/>
    <s v=""/>
    <s v=""/>
    <s v=""/>
  </r>
  <r>
    <s v="OP45922-40"/>
    <s v="Advanced Integrated Services Inc"/>
    <x v="7"/>
    <s v="Joey Heredia"/>
    <s v="Gus Levario"/>
    <s v="Labor - went to Odessa for material then hauled material to location then assisted tech ETC"/>
    <s v="5051043"/>
    <s v="Upstream"/>
    <s v=""/>
    <s v="USD"/>
    <n v="768"/>
    <s v="Direct Entry"/>
    <s v="1"/>
    <s v=""/>
    <s v="Automation Tech"/>
    <s v=""/>
    <d v="2025-10-10T07:27:03"/>
    <d v="2025-09-25T12:00:00"/>
    <d v="2025-09-25T18:00:00"/>
    <s v=""/>
    <s v="Rosalie 6-3 Battery"/>
    <s v=""/>
    <s v=""/>
    <s v=""/>
    <s v=""/>
    <s v=""/>
    <s v=""/>
    <s v=""/>
    <s v=""/>
    <s v=""/>
    <s v=""/>
    <s v=""/>
    <s v=""/>
    <s v=""/>
    <s v=""/>
    <s v=""/>
    <s v=""/>
    <s v=""/>
    <s v=""/>
    <s v=""/>
    <s v=""/>
    <s v=""/>
    <s v=""/>
    <s v="Labor"/>
    <s v=""/>
    <s v=""/>
    <s v=""/>
    <s v="8300149300"/>
    <s v="ROSALIE 6-3 BATTERY"/>
    <s v="Upstream"/>
    <s v="1046"/>
    <s v=""/>
    <s v=""/>
    <s v=""/>
    <s v=""/>
    <s v=""/>
    <s v=""/>
    <s v=""/>
    <n v="6"/>
    <s v="HR"/>
    <n v="105"/>
    <s v=""/>
    <n v="630"/>
    <s v="Pricebook"/>
    <s v="712953"/>
    <d v="2025-10-10T07:30:05"/>
    <s v=""/>
    <s v=""/>
    <s v=""/>
    <s v=""/>
  </r>
  <r>
    <s v="25093563"/>
    <s v="Lone Star Instrumentation &amp; Electric Corp"/>
    <x v="1"/>
    <s v="Joey Heredia"/>
    <s v="Gus Levario"/>
    <s v="WORK DESCRIPTION:Drove to location and set up truck. Began to de energize all equipment to begin installing all devices to well. Began to open up motor head cover and installed bushing to motor, pulled motor service into head and tightened down fitting, crimped on ground terminal and grounded motor ground. Began to wire up motor and tighten down all connections. Relocated brackets on unit for sensors and installed sensors to unit. Mounted support kit and load cell cable. Drilled holes for j box and mounted j box to unit. Shot all hilti shots needed and began to strap down all end devices and main service along with ground, terminated ground at well head and began to close up all equipment to begin testing, panel was not engaging so we opened panel to begin trouble shooting, found missing leg on top of starter, found all voltage good so we de energized disconnect and began to open up blades in panel to check connection, found blade insert loose causing connection to miss the phase, tightened down blade insert and put back together blade and began to energize panel. Checked balance on unit and found weights 72 and rods 61, motor rated for 99 amps, and was notified to leave unit down."/>
    <s v="5051044"/>
    <s v="Upstream"/>
    <s v=""/>
    <s v="USD"/>
    <n v="1515.5"/>
    <s v="B2B"/>
    <s v="1"/>
    <s v=""/>
    <s v="TECHNICIAN III"/>
    <s v=""/>
    <d v="2025-10-03T08:59:35"/>
    <d v="2025-09-25T13:00:00"/>
    <d v="2025-09-25T19:45:00"/>
    <s v=""/>
    <s v="TRIPLE NAIL D 27-38 2804H"/>
    <s v=""/>
    <s v=""/>
    <s v=""/>
    <s v=""/>
    <s v=""/>
    <s v=""/>
    <s v=""/>
    <s v=""/>
    <s v=""/>
    <s v=""/>
    <s v=""/>
    <s v=""/>
    <s v=""/>
    <s v=""/>
    <s v=""/>
    <s v=""/>
    <s v=""/>
    <s v=""/>
    <s v=""/>
    <s v=""/>
    <s v=""/>
    <s v=""/>
    <s v="Labor"/>
    <s v=""/>
    <s v=""/>
    <s v=""/>
    <s v="1001775900"/>
    <s v="TRIPLE NAIL D 27-38 2804H"/>
    <s v="Upstream"/>
    <s v="1046"/>
    <s v=""/>
    <s v=""/>
    <s v=""/>
    <s v=""/>
    <s v=""/>
    <s v=""/>
    <s v=""/>
    <n v="1"/>
    <s v="HR"/>
    <n v="80"/>
    <s v=""/>
    <n v="80"/>
    <s v="--multiple--"/>
    <s v="708305"/>
    <d v="2025-10-08T09:29:35"/>
    <s v=""/>
    <s v=""/>
    <s v=""/>
    <s v=""/>
  </r>
  <r>
    <s v="25093574"/>
    <s v="Lone Star Instrumentation &amp; Electric Corp"/>
    <x v="1"/>
    <s v="Joey Heredia"/>
    <s v="Gus Levario"/>
    <s v="WORK DESCRIPTION:Arrived to location, began looking for soft start panel. Upon inspection operator came up and asked about panel, told him we were there to change out starter. The operator told me that Angus had completed job earlier in the day. Went ahead and checked amperage, noticed all was good and left unit running."/>
    <s v="5051044"/>
    <s v="Upstream"/>
    <s v=""/>
    <s v="USD"/>
    <n v="429"/>
    <s v="B2B"/>
    <s v="1"/>
    <s v="JOURNEYMAN ELECTRICIAN OT/HOLIDAY/WEEKEND"/>
    <s v="JOURNEYMAN ELECTRICIAN OT/HOLIDAY/WEEKEND"/>
    <s v=""/>
    <d v="2025-10-03T08:59:12"/>
    <d v="2025-09-25T17:00:00"/>
    <d v="2025-09-25T19:00:00"/>
    <s v=""/>
    <s v="YOUNG FAYE BATTERY"/>
    <s v=""/>
    <s v=""/>
    <s v=""/>
    <s v=""/>
    <s v=""/>
    <s v=""/>
    <s v=""/>
    <s v=""/>
    <s v=""/>
    <s v=""/>
    <s v=""/>
    <s v=""/>
    <s v=""/>
    <s v=""/>
    <s v=""/>
    <s v=""/>
    <s v=""/>
    <s v=""/>
    <s v=""/>
    <s v=""/>
    <s v=""/>
    <s v=""/>
    <s v="Labor"/>
    <s v=""/>
    <s v=""/>
    <s v=""/>
    <s v="8000312700"/>
    <s v="YOUNG FAYE BATTERY"/>
    <s v="Upstream"/>
    <s v="1046"/>
    <s v=""/>
    <s v=""/>
    <s v=""/>
    <s v=""/>
    <s v=""/>
    <s v=""/>
    <s v=""/>
    <n v="2"/>
    <s v="HR"/>
    <n v="100.5"/>
    <s v=""/>
    <n v="201"/>
    <s v="--multiple--"/>
    <s v="708305"/>
    <d v="2025-10-08T09:48:03"/>
    <s v=""/>
    <s v=""/>
    <s v=""/>
    <s v=""/>
  </r>
  <r>
    <s v="25093597"/>
    <s v="Lone Star Instrumentation &amp; Electric Corp"/>
    <x v="1"/>
    <s v="Joey Heredia"/>
    <s v="Gus Levario"/>
    <s v="WORK DESCRIPTION:Arrived on location and blew out VRU panel. Checked all fuses and Ohmed out_x000d__x000a_motor. Everything checked out good. Tried to run motors on auto but couldn’t rest the malfunction. If HOAs were turned to local both motors would run. Called up company many to let him know what I found"/>
    <s v="5051128"/>
    <s v="Upstream"/>
    <s v="167378"/>
    <s v="USD"/>
    <n v="214"/>
    <s v="B2B"/>
    <s v="1"/>
    <s v=""/>
    <s v="Qualified Electrician"/>
    <s v=""/>
    <d v="2025-10-03T08:59:03"/>
    <d v="2025-09-26T13:00:00"/>
    <d v="2025-09-26T15:00:00"/>
    <s v=""/>
    <s v="TRIPLE NAIL BATTERY"/>
    <s v=""/>
    <s v=""/>
    <s v=""/>
    <s v=""/>
    <s v=""/>
    <s v=""/>
    <s v=""/>
    <s v=""/>
    <s v=""/>
    <s v=""/>
    <s v=""/>
    <s v=""/>
    <s v=""/>
    <s v=""/>
    <s v=""/>
    <s v=""/>
    <s v=""/>
    <s v=""/>
    <s v=""/>
    <s v=""/>
    <s v=""/>
    <s v=""/>
    <s v="Labor"/>
    <s v=""/>
    <s v=""/>
    <s v=""/>
    <s v="8000323600"/>
    <s v="TRIPLE NAIL BATTERY"/>
    <s v="Upstream"/>
    <s v="1046"/>
    <s v=""/>
    <s v=""/>
    <s v=""/>
    <s v=""/>
    <s v=""/>
    <s v=""/>
    <s v=""/>
    <n v="2"/>
    <s v="HR"/>
    <n v="65"/>
    <s v=""/>
    <n v="130"/>
    <s v="--multiple--"/>
    <s v="708305"/>
    <d v="2025-10-08T12:51:37"/>
    <s v=""/>
    <s v=""/>
    <s v=""/>
    <s v=""/>
  </r>
  <r>
    <s v="25093582"/>
    <s v="Lone Star Instrumentation &amp; Electric Corp"/>
    <x v="1"/>
    <s v="Joey Heredia"/>
    <s v="Gus Levario"/>
    <s v="WORK DESCRIPTION: Arrived on site and compiled a materials list for grounding on the panel rack for the PLC installation. Additionally, a dig test will be required to ensure proper grounding."/>
    <s v="5051044"/>
    <s v="Upstream"/>
    <s v=""/>
    <s v="USD"/>
    <n v="211.5"/>
    <s v="B2B"/>
    <s v="1"/>
    <s v="LS119"/>
    <s v="Qualified Electrician Overtime"/>
    <s v=""/>
    <d v="2025-10-03T08:59:18"/>
    <d v="2025-09-26T16:00:00"/>
    <d v="2025-09-26T17:00:00"/>
    <s v=""/>
    <s v="WOODY 6-35 1 121"/>
    <s v=""/>
    <s v=""/>
    <s v=""/>
    <s v=""/>
    <s v=""/>
    <s v=""/>
    <s v=""/>
    <s v=""/>
    <s v=""/>
    <s v=""/>
    <s v=""/>
    <s v=""/>
    <s v=""/>
    <s v=""/>
    <s v=""/>
    <s v=""/>
    <s v=""/>
    <s v=""/>
    <s v=""/>
    <s v=""/>
    <s v=""/>
    <s v=""/>
    <s v="Labor"/>
    <s v=""/>
    <s v=""/>
    <s v=""/>
    <s v="1001418800"/>
    <s v="WOODY 6-35 1 121"/>
    <s v="Upstream"/>
    <s v="1046"/>
    <s v=""/>
    <s v=""/>
    <s v=""/>
    <s v=""/>
    <s v=""/>
    <s v=""/>
    <s v=""/>
    <n v="1"/>
    <s v="HR"/>
    <n v="97.5"/>
    <s v=""/>
    <n v="97.5"/>
    <s v="--multiple--"/>
    <s v="708305"/>
    <d v="2025-10-08T11:01:52"/>
    <s v=""/>
    <s v=""/>
    <s v=""/>
    <s v=""/>
  </r>
  <r>
    <s v="25093600"/>
    <s v="Lone Star Instrumentation &amp; Electric Corp"/>
    <x v="1"/>
    <s v="Joey Heredia"/>
    <s v="Gus Levario"/>
    <s v="WORK DESCRIPTION:Arrived on location and Ohmed out motor. Motor didn’t ohm out and was grounded. Made sure we had good voltage going to the motor. Called up company man to let him know that the motor was bad. Drove to another location to see if the motor on the lack unit was the same. If so he wanted to swap out the motor and we would replace it. Had trouble taking off the motor. Found out that there was a certain way to take off the motor. Called maintenance to replace the motor"/>
    <s v="5051128"/>
    <s v="Upstream"/>
    <s v="167223"/>
    <s v="USD"/>
    <n v="418.5"/>
    <s v="B2B"/>
    <s v="1"/>
    <s v="LS119"/>
    <s v="Qualified Electrician Overtime"/>
    <s v=""/>
    <d v="2025-10-03T09:37:07"/>
    <d v="2025-09-26T17:00:00"/>
    <d v="2025-09-26T20:00:00"/>
    <s v=""/>
    <s v="YOUNG FAYE BATTERY"/>
    <s v=""/>
    <s v=""/>
    <s v=""/>
    <s v=""/>
    <s v=""/>
    <s v=""/>
    <s v=""/>
    <s v=""/>
    <s v=""/>
    <s v=""/>
    <s v=""/>
    <s v=""/>
    <s v=""/>
    <s v=""/>
    <s v=""/>
    <s v=""/>
    <s v=""/>
    <s v=""/>
    <s v=""/>
    <s v=""/>
    <s v=""/>
    <s v=""/>
    <s v="Labor"/>
    <s v=""/>
    <s v=""/>
    <s v=""/>
    <s v="8000312700"/>
    <s v="YOUNG FAYE BATTERY"/>
    <s v="Upstream"/>
    <s v="1046"/>
    <s v=""/>
    <s v=""/>
    <s v=""/>
    <s v=""/>
    <s v=""/>
    <s v=""/>
    <s v=""/>
    <n v="3"/>
    <s v="HR"/>
    <n v="97.5"/>
    <s v=""/>
    <n v="292.5"/>
    <s v="--multiple--"/>
    <s v="708305"/>
    <d v="2025-10-08T13:02:31"/>
    <s v=""/>
    <s v=""/>
    <s v=""/>
    <s v=""/>
  </r>
  <r>
    <s v="25093609"/>
    <s v="Lone Star Instrumentation &amp; Electric Corp"/>
    <x v="1"/>
    <s v="Joey Heredia"/>
    <s v="Gus Levario"/>
    <s v="WORK DESCRIPTION:Drove out to location and checked the pump off controller. Unit would run on hand but not on auto. Tried running the unit but the controller would shut it down on malfunction. Continued to reset controller but still wouldn’t run on auto. Called up company man to inform him we were going to need a technician to come out and check the pump off controller"/>
    <s v="5051128"/>
    <s v="Upstream"/>
    <s v="167224"/>
    <s v="USD"/>
    <n v="474"/>
    <s v="B2B"/>
    <s v="1"/>
    <s v="LS119"/>
    <s v="Qualified Electrician Overtime"/>
    <s v=""/>
    <d v="2025-10-03T09:37:08"/>
    <d v="2025-09-27T16:00:00"/>
    <d v="2025-09-27T18:00:00"/>
    <s v=""/>
    <s v="TY RANCH WEST 2451JM"/>
    <s v=""/>
    <s v=""/>
    <s v=""/>
    <s v=""/>
    <s v=""/>
    <s v=""/>
    <s v=""/>
    <s v=""/>
    <s v=""/>
    <s v=""/>
    <s v=""/>
    <s v=""/>
    <s v=""/>
    <s v=""/>
    <s v=""/>
    <s v=""/>
    <s v=""/>
    <s v=""/>
    <s v=""/>
    <s v=""/>
    <s v=""/>
    <s v=""/>
    <s v="Labor"/>
    <s v=""/>
    <s v=""/>
    <s v=""/>
    <s v="1000233800"/>
    <s v="TY RANCH WEST 2451JM"/>
    <s v="Upstream"/>
    <s v="1046"/>
    <s v=""/>
    <s v=""/>
    <s v=""/>
    <s v=""/>
    <s v=""/>
    <s v=""/>
    <s v=""/>
    <n v="2"/>
    <s v="HR"/>
    <n v="97.5"/>
    <s v=""/>
    <n v="195"/>
    <s v="--multiple--"/>
    <s v="708305"/>
    <d v="2025-10-08T13:17:33"/>
    <s v=""/>
    <s v=""/>
    <s v=""/>
    <s v=""/>
  </r>
  <r>
    <s v="OP45929-41"/>
    <s v="Advanced Integrated Services Inc"/>
    <x v="5"/>
    <s v="Joey Heredia"/>
    <s v="Gus Levario"/>
    <s v="Labor - drove to location tightened up all termination and check all analog ETC"/>
    <s v="5051043"/>
    <s v="Upstream"/>
    <s v=""/>
    <s v="USD"/>
    <n v="1024"/>
    <s v="Direct Entry"/>
    <s v="1"/>
    <s v=""/>
    <s v="Automation Tech"/>
    <s v=""/>
    <d v="2025-10-10T07:15:47"/>
    <d v="2025-09-29T07:00:00"/>
    <d v="2025-09-29T15:00:00"/>
    <s v=""/>
    <s v="Guardian H Battery"/>
    <s v=""/>
    <s v=""/>
    <s v=""/>
    <s v=""/>
    <s v=""/>
    <s v=""/>
    <s v=""/>
    <s v=""/>
    <s v=""/>
    <s v=""/>
    <s v=""/>
    <s v=""/>
    <s v=""/>
    <s v=""/>
    <s v=""/>
    <s v=""/>
    <s v=""/>
    <s v=""/>
    <s v=""/>
    <s v=""/>
    <s v=""/>
    <s v=""/>
    <s v="Labor"/>
    <s v=""/>
    <s v=""/>
    <s v=""/>
    <s v="8000301200"/>
    <s v="GUARDIAN H BATTERY"/>
    <s v="Upstream"/>
    <s v="1046"/>
    <s v=""/>
    <s v=""/>
    <s v=""/>
    <s v=""/>
    <s v=""/>
    <s v=""/>
    <s v=""/>
    <n v="8"/>
    <s v="HR"/>
    <n v="105"/>
    <s v=""/>
    <n v="840"/>
    <s v="Pricebook"/>
    <s v="712953"/>
    <d v="2025-10-10T07:20:50"/>
    <s v=""/>
    <s v=""/>
    <s v=""/>
    <s v=""/>
  </r>
  <r>
    <s v="AT45929-29"/>
    <s v="Advanced Integrated Services Inc"/>
    <x v="5"/>
    <s v="Joey Heredia"/>
    <s v="Gus Levario"/>
    <s v="Labor - rechecked all radar make sure everything was working properly, company man said was having issues with them coming in and out ETC"/>
    <s v="5051043"/>
    <s v="Upstream"/>
    <s v=""/>
    <s v="USD"/>
    <n v="896"/>
    <s v="Direct Entry"/>
    <s v="1"/>
    <s v=""/>
    <s v="Automation Tech"/>
    <s v=""/>
    <d v="2025-10-10T09:43:45"/>
    <d v="2025-09-29T07:00:00"/>
    <d v="2025-09-29T14:00:00"/>
    <s v=""/>
    <s v="Guardian H Battery"/>
    <s v=""/>
    <s v=""/>
    <s v=""/>
    <s v=""/>
    <s v=""/>
    <s v=""/>
    <s v=""/>
    <s v=""/>
    <s v=""/>
    <s v=""/>
    <s v=""/>
    <s v=""/>
    <s v=""/>
    <s v=""/>
    <s v=""/>
    <s v=""/>
    <s v=""/>
    <s v=""/>
    <s v=""/>
    <s v=""/>
    <s v=""/>
    <s v=""/>
    <s v="Labor"/>
    <s v=""/>
    <s v=""/>
    <s v=""/>
    <s v="8000301200"/>
    <s v="GUARDIAN H BATTERY"/>
    <s v="Upstream"/>
    <s v="1046"/>
    <s v=""/>
    <s v=""/>
    <s v=""/>
    <s v=""/>
    <s v=""/>
    <s v=""/>
    <s v=""/>
    <n v="7"/>
    <s v="HR"/>
    <n v="105"/>
    <s v=""/>
    <n v="735"/>
    <s v="Pricebook"/>
    <s v="712953"/>
    <d v="2025-10-10T09:50:16"/>
    <s v=""/>
    <s v=""/>
    <s v=""/>
    <s v=""/>
  </r>
  <r>
    <s v="OP45929-43"/>
    <s v="Advanced Integrated Services Inc"/>
    <x v="5"/>
    <s v="Joey Heredia"/>
    <s v="Gus Levario"/>
    <s v="Labor - pulled wire from main radio tower in battery to plc. etc."/>
    <s v="5051043"/>
    <s v="Upstream"/>
    <s v=""/>
    <s v="USD"/>
    <n v="1536"/>
    <s v="Direct Entry"/>
    <s v="1"/>
    <s v=""/>
    <s v="Automation Tech"/>
    <s v=""/>
    <d v="2025-10-10T07:24:35"/>
    <d v="2025-09-30T06:00:00"/>
    <d v="2025-09-30T18:00:00"/>
    <s v=""/>
    <s v="Cox 12-9 2 Battery"/>
    <s v=""/>
    <s v=""/>
    <s v=""/>
    <s v=""/>
    <s v=""/>
    <s v=""/>
    <s v=""/>
    <s v=""/>
    <s v=""/>
    <s v=""/>
    <s v=""/>
    <s v=""/>
    <s v=""/>
    <s v=""/>
    <s v=""/>
    <s v=""/>
    <s v=""/>
    <s v=""/>
    <s v=""/>
    <s v=""/>
    <s v=""/>
    <s v=""/>
    <s v="Labor"/>
    <s v=""/>
    <s v=""/>
    <s v=""/>
    <s v="8300171900"/>
    <s v="COX 12-9 2 BATTERY"/>
    <s v="Upstream"/>
    <s v="1046"/>
    <s v=""/>
    <s v=""/>
    <s v=""/>
    <s v=""/>
    <s v=""/>
    <s v=""/>
    <s v=""/>
    <n v="12"/>
    <s v="HR"/>
    <n v="105"/>
    <s v=""/>
    <n v="1260"/>
    <s v="Pricebook"/>
    <s v="712953"/>
    <d v="2025-10-10T07:26:00"/>
    <s v=""/>
    <s v=""/>
    <s v=""/>
    <s v=""/>
  </r>
  <r>
    <s v="AT45929-43"/>
    <s v="Advanced Integrated Services Inc"/>
    <x v="5"/>
    <s v="Joey Heredia"/>
    <s v="Gus Levario"/>
    <s v="Labor - went get needed material and went try to get the radio to communicate with tower ETC"/>
    <s v="5051043"/>
    <s v="Upstream"/>
    <s v=""/>
    <s v="USD"/>
    <n v="512"/>
    <s v="Direct Entry"/>
    <s v="1"/>
    <s v=""/>
    <s v="Automation Tech"/>
    <s v=""/>
    <d v="2025-10-13T10:02:10"/>
    <d v="2025-09-30T11:00:00"/>
    <d v="2025-09-30T15:00:00"/>
    <s v=""/>
    <s v="Cox 12-9 Unit 2 Battery"/>
    <s v=""/>
    <s v=""/>
    <s v=""/>
    <s v=""/>
    <s v=""/>
    <s v=""/>
    <s v=""/>
    <s v=""/>
    <s v=""/>
    <s v=""/>
    <s v=""/>
    <s v=""/>
    <s v=""/>
    <s v=""/>
    <s v=""/>
    <s v=""/>
    <s v=""/>
    <s v=""/>
    <s v=""/>
    <s v=""/>
    <s v=""/>
    <s v=""/>
    <s v="Labor"/>
    <s v=""/>
    <s v=""/>
    <s v=""/>
    <s v="8300091700"/>
    <s v="COX 9-12 UNIT 2 BATTERY"/>
    <s v="Upstream"/>
    <s v="1046"/>
    <s v=""/>
    <s v=""/>
    <s v=""/>
    <s v=""/>
    <s v=""/>
    <s v=""/>
    <s v=""/>
    <n v="4"/>
    <s v="HR"/>
    <n v="105"/>
    <s v=""/>
    <n v="420"/>
    <s v="Pricebook"/>
    <s v="712953"/>
    <d v="2025-10-13T10:07:13"/>
    <s v=""/>
    <s v=""/>
    <s v=""/>
    <s v=""/>
  </r>
  <r>
    <s v="AT45929-44"/>
    <s v="Advanced Integrated Services Inc"/>
    <x v="5"/>
    <s v="Joey Heredia"/>
    <s v="Gus Levario"/>
    <s v="Labor - went change flow line set points on the plc ETC"/>
    <s v="5051043"/>
    <s v="Upstream"/>
    <s v=""/>
    <s v="USD"/>
    <n v="256"/>
    <s v="Direct Entry"/>
    <s v="1"/>
    <s v=""/>
    <s v="Automation Tech"/>
    <s v=""/>
    <d v="2025-10-13T10:08:04"/>
    <d v="2025-09-30T15:00:00"/>
    <d v="2025-09-30T17:00:00"/>
    <s v=""/>
    <s v="You Jane 20-25 Unit 1 Well 233"/>
    <s v=""/>
    <s v=""/>
    <s v=""/>
    <s v=""/>
    <s v=""/>
    <s v=""/>
    <s v=""/>
    <s v=""/>
    <s v=""/>
    <s v=""/>
    <s v=""/>
    <s v=""/>
    <s v=""/>
    <s v=""/>
    <s v=""/>
    <s v=""/>
    <s v=""/>
    <s v=""/>
    <s v=""/>
    <s v=""/>
    <s v=""/>
    <s v=""/>
    <s v="Labor"/>
    <s v=""/>
    <s v=""/>
    <s v=""/>
    <s v="1001455600"/>
    <s v="YOU JANE 20-25 UNIT 1 233"/>
    <s v="Upstream"/>
    <s v="1046"/>
    <s v=""/>
    <s v=""/>
    <s v=""/>
    <s v=""/>
    <s v=""/>
    <s v=""/>
    <s v=""/>
    <n v="2"/>
    <s v="HR"/>
    <n v="105"/>
    <s v=""/>
    <n v="210"/>
    <s v="Pricebook"/>
    <s v="712953"/>
    <d v="2025-10-13T10:09:33"/>
    <s v=""/>
    <s v=""/>
    <s v=""/>
    <s v=""/>
  </r>
  <r>
    <s v="AT45929-45"/>
    <s v="Advanced Integrated Services Inc"/>
    <x v="5"/>
    <s v="Joey Heredia"/>
    <s v="Gus Levario"/>
    <s v="Labor - began changing out seized solenoids and went get replacement solenoids ETC"/>
    <s v="5051043"/>
    <s v="Upstream"/>
    <s v=""/>
    <s v="USD"/>
    <n v="256"/>
    <s v="Direct Entry"/>
    <s v="1"/>
    <s v=""/>
    <s v="Automation Tech"/>
    <s v=""/>
    <d v="2025-10-13T10:11:01"/>
    <d v="2025-09-30T17:00:00"/>
    <d v="2025-09-30T19:00:00"/>
    <s v=""/>
    <s v="You Jane 20-25 Unit 1 Well 112"/>
    <s v=""/>
    <s v=""/>
    <s v=""/>
    <s v=""/>
    <s v=""/>
    <s v=""/>
    <s v=""/>
    <s v=""/>
    <s v=""/>
    <s v=""/>
    <s v=""/>
    <s v=""/>
    <s v=""/>
    <s v=""/>
    <s v=""/>
    <s v=""/>
    <s v=""/>
    <s v=""/>
    <s v=""/>
    <s v=""/>
    <s v=""/>
    <s v=""/>
    <s v="Labor"/>
    <s v=""/>
    <s v=""/>
    <s v=""/>
    <s v="1001454300"/>
    <s v="YOU JANE 20-25 UNIT 1 112"/>
    <s v="Upstream"/>
    <s v="1046"/>
    <s v=""/>
    <s v=""/>
    <s v=""/>
    <s v=""/>
    <s v=""/>
    <s v=""/>
    <s v=""/>
    <n v="2"/>
    <s v="HR"/>
    <n v="105"/>
    <s v=""/>
    <n v="210"/>
    <s v="Pricebook"/>
    <s v="712953"/>
    <d v="2025-10-13T10:12:20"/>
    <s v=""/>
    <s v=""/>
    <s v=""/>
    <s v=""/>
  </r>
  <r>
    <s v="AT45929-42"/>
    <s v="Advanced Integrated Services Inc"/>
    <x v="5"/>
    <s v="Joey Heredia"/>
    <s v="Gus Levario"/>
    <s v="Labor - Swapped heads on water tank ETC"/>
    <s v="5051042"/>
    <s v="Upstream"/>
    <s v=""/>
    <s v="USD"/>
    <n v="512"/>
    <s v="Direct Entry"/>
    <s v="1"/>
    <s v=""/>
    <s v="Automation Tech"/>
    <s v=""/>
    <d v="2025-10-13T09:59:06"/>
    <d v="2025-09-30T07:00:00"/>
    <d v="2025-09-30T11:00:00"/>
    <s v=""/>
    <s v="You Jane 20-25 Battery"/>
    <s v=""/>
    <s v=""/>
    <s v=""/>
    <s v=""/>
    <s v=""/>
    <s v=""/>
    <s v=""/>
    <s v=""/>
    <s v=""/>
    <s v=""/>
    <s v=""/>
    <s v=""/>
    <s v=""/>
    <s v=""/>
    <s v=""/>
    <s v=""/>
    <s v=""/>
    <s v=""/>
    <s v=""/>
    <s v=""/>
    <s v=""/>
    <s v=""/>
    <s v="Labor"/>
    <s v=""/>
    <s v=""/>
    <s v=""/>
    <s v="8300170200"/>
    <s v="YOU JANE 20-25 BATTERY"/>
    <s v="Upstream"/>
    <s v="1046"/>
    <s v=""/>
    <s v=""/>
    <s v=""/>
    <s v=""/>
    <s v=""/>
    <s v=""/>
    <s v=""/>
    <n v="4"/>
    <s v="HR"/>
    <n v="105"/>
    <s v=""/>
    <n v="420"/>
    <s v="Pricebook"/>
    <s v="712953"/>
    <d v="2025-10-13T10:00:34"/>
    <s v=""/>
    <s v=""/>
    <s v=""/>
    <s v=""/>
  </r>
  <r>
    <s v="OD1335862"/>
    <s v="Jet Specialty Inc"/>
    <x v="6"/>
    <s v="John Gibson"/>
    <s v="Bobby Ramirez"/>
    <s v="LEASE: CARBON 12-13 BTTY; BUYER: JOHN GIBSON;"/>
    <s v="5051017"/>
    <s v="Upstream"/>
    <s v=""/>
    <s v="USD"/>
    <n v="1779.92"/>
    <s v="API"/>
    <s v="1"/>
    <s v="NS680"/>
    <s v="2200 SLS M/O W/6 EXT W/7026 KIMRAY EXTENSION (CEC2L6)"/>
    <s v="MISC FITTINGS AND SUPPLIES"/>
    <d v="2025-10-03T09:01:01"/>
    <d v="2025-09-25T00:01:00"/>
    <d v="2025-09-25T00:01:00"/>
    <s v=""/>
    <s v=""/>
    <s v=""/>
    <s v=""/>
    <s v=""/>
    <s v=""/>
    <s v=""/>
    <s v=""/>
    <s v=""/>
    <s v=""/>
    <s v=""/>
    <s v=""/>
    <s v=""/>
    <s v=""/>
    <s v=""/>
    <s v=""/>
    <s v=""/>
    <s v=""/>
    <s v=""/>
    <s v=""/>
    <s v=""/>
    <s v=""/>
    <s v=""/>
    <s v=""/>
    <s v="Material"/>
    <s v=""/>
    <s v=""/>
    <s v=""/>
    <s v="8300086400"/>
    <s v="CARBON 12-13 BATTERY"/>
    <s v="Upstream"/>
    <s v="1046"/>
    <s v=""/>
    <s v=""/>
    <s v=""/>
    <s v=""/>
    <s v=""/>
    <s v=""/>
    <s v=""/>
    <n v="2"/>
    <s v="EA"/>
    <n v="889.96"/>
    <s v=""/>
    <n v="1779.92"/>
    <s v="--multiple--"/>
    <s v="708023"/>
    <d v="2025-10-03T09:01:01"/>
    <s v=""/>
    <s v=""/>
    <s v=""/>
    <s v=""/>
  </r>
  <r>
    <s v="OD1336183"/>
    <s v="Jet Specialty Inc"/>
    <x v="6"/>
    <s v="John Gibson"/>
    <s v="Bobby Ramirez"/>
    <s v="LEASE: COLLINGWORTH BATTERY; BUYER: JOHN G;"/>
    <s v="5051017"/>
    <s v="Upstream"/>
    <s v=""/>
    <s v="USD"/>
    <n v="384.36"/>
    <s v="API"/>
    <s v="1"/>
    <s v="219516"/>
    <s v="4&quot; GRV ES COOPLOK COUPLING"/>
    <s v="Fitting:Grooved"/>
    <d v="2025-10-03T08:27:01"/>
    <d v="2025-09-27T00:01:00"/>
    <d v="2025-09-27T00:01:00"/>
    <s v=""/>
    <s v=""/>
    <s v=""/>
    <s v=""/>
    <s v=""/>
    <s v=""/>
    <s v=""/>
    <s v=""/>
    <s v=""/>
    <s v=""/>
    <s v=""/>
    <s v=""/>
    <s v=""/>
    <s v=""/>
    <s v=""/>
    <s v=""/>
    <s v=""/>
    <s v=""/>
    <s v=""/>
    <s v=""/>
    <s v=""/>
    <s v=""/>
    <s v=""/>
    <s v=""/>
    <s v="Material"/>
    <s v=""/>
    <s v=""/>
    <s v=""/>
    <s v="8000302100"/>
    <s v="COLLINGSWORTH BATTERY"/>
    <s v="Upstream"/>
    <s v="1046"/>
    <s v=""/>
    <s v=""/>
    <s v=""/>
    <s v=""/>
    <s v=""/>
    <s v=""/>
    <s v=""/>
    <n v="4"/>
    <s v="each"/>
    <n v="49.4"/>
    <s v=""/>
    <n v="197.6"/>
    <s v="--multiple--"/>
    <s v="708023"/>
    <d v="2025-10-03T08:32:25"/>
    <s v=""/>
    <s v=""/>
    <s v=""/>
    <s v=""/>
  </r>
  <r>
    <s v="G5843824"/>
    <s v="NLP Enterprises, LLC"/>
    <x v="0"/>
    <s v="Thomas Ramos"/>
    <s v="Jordan Williams"/>
    <s v="Drove to location and we built the pump jack well head"/>
    <s v="8501210"/>
    <s v="AC-AC"/>
    <s v="163307"/>
    <s v="USD"/>
    <n v="1282.5"/>
    <s v="API"/>
    <s v="1"/>
    <s v="D3"/>
    <s v="Production-Pusher and 2 Hands"/>
    <s v=""/>
    <d v="2025-10-10T13:32:25"/>
    <d v="2025-10-01T06:30:00"/>
    <d v="2025-10-01T16:00:00"/>
    <s v=""/>
    <s v="ALLDALE 136-321 (7WP)"/>
    <s v=""/>
    <s v=""/>
    <s v=""/>
    <s v=""/>
    <s v=""/>
    <s v=""/>
    <s v=""/>
    <s v=""/>
    <s v=""/>
    <s v=""/>
    <s v=""/>
    <s v=""/>
    <s v=""/>
    <s v=""/>
    <s v=""/>
    <s v=""/>
    <s v=""/>
    <s v=""/>
    <s v=""/>
    <s v=""/>
    <s v=""/>
    <s v=""/>
    <s v="Labor"/>
    <s v="Soto, Juan"/>
    <s v=""/>
    <s v=""/>
    <s v="AC-000604AC"/>
    <s v="ALLDALE 136-321 D 5LS - ESP2RP"/>
    <s v="AC-AC"/>
    <s v="1046"/>
    <s v=""/>
    <s v=""/>
    <s v=""/>
    <s v=""/>
    <s v=""/>
    <s v=""/>
    <s v=""/>
    <n v="9.5"/>
    <s v="HR"/>
    <n v="135"/>
    <s v=""/>
    <n v="1282.5"/>
    <s v="--multiple--"/>
    <s v="700289"/>
    <d v="2025-10-13T15:48:46"/>
    <s v=""/>
    <s v=""/>
    <s v=""/>
    <s v=""/>
  </r>
  <r>
    <s v="0930-8I"/>
    <s v="OTI Electrical Services LLC"/>
    <x v="9"/>
    <s v="John Gibson"/>
    <s v="Bobby Ramirez"/>
    <s v="Start 8:30am  Stop 7:00pm_x000a_Drive out line from SWD take off. Found burnt jumper and cut out. De-energized line. Repaired jumper and replace cutout with cutout from abandoned well. Energized line and verified good voltage. Trouble shoot recloser with phase showing zero volts. Put recloser in bypass. Found power company had good voltage by driving to nearest bank and verify good voltage. Verified recloser wasn't working properly."/>
    <s v="5051044"/>
    <s v="Upstream"/>
    <s v=""/>
    <s v="USD"/>
    <n v="5855.5"/>
    <s v="Direct Entry"/>
    <s v="1"/>
    <s v="Foreman"/>
    <s v="FOREMAN"/>
    <s v="Service"/>
    <d v="2025-10-03T06:37:03"/>
    <d v="2025-09-30T08:30:00"/>
    <d v="2025-09-30T14:00:00"/>
    <s v=""/>
    <s v="FRM RTE Willingham Jaime"/>
    <s v=""/>
    <s v=""/>
    <s v=""/>
    <s v=""/>
    <s v=""/>
    <s v=""/>
    <s v=""/>
    <s v=""/>
    <s v=""/>
    <s v=""/>
    <s v=""/>
    <s v=""/>
    <s v=""/>
    <s v=""/>
    <s v=""/>
    <s v=""/>
    <s v=""/>
    <s v=""/>
    <s v=""/>
    <s v=""/>
    <s v=""/>
    <s v=""/>
    <s v="Labor"/>
    <s v=""/>
    <s v=""/>
    <s v=""/>
    <s v="9100019400"/>
    <s v="FRM RTE-WILLINGHAM JAMIE"/>
    <s v="Upstream"/>
    <s v="1046"/>
    <s v=""/>
    <s v=""/>
    <s v=""/>
    <s v=""/>
    <s v=""/>
    <s v=""/>
    <s v=""/>
    <n v="5.5"/>
    <s v="HR"/>
    <n v="62"/>
    <s v=""/>
    <n v="341"/>
    <s v="--multiple--"/>
    <s v="708806"/>
    <d v="2025-10-03T07:03:06"/>
    <s v=""/>
    <s v=""/>
    <s v=""/>
    <s v=""/>
  </r>
  <r>
    <s v="AT45929-46"/>
    <s v="Advanced Integrated Services Inc"/>
    <x v="5"/>
    <s v="Joey Heredia"/>
    <s v="Gus Levario"/>
    <s v="Labor - picked up replacement tank stick and went to location ETC"/>
    <s v="5051042"/>
    <s v="Upstream"/>
    <s v=""/>
    <s v="USD"/>
    <n v="256"/>
    <s v="Direct Entry"/>
    <s v="1"/>
    <s v=""/>
    <s v="Automation Tech"/>
    <s v=""/>
    <d v="2025-10-13T11:36:15"/>
    <d v="2025-10-01T07:00:00"/>
    <d v="2025-10-01T09:00:00"/>
    <s v=""/>
    <s v="Me Tarzan 8-25 Tank Battery"/>
    <s v=""/>
    <s v=""/>
    <s v=""/>
    <s v=""/>
    <s v=""/>
    <s v=""/>
    <s v=""/>
    <s v=""/>
    <s v=""/>
    <s v=""/>
    <s v=""/>
    <s v=""/>
    <s v=""/>
    <s v=""/>
    <s v=""/>
    <s v=""/>
    <s v=""/>
    <s v=""/>
    <s v=""/>
    <s v=""/>
    <s v=""/>
    <s v=""/>
    <s v="Labor"/>
    <s v=""/>
    <s v=""/>
    <s v=""/>
    <s v="8300125300"/>
    <s v="ME TARZAN 8-25 BATTERY"/>
    <s v="Upstream"/>
    <s v="1046"/>
    <s v=""/>
    <s v=""/>
    <s v=""/>
    <s v=""/>
    <s v=""/>
    <s v=""/>
    <s v=""/>
    <n v="2"/>
    <s v="HR"/>
    <n v="105"/>
    <s v=""/>
    <n v="210"/>
    <s v="Pricebook"/>
    <s v="712953"/>
    <d v="2025-10-13T11:37:51"/>
    <s v=""/>
    <s v=""/>
    <s v=""/>
    <s v=""/>
  </r>
  <r>
    <s v="4593"/>
    <s v="JNG Consulting &amp; Contracting, LLC"/>
    <x v="9"/>
    <s v="John Garza"/>
    <s v="Jared Miller"/>
    <s v="Flowback labor, POJ Rental"/>
    <s v="5051012"/>
    <s v="Upstream"/>
    <s v=""/>
    <s v="USD"/>
    <n v="27900"/>
    <s v="Direct Entry"/>
    <s v="1"/>
    <s v=""/>
    <s v="Operator Labor- Chris Abshire"/>
    <s v=""/>
    <d v="2025-10-07T05:30:18"/>
    <d v="2025-09-22T00:00:00"/>
    <d v="2025-10-03T00:00:00"/>
    <s v=""/>
    <s v="Collingsworth"/>
    <s v=""/>
    <s v=""/>
    <s v=""/>
    <s v=""/>
    <s v=""/>
    <s v=""/>
    <s v=""/>
    <s v=""/>
    <s v=""/>
    <s v=""/>
    <s v=""/>
    <s v=""/>
    <s v=""/>
    <s v=""/>
    <s v=""/>
    <s v=""/>
    <s v=""/>
    <s v=""/>
    <s v=""/>
    <s v=""/>
    <s v=""/>
    <s v=""/>
    <s v="Labor"/>
    <s v=""/>
    <s v=""/>
    <s v=""/>
    <s v="8000302100"/>
    <s v="COLLINGSWORTH BATTERY"/>
    <s v="Upstream"/>
    <s v="1046"/>
    <s v=""/>
    <s v=""/>
    <s v=""/>
    <s v=""/>
    <s v=""/>
    <s v=""/>
    <s v=""/>
    <n v="14"/>
    <s v="12Hr"/>
    <n v="850"/>
    <s v=""/>
    <n v="11900"/>
    <s v="--multiple--"/>
    <s v="712638"/>
    <d v="2025-10-07T05:35:54"/>
    <s v=""/>
    <s v=""/>
    <s v=""/>
    <s v=""/>
  </r>
  <r>
    <s v="VT300-067367"/>
    <s v="T-P Rentals, LLC"/>
    <x v="9"/>
    <s v="John Garza"/>
    <s v="Jared Miller"/>
    <s v="VACUUM TRUCK"/>
    <s v="5051057"/>
    <s v="Upstream"/>
    <s v=""/>
    <s v="USD"/>
    <n v="650"/>
    <s v="Direct Entry"/>
    <s v="1"/>
    <s v="Vacuum Truck"/>
    <s v="VACUUM TRUCK"/>
    <s v="Service"/>
    <d v="2025-10-02T09:39:18"/>
    <d v="2025-09-30T14:30:00"/>
    <d v="2025-09-30T21:30:00"/>
    <d v="1899-12-30T07:00:00"/>
    <s v="PEGGY BATTERY"/>
    <s v=""/>
    <s v=""/>
    <s v="7"/>
    <s v=""/>
    <s v=""/>
    <s v=""/>
    <s v=""/>
    <s v=""/>
    <s v=""/>
    <s v=""/>
    <s v=""/>
    <s v=""/>
    <s v=""/>
    <s v=""/>
    <s v=""/>
    <s v=""/>
    <s v=""/>
    <s v=""/>
    <s v=""/>
    <s v=""/>
    <n v="0"/>
    <s v="bbl"/>
    <s v=""/>
    <s v=""/>
    <s v=""/>
    <s v=""/>
    <s v="1000829200"/>
    <s v="PEGGY A 01"/>
    <s v="Upstream"/>
    <s v="1046"/>
    <s v=""/>
    <s v=""/>
    <s v=""/>
    <s v=""/>
    <s v=""/>
    <s v=""/>
    <s v="Other"/>
    <n v="7"/>
    <s v="HR"/>
    <n v="90"/>
    <s v=""/>
    <n v="630"/>
    <s v="--multiple--"/>
    <s v="709885"/>
    <d v="2025-10-14T08:42:45"/>
    <s v=""/>
    <s v=""/>
    <s v="Electronic Field Ticket Issue"/>
    <s v=""/>
  </r>
  <r>
    <s v="430610"/>
    <s v="Diamond Pump and Transport, LLC"/>
    <x v="9"/>
    <s v="John Garza"/>
    <s v="Jared Miller"/>
    <s v="430610-LOAD 80FW AND CHEM RIG UP TBG PUMP BBLS WENT ON VAC"/>
    <s v="5051057"/>
    <s v="Upstream"/>
    <s v=""/>
    <s v="USD"/>
    <n v="306"/>
    <s v="Direct Entry"/>
    <s v="1"/>
    <s v="PUMP TRUCK"/>
    <s v="Pump Truck"/>
    <s v="GENERAL"/>
    <d v="2025-10-13T13:36:21"/>
    <d v="2025-10-09T11:30:00"/>
    <d v="2025-10-09T14:30:00"/>
    <s v=""/>
    <s v="RAFE 1"/>
    <s v=""/>
    <s v=""/>
    <s v=""/>
    <s v=""/>
    <s v=""/>
    <s v=""/>
    <s v=""/>
    <s v=""/>
    <s v=""/>
    <s v=""/>
    <s v=""/>
    <s v=""/>
    <s v=""/>
    <s v=""/>
    <s v=""/>
    <s v=""/>
    <s v=""/>
    <s v=""/>
    <s v=""/>
    <s v=""/>
    <s v=""/>
    <s v=""/>
    <s v="Equipment"/>
    <s v=""/>
    <s v=""/>
    <s v=""/>
    <s v="1000830000"/>
    <s v="RAFE 01"/>
    <s v="Upstream"/>
    <s v="1046"/>
    <s v=""/>
    <s v=""/>
    <s v=""/>
    <s v=""/>
    <s v=""/>
    <s v=""/>
    <s v=""/>
    <n v="3"/>
    <s v="HR"/>
    <n v="102"/>
    <s v=""/>
    <n v="306"/>
    <s v="Pricebook"/>
    <s v="705890"/>
    <d v="2025-10-13T13:38:02"/>
    <s v=""/>
    <s v=""/>
    <s v=""/>
    <s v=""/>
  </r>
  <r>
    <s v="430774"/>
    <s v="Diamond Pump and Transport, LLC"/>
    <x v="9"/>
    <s v="John Garza"/>
    <s v="Jared Miller"/>
    <s v="430774-HAULED 40BBLS FW TO PT TO CHECK PUMP TRUCK PUMP"/>
    <s v="5051057"/>
    <s v="Upstream"/>
    <s v=""/>
    <s v="USD"/>
    <n v="261.25"/>
    <s v="Direct Entry"/>
    <s v="1"/>
    <s v="VACUUM TRUCK"/>
    <s v="Vac Truck"/>
    <s v=""/>
    <d v="2025-10-13T13:43:59"/>
    <d v="2025-10-09T12:30:00"/>
    <d v="2025-10-09T15:15:00"/>
    <d v="1899-12-30T02:45:00"/>
    <s v="RAFEL 1"/>
    <s v=""/>
    <s v=""/>
    <s v="*"/>
    <s v=""/>
    <s v=""/>
    <s v=""/>
    <s v=""/>
    <s v=""/>
    <s v=""/>
    <s v=""/>
    <s v=""/>
    <s v=""/>
    <s v=""/>
    <s v=""/>
    <s v=""/>
    <s v=""/>
    <s v=""/>
    <s v=""/>
    <s v=""/>
    <s v=""/>
    <n v="0"/>
    <s v="bbl"/>
    <s v=""/>
    <s v=""/>
    <s v=""/>
    <s v=""/>
    <s v="1000830000"/>
    <s v="RAFE 01"/>
    <s v="Upstream"/>
    <s v="1046"/>
    <s v=""/>
    <s v=""/>
    <s v=""/>
    <s v=""/>
    <s v=""/>
    <s v=""/>
    <s v="Hours Worked"/>
    <n v="2.75"/>
    <s v="hour"/>
    <n v="95"/>
    <s v=""/>
    <n v="261.25"/>
    <s v="Pricebook"/>
    <s v="705890"/>
    <d v="2025-10-13T13:46:14"/>
    <s v=""/>
    <s v=""/>
    <s v=""/>
    <s v=""/>
  </r>
  <r>
    <s v="HHAY_250818_183607"/>
    <s v="Superior Optimization Ltd"/>
    <x v="8"/>
    <s v="Josh Marquez"/>
    <s v="Srikanth Potala"/>
    <s v="Dispatched to location at the request of Josh Marquez to begin the process of updating camera and radio login credentials to align with Diamondback’s standardized access policy._x000a_• This is part of a company-wide initiative to transition all remote monitoring hardware—including IP cameras and wireless radios—to Diamondback-controlled login credentials for improved security and centralized management._x000a_• On site, accessed each device and verified existing login credentials._x000a_• Updated usernames and passwords on all applicable cameras and radios to match Diamondback’s new authentication standards._x000a_• Confirmed successful login and remote accessibility using the updated credentials._x000a_• Documented the changes in a personal tracking spreadsheet to maintain a clear record of completed locations and those still pending updates."/>
    <s v="5051010"/>
    <s v="Upstream"/>
    <s v=""/>
    <s v="USD"/>
    <n v="555"/>
    <s v="B2B"/>
    <s v="1"/>
    <s v="AUTOTECH"/>
    <s v="Automation Technician"/>
    <s v=""/>
    <d v="2025-08-27T09:11:03"/>
    <d v="2025-08-18T11:00:00"/>
    <d v="2025-08-18T14:00:00"/>
    <s v=""/>
    <s v=""/>
    <s v=""/>
    <s v=""/>
    <s v=""/>
    <s v=""/>
    <s v=""/>
    <s v=""/>
    <s v=""/>
    <s v=""/>
    <s v=""/>
    <s v=""/>
    <s v=""/>
    <s v=""/>
    <s v=""/>
    <s v=""/>
    <s v=""/>
    <s v=""/>
    <s v=""/>
    <s v=""/>
    <s v=""/>
    <s v=""/>
    <s v=""/>
    <s v=""/>
    <s v="Labor"/>
    <s v=""/>
    <s v=""/>
    <s v=""/>
    <s v="8300097400"/>
    <s v="ELKINS ATRELLE 31-42 2 BATTERY"/>
    <s v="Upstream"/>
    <s v="1046"/>
    <s v=""/>
    <s v=""/>
    <s v=""/>
    <s v=""/>
    <s v=""/>
    <s v=""/>
    <s v=""/>
    <n v="3"/>
    <s v="HR"/>
    <n v="145"/>
    <s v=""/>
    <n v="435"/>
    <s v="--multiple--"/>
    <s v="700399"/>
    <d v="2025-10-09T16:04:47"/>
    <s v=""/>
    <s v=""/>
    <s v="Requisitioner Error | Requisitioner Error"/>
    <s v=""/>
  </r>
  <r>
    <s v="HHAY_250829_144634"/>
    <s v="Superior Optimization Ltd"/>
    <x v="2"/>
    <s v="Josh Marquez"/>
    <s v="Srikanth Potala"/>
    <s v="Dispatched to location at the request of Josh Marquez to begin the process of updating camera and radio login credentials to align with Diamondback’s standardized access policy._x000a_• This is part of a company-wide initiative to transition all remote monitoring hardware—including IP cameras and wireless radios—to Diamondback-controlled login credentials for improved security and centralized management._x000a_• On site, accessed each device and verified existing login credentials._x000a_• Updated usernames and passwords on all applicable cameras and radios to match Diamondback’s new authentication standards._x000a_• Confirmed successful login and remote accessibility using the updated credentials._x000a_• Documented the changes in a personal tracking spreadsheet to maintain a clear record of completed locations and those still pending updates."/>
    <s v="5051010"/>
    <s v="Upstream"/>
    <s v=""/>
    <s v="USD"/>
    <n v="435"/>
    <s v="B2B"/>
    <s v="1"/>
    <s v="AUTOTECH"/>
    <s v="Automation Technician"/>
    <s v=""/>
    <d v="2025-09-18T14:10:31"/>
    <d v="2025-08-29T11:00:00"/>
    <d v="2025-08-29T14:00:00"/>
    <s v=""/>
    <s v=""/>
    <s v=""/>
    <s v=""/>
    <s v=""/>
    <s v=""/>
    <s v=""/>
    <s v=""/>
    <s v=""/>
    <s v=""/>
    <s v=""/>
    <s v=""/>
    <s v=""/>
    <s v=""/>
    <s v=""/>
    <s v=""/>
    <s v=""/>
    <s v=""/>
    <s v=""/>
    <s v=""/>
    <s v=""/>
    <s v=""/>
    <s v=""/>
    <s v=""/>
    <s v="Labor"/>
    <s v=""/>
    <s v=""/>
    <s v=""/>
    <s v="8300169700"/>
    <s v="WTH 24-13 BATTERY 1"/>
    <s v="Upstream"/>
    <s v="1046"/>
    <s v=""/>
    <s v=""/>
    <s v=""/>
    <s v=""/>
    <s v=""/>
    <s v=""/>
    <s v=""/>
    <n v="3"/>
    <s v="HR"/>
    <n v="145"/>
    <s v=""/>
    <n v="435"/>
    <s v="--multiple--"/>
    <s v="700399"/>
    <d v="2025-09-30T09:32:18"/>
    <s v=""/>
    <s v=""/>
    <s v=""/>
    <s v=""/>
  </r>
  <r>
    <s v="HHAY_250829_143805"/>
    <s v="Superior Optimization Ltd"/>
    <x v="2"/>
    <s v="Josh Marquez"/>
    <s v="Srikanth Potala"/>
    <s v="Dispatched to location at the request of Josh Marquez to begin the process of updating camera and radio login credentials to align with Diamondback’s standardized access policy._x000a_• This is part of a company-wide initiative to transition all remote monitoring hardware—including IP cameras and wireless radios—to Diamondback-controlled login credentials for improved security and centralized management._x000a_• On site, accessed each device and verified existing login credentials._x000a_• Updated usernames and passwords on all applicable cameras and radios to match Diamondback’s new authentication standards._x000a_• Confirmed successful login and remote accessibility using the updated credentials._x000a_• Documented the changes in a personal tracking spreadsheet to maintain a clear record of completed locations and those still pending updates."/>
    <s v="5051010"/>
    <s v="Upstream"/>
    <s v=""/>
    <s v="USD"/>
    <n v="435"/>
    <s v="B2B"/>
    <s v="1"/>
    <s v="AUTOTECH"/>
    <s v="Automation Technician"/>
    <s v=""/>
    <d v="2025-09-18T14:10:38"/>
    <d v="2025-08-29T08:00:00"/>
    <d v="2025-08-29T11:00:00"/>
    <s v=""/>
    <s v=""/>
    <s v=""/>
    <s v=""/>
    <s v=""/>
    <s v=""/>
    <s v=""/>
    <s v=""/>
    <s v=""/>
    <s v=""/>
    <s v=""/>
    <s v=""/>
    <s v=""/>
    <s v=""/>
    <s v=""/>
    <s v=""/>
    <s v=""/>
    <s v=""/>
    <s v=""/>
    <s v=""/>
    <s v=""/>
    <s v=""/>
    <s v=""/>
    <s v=""/>
    <s v="Labor"/>
    <s v=""/>
    <s v=""/>
    <s v=""/>
    <s v="8300222600"/>
    <s v="WTH 24-13 BATTERY 2"/>
    <s v="Upstream"/>
    <s v="1046"/>
    <s v=""/>
    <s v=""/>
    <s v=""/>
    <s v=""/>
    <s v=""/>
    <s v=""/>
    <s v=""/>
    <n v="3"/>
    <s v="HR"/>
    <n v="145"/>
    <s v=""/>
    <n v="435"/>
    <s v="--multiple--"/>
    <s v="700399"/>
    <d v="2025-09-30T09:29:55"/>
    <s v=""/>
    <s v=""/>
    <s v=""/>
    <s v=""/>
  </r>
  <r>
    <s v="HHAY_250829_144954"/>
    <s v="Superior Optimization Ltd"/>
    <x v="2"/>
    <s v="Josh Marquez"/>
    <s v="Srikanth Potala"/>
    <s v="Dispatched to location at the request of Josh Marquez to begin the process of updating camera and radio login credentials to align with Diamondback’s standardized access policy._x000a_• This is part of a company-wide initiative to transition all remote monitoring hardware—including IP cameras and wireless radios—to Diamondback-controlled login credentials for improved security and centralized management._x000a_• On site, accessed each device and verified existing login credentials._x000a_• Updated usernames and passwords on all applicable cameras and radios to match Diamondback’s new authentication standards._x000a_• Confirmed successful login and remote accessibility using the updated credentials._x000a_• Documented the changes in a personal tracking spreadsheet to maintain a clear record of completed locations and those still pending updates."/>
    <s v="5051010"/>
    <s v="Upstream"/>
    <s v=""/>
    <s v="USD"/>
    <n v="485.75"/>
    <s v="B2B"/>
    <s v="1"/>
    <s v="AUTOTECH"/>
    <s v="Automation Technician"/>
    <s v=""/>
    <d v="2025-09-18T14:11:08"/>
    <d v="2025-08-29T14:00:00"/>
    <d v="2025-08-29T16:00:00"/>
    <s v=""/>
    <s v=""/>
    <s v=""/>
    <s v=""/>
    <s v=""/>
    <s v=""/>
    <s v=""/>
    <s v=""/>
    <s v=""/>
    <s v=""/>
    <s v=""/>
    <s v=""/>
    <s v=""/>
    <s v=""/>
    <s v=""/>
    <s v=""/>
    <s v=""/>
    <s v=""/>
    <s v=""/>
    <s v=""/>
    <s v=""/>
    <s v=""/>
    <s v=""/>
    <s v=""/>
    <s v="Labor"/>
    <s v=""/>
    <s v=""/>
    <s v=""/>
    <s v="8300169400"/>
    <s v="WTH 20-8 BATTERY"/>
    <s v="Upstream"/>
    <s v="1046"/>
    <s v=""/>
    <s v=""/>
    <s v=""/>
    <s v=""/>
    <s v=""/>
    <s v=""/>
    <s v=""/>
    <n v="2"/>
    <s v="HR"/>
    <n v="145"/>
    <s v=""/>
    <n v="290"/>
    <s v="--multiple--"/>
    <s v="700399"/>
    <d v="2025-09-30T09:36:45"/>
    <s v=""/>
    <s v=""/>
    <s v=""/>
    <s v=""/>
  </r>
  <r>
    <s v="211752"/>
    <s v="Basin Trucking LLC"/>
    <x v="4"/>
    <s v="Justin Spraglin"/>
    <s v="Jobe Christon"/>
    <s v="Drove tom right light picked up forklift and delivered to Limestone office for crew to load up pipes."/>
    <s v="5051023"/>
    <s v="Upstream"/>
    <s v="168855"/>
    <s v="USD"/>
    <n v="637.5"/>
    <s v="Direct Entry"/>
    <s v="1"/>
    <s v="lowboy"/>
    <s v="Lowboy"/>
    <s v="freight"/>
    <d v="2025-10-07T19:41:51"/>
    <d v="2025-10-01T09:45:00"/>
    <d v="2025-10-01T14:00:00"/>
    <s v=""/>
    <s v="Buck (AK) 1LB"/>
    <s v=""/>
    <s v=""/>
    <s v=""/>
    <s v=""/>
    <s v=""/>
    <s v=""/>
    <s v=""/>
    <s v=""/>
    <s v=""/>
    <s v=""/>
    <s v=""/>
    <s v=""/>
    <s v=""/>
    <s v=""/>
    <s v=""/>
    <s v=""/>
    <s v=""/>
    <s v=""/>
    <s v=""/>
    <s v=""/>
    <s v=""/>
    <s v=""/>
    <s v="Equipment"/>
    <s v=""/>
    <s v=""/>
    <s v=""/>
    <s v="1000287600"/>
    <s v="BUCK (AK) 1LB"/>
    <s v="Upstream"/>
    <s v="1046"/>
    <s v=""/>
    <s v=""/>
    <s v=""/>
    <s v=""/>
    <s v=""/>
    <s v=""/>
    <s v=""/>
    <n v="4.25"/>
    <s v="HR"/>
    <n v="150"/>
    <s v=""/>
    <n v="637.5"/>
    <s v="--multiple--"/>
    <s v="703517"/>
    <d v="2025-10-10T09:22:19"/>
    <s v=""/>
    <s v=""/>
    <s v="Attachment Issue | Altered or Handwritten | Coding/Location Issue"/>
    <s v=""/>
  </r>
  <r>
    <s v="212146"/>
    <s v="Basin Trucking LLC"/>
    <x v="3"/>
    <s v="Justin Spraglin"/>
    <s v="Jobe Christon"/>
    <s v="Continued to cut and put on the container"/>
    <s v="5051023"/>
    <s v="Upstream"/>
    <s v="168856"/>
    <s v="USD"/>
    <n v="357.5"/>
    <s v="Direct Entry"/>
    <s v="1"/>
    <s v="3 Man Crew"/>
    <s v="3 Man Crew"/>
    <s v="Roustabout Crew"/>
    <d v="2025-10-10T09:31:24"/>
    <d v="2025-10-04T11:30:00"/>
    <d v="2025-10-04T14:15:00"/>
    <s v=""/>
    <s v="BUCK (AK) 3LL"/>
    <s v=""/>
    <s v=""/>
    <s v=""/>
    <s v=""/>
    <s v=""/>
    <s v=""/>
    <s v=""/>
    <s v=""/>
    <s v=""/>
    <s v=""/>
    <s v=""/>
    <s v=""/>
    <s v=""/>
    <s v=""/>
    <s v=""/>
    <s v=""/>
    <s v=""/>
    <s v=""/>
    <s v=""/>
    <s v=""/>
    <s v=""/>
    <s v=""/>
    <s v="Labor"/>
    <s v=""/>
    <s v=""/>
    <s v=""/>
    <s v="1000287800"/>
    <s v="BUCK (AK) 3LL"/>
    <s v="Upstream"/>
    <s v="1046"/>
    <s v=""/>
    <s v=""/>
    <s v=""/>
    <s v=""/>
    <s v=""/>
    <s v=""/>
    <s v=""/>
    <n v="2.75"/>
    <s v="HR"/>
    <n v="130"/>
    <s v=""/>
    <n v="357.5"/>
    <s v="--multiple--"/>
    <s v="703517"/>
    <d v="2025-10-10T09:32:55"/>
    <s v=""/>
    <s v=""/>
    <s v=""/>
    <s v=""/>
  </r>
  <r>
    <s v="202544698"/>
    <s v="AM Fabrication Inc"/>
    <x v="2"/>
    <s v="Kenneth Hall"/>
    <s v="Gary Cain"/>
    <s v="I began by isolating main cut off switch and unit also. I loosened up motor and installed all new belts. Next I_x000a_removed cut off switch main breaker as was not turning off power and installed new one. I then proceeded to_x000a_disassemble condensate pump and install new packing seal. Last a new pressure switch was installed."/>
    <s v="5051006"/>
    <s v="Upstream"/>
    <s v="167781"/>
    <s v="USD"/>
    <n v="1771.97"/>
    <s v="Direct Entry"/>
    <s v="1"/>
    <s v="LABOR - 1"/>
    <s v="Technician Labor Hours"/>
    <s v=""/>
    <d v="2025-10-07T20:40:24"/>
    <d v="2025-09-30T10:00:00"/>
    <d v="2025-09-30T16:00:00"/>
    <s v=""/>
    <s v="RUSTY NAIL 1HB"/>
    <s v=""/>
    <s v=""/>
    <s v=""/>
    <s v=""/>
    <s v=""/>
    <s v=""/>
    <s v=""/>
    <s v=""/>
    <s v=""/>
    <s v=""/>
    <s v=""/>
    <s v=""/>
    <s v=""/>
    <s v=""/>
    <s v=""/>
    <s v=""/>
    <s v=""/>
    <s v=""/>
    <s v=""/>
    <s v=""/>
    <s v=""/>
    <s v=""/>
    <s v="Labor"/>
    <s v=""/>
    <s v=""/>
    <s v=""/>
    <s v="8300196400"/>
    <s v="RUSTY NAIL 1HB BATTERY"/>
    <s v="Upstream"/>
    <s v="1046"/>
    <s v=""/>
    <s v=""/>
    <s v=""/>
    <s v=""/>
    <s v=""/>
    <s v=""/>
    <s v=""/>
    <n v="6"/>
    <s v="hour"/>
    <n v="105"/>
    <s v=""/>
    <n v="630"/>
    <s v="--multiple--"/>
    <s v="703623"/>
    <d v="2025-10-07T20:45:17"/>
    <s v=""/>
    <s v=""/>
    <s v=""/>
    <s v=""/>
  </r>
  <r>
    <s v="N11001870504"/>
    <s v="SES Holdings, LLC"/>
    <x v="1"/>
    <s v="Justin Riffe"/>
    <s v="Aron Nunez"/>
    <s v="D RILEY BATTERY; Haul Production Water; Justin Riffe"/>
    <s v="5051054"/>
    <s v="Upstream"/>
    <s v=""/>
    <s v="USD"/>
    <n v="312.39999999999998"/>
    <s v=""/>
    <s v="1"/>
    <s v="10-1223HRS"/>
    <s v="TP-Pick-Up Production / Lease Water"/>
    <s v="Transport"/>
    <d v="2025-10-07T14:24:13"/>
    <d v="2025-09-14T15:45:00"/>
    <d v="2025-09-14T18:15:00"/>
    <d v="1899-12-30T02:30:00"/>
    <s v="D RILEY BATTERY"/>
    <s v="N32000318276"/>
    <s v="Wright SWD"/>
    <s v="Production / Lease / Salt Water"/>
    <s v=""/>
    <s v=""/>
    <s v=""/>
    <s v=""/>
    <n v="7"/>
    <n v="6"/>
    <n v="1"/>
    <n v="8"/>
    <s v=""/>
    <s v=""/>
    <s v=""/>
    <s v=""/>
    <s v=""/>
    <s v=""/>
    <s v=""/>
    <s v=""/>
    <s v=""/>
    <n v="120"/>
    <s v="bbl"/>
    <s v=""/>
    <s v=""/>
    <s v=""/>
    <s v=""/>
    <s v="8300145100"/>
    <s v="RILEY D 2 BATTERY"/>
    <s v="Upstream"/>
    <s v="1046"/>
    <s v=""/>
    <s v=""/>
    <s v=""/>
    <s v=""/>
    <s v=""/>
    <s v=""/>
    <s v="Other"/>
    <n v="2.5"/>
    <s v="HRS"/>
    <n v="100"/>
    <s v=""/>
    <n v="250"/>
    <s v="--multiple--"/>
    <s v="700224"/>
    <d v="2025-10-07T14:24:13"/>
    <s v=""/>
    <s v=""/>
    <s v=""/>
    <s v=""/>
  </r>
  <r>
    <s v="INV1148234"/>
    <s v="Rusco Operating, LLC"/>
    <x v="7"/>
    <s v="Justin Riffe"/>
    <s v="Aron Nunez"/>
    <s v="Invoice - Baldemar Martinez - Lease Operator / Pumper, 9/23/2025 - 9/28/2025"/>
    <s v="5051012"/>
    <s v="Upstream"/>
    <s v=""/>
    <s v="USD"/>
    <n v="5950"/>
    <s v="B2B"/>
    <s v="1"/>
    <s v="Labor"/>
    <s v="(Labor) Baldemar Martinez - Lease Operator / Pumper"/>
    <s v=""/>
    <d v="2025-10-02T10:37:26"/>
    <d v="2025-09-23T06:00:00"/>
    <d v="2025-09-25T17:30:00"/>
    <s v=""/>
    <s v="Nunez Aron"/>
    <s v=""/>
    <s v=""/>
    <s v=""/>
    <s v=""/>
    <s v=""/>
    <s v=""/>
    <s v=""/>
    <s v=""/>
    <s v=""/>
    <s v=""/>
    <s v=""/>
    <s v=""/>
    <s v=""/>
    <s v=""/>
    <s v=""/>
    <s v=""/>
    <s v=""/>
    <s v=""/>
    <s v=""/>
    <s v=""/>
    <s v=""/>
    <s v=""/>
    <s v="Labor"/>
    <s v=""/>
    <s v=""/>
    <s v=""/>
    <s v="9100040500"/>
    <s v="NMB-COB 4-2"/>
    <s v="Upstream"/>
    <s v="1046"/>
    <s v=""/>
    <s v=""/>
    <s v=""/>
    <s v=""/>
    <s v=""/>
    <s v=""/>
    <s v=""/>
    <n v="36"/>
    <s v="hour"/>
    <n v="70"/>
    <s v=""/>
    <n v="2520"/>
    <s v="--multiple--"/>
    <s v="704765"/>
    <d v="2025-10-02T10:51:12"/>
    <s v=""/>
    <s v=""/>
    <s v=""/>
    <s v=""/>
  </r>
  <r>
    <s v="N11001861319"/>
    <s v="SES Holdings, LLC"/>
    <x v="1"/>
    <s v="Justin Riffe"/>
    <s v="Aron Nunez"/>
    <s v="D RILEY BATTERY; Haul Production Water; Justin Riffe"/>
    <s v="5051054"/>
    <s v="Upstream"/>
    <s v=""/>
    <s v="USD"/>
    <n v="335"/>
    <s v=""/>
    <s v="1"/>
    <s v="10-1223HRS"/>
    <s v="TP-Pick-Up Production / Lease Water"/>
    <s v="Transport"/>
    <d v="2025-10-07T10:53:57"/>
    <d v="2025-09-23T06:45:00"/>
    <d v="2025-09-23T09:30:00"/>
    <d v="1899-12-30T02:45:00"/>
    <s v="D RILEY BATTERY"/>
    <s v="1098-30331"/>
    <s v="Select - Judge Swd"/>
    <s v="Production / Lease / Salt Water"/>
    <s v=""/>
    <s v=""/>
    <s v=""/>
    <s v=""/>
    <n v="5"/>
    <n v="4"/>
    <n v="1"/>
    <n v="10"/>
    <s v=""/>
    <s v=""/>
    <s v=""/>
    <s v=""/>
    <s v=""/>
    <s v=""/>
    <s v=""/>
    <s v=""/>
    <s v=""/>
    <n v="100"/>
    <s v="bbl"/>
    <s v=""/>
    <s v=""/>
    <s v=""/>
    <s v=""/>
    <s v="8300145100"/>
    <s v="RILEY D 2 BATTERY"/>
    <s v="Upstream"/>
    <s v="1046"/>
    <s v=""/>
    <s v=""/>
    <s v=""/>
    <s v=""/>
    <s v=""/>
    <s v=""/>
    <s v="Other"/>
    <n v="2.75"/>
    <s v="HRS"/>
    <n v="100"/>
    <s v=""/>
    <n v="275"/>
    <s v="--multiple--"/>
    <s v="700224"/>
    <d v="2025-10-07T10:53:57"/>
    <s v=""/>
    <s v=""/>
    <s v=""/>
    <s v=""/>
  </r>
  <r>
    <s v="N11001873974"/>
    <s v="SES Holdings, LLC"/>
    <x v="1"/>
    <s v="Justin Riffe"/>
    <s v="Aron Nunez"/>
    <s v="SHORTES-FRAZIER 44-5 BATTERY; HOURLY; Justin Riffe"/>
    <s v="5051057"/>
    <s v="Upstream"/>
    <s v=""/>
    <s v="USD"/>
    <n v="806.2"/>
    <s v=""/>
    <s v="1"/>
    <s v="10-1212HRS"/>
    <s v="TP-Pick-Up Ground Water"/>
    <s v="Transport"/>
    <d v="2025-10-07T10:53:38"/>
    <d v="2025-09-24T14:45:00"/>
    <d v="2025-09-24T22:00:00"/>
    <d v="1899-12-30T07:45:00"/>
    <s v="SHORTES-FRAZIER 44-5 BATTERY"/>
    <s v="N32000319130"/>
    <s v="CAVE SWD"/>
    <s v="10.2 Water"/>
    <s v=""/>
    <s v=""/>
    <s v=""/>
    <s v=""/>
    <n v="0"/>
    <n v="0"/>
    <n v="0"/>
    <n v="0"/>
    <s v=""/>
    <s v=""/>
    <s v=""/>
    <s v=""/>
    <s v=""/>
    <s v=""/>
    <s v=""/>
    <s v=""/>
    <s v=""/>
    <n v="60"/>
    <s v="bbl"/>
    <s v=""/>
    <s v=""/>
    <s v=""/>
    <s v=""/>
    <s v="8300152000"/>
    <s v="SHORTES-FRAZIER 44-5 BATTERY"/>
    <s v="Upstream"/>
    <s v="1046"/>
    <s v=""/>
    <s v=""/>
    <s v=""/>
    <s v=""/>
    <s v=""/>
    <s v=""/>
    <s v="Other"/>
    <n v="7.75"/>
    <s v="HRS"/>
    <n v="100"/>
    <s v=""/>
    <n v="775"/>
    <s v="--multiple--"/>
    <s v="700224"/>
    <d v="2025-10-07T10:53:38"/>
    <s v=""/>
    <s v=""/>
    <s v=""/>
    <s v=""/>
  </r>
  <r>
    <s v="30170"/>
    <s v="Well Solutions LLC"/>
    <x v="1"/>
    <s v="Justin Riffe"/>
    <s v="Aron Nunez"/>
    <s v="LOAD PW 70 BBL HOT WATER CASING/FLOWLINE 70 BBL"/>
    <s v="5051026"/>
    <s v="Upstream"/>
    <s v=""/>
    <s v="USD"/>
    <n v="535.5"/>
    <s v="Direct Entry"/>
    <s v="1"/>
    <s v="10000020"/>
    <s v="Scheduled Program Hot Oil per BBL"/>
    <s v="Hot OIl"/>
    <d v="2025-10-07T10:58:39"/>
    <d v="2025-10-03T11:30:00"/>
    <d v="2025-10-03T13:00:00"/>
    <s v=""/>
    <s v=""/>
    <s v=""/>
    <s v=""/>
    <s v=""/>
    <s v=""/>
    <s v=""/>
    <s v=""/>
    <s v=""/>
    <s v=""/>
    <s v=""/>
    <s v=""/>
    <s v=""/>
    <s v=""/>
    <s v=""/>
    <s v=""/>
    <s v=""/>
    <s v=""/>
    <s v=""/>
    <s v=""/>
    <s v=""/>
    <s v=""/>
    <s v=""/>
    <s v=""/>
    <s v="Labor"/>
    <s v=""/>
    <s v=""/>
    <s v=""/>
    <s v="1001304200"/>
    <s v="HILL 61 B1"/>
    <s v="Upstream"/>
    <s v="1046"/>
    <s v=""/>
    <s v=""/>
    <s v=""/>
    <s v=""/>
    <s v=""/>
    <s v=""/>
    <s v=""/>
    <n v="70"/>
    <s v="BBL"/>
    <n v="7.65"/>
    <s v=""/>
    <n v="535.5"/>
    <s v="--multiple--"/>
    <s v="702744"/>
    <d v="2025-10-07T10:59:34"/>
    <s v=""/>
    <s v=""/>
    <s v=""/>
    <s v=""/>
  </r>
  <r>
    <s v="30171"/>
    <s v="Well Solutions LLC"/>
    <x v="1"/>
    <s v="Justin Riffe"/>
    <s v="Aron Nunez"/>
    <s v="LOAD PW 70 BBL HOT WATER CASING/FLOWLINE 70 BBL"/>
    <s v="5051026"/>
    <s v="Upstream"/>
    <s v=""/>
    <s v="USD"/>
    <n v="535.5"/>
    <s v="Direct Entry"/>
    <s v="1"/>
    <s v="10000020"/>
    <s v="Scheduled Program Hot Oil per BBL"/>
    <s v="Hot OIl"/>
    <d v="2025-10-07T11:00:07"/>
    <d v="2025-10-03T13:00:00"/>
    <d v="2025-10-03T15:45:00"/>
    <s v=""/>
    <s v=""/>
    <s v=""/>
    <s v=""/>
    <s v=""/>
    <s v=""/>
    <s v=""/>
    <s v=""/>
    <s v=""/>
    <s v=""/>
    <s v=""/>
    <s v=""/>
    <s v=""/>
    <s v=""/>
    <s v=""/>
    <s v=""/>
    <s v=""/>
    <s v=""/>
    <s v=""/>
    <s v=""/>
    <s v=""/>
    <s v=""/>
    <s v=""/>
    <s v=""/>
    <s v="Labor"/>
    <s v=""/>
    <s v=""/>
    <s v=""/>
    <s v="8300145100"/>
    <s v="RILEY D 2 BATTERY"/>
    <s v="Upstream"/>
    <s v="1046"/>
    <s v=""/>
    <s v=""/>
    <s v=""/>
    <s v=""/>
    <s v=""/>
    <s v=""/>
    <s v=""/>
    <n v="70"/>
    <s v="BBL"/>
    <n v="7.65"/>
    <s v=""/>
    <n v="535.5"/>
    <s v="--multiple--"/>
    <s v="702744"/>
    <d v="2025-10-07T11:01:24"/>
    <s v=""/>
    <s v=""/>
    <s v=""/>
    <s v=""/>
  </r>
  <r>
    <s v="477081"/>
    <s v="Rolltex, Inc."/>
    <x v="3"/>
    <s v="Billy Darrow"/>
    <s v="Josh Clemmer"/>
    <s v="parts and supplies"/>
    <s v="5051035"/>
    <s v="Upstream"/>
    <s v=""/>
    <s v="USD"/>
    <n v="261.85000000000002"/>
    <s v="Direct Entry"/>
    <s v="1"/>
    <s v=""/>
    <s v="SHEAVES &amp; HUBS:5C8.0E"/>
    <s v=""/>
    <d v="2025-10-13T11:39:45"/>
    <d v="2025-10-10T00:00:00"/>
    <d v="2025-10-10T00:00:00"/>
    <s v=""/>
    <s v="COMANCHE 0 29-42 6LS"/>
    <s v=""/>
    <s v=""/>
    <s v=""/>
    <s v=""/>
    <s v=""/>
    <s v=""/>
    <s v=""/>
    <s v=""/>
    <s v=""/>
    <s v=""/>
    <s v=""/>
    <s v=""/>
    <s v=""/>
    <s v=""/>
    <s v=""/>
    <s v=""/>
    <s v=""/>
    <s v=""/>
    <s v=""/>
    <s v=""/>
    <s v=""/>
    <s v=""/>
    <s v="Material"/>
    <s v=""/>
    <s v=""/>
    <s v=""/>
    <s v="1000664000"/>
    <s v="UL COMANCHE O 29-42 6LS"/>
    <s v="Upstream"/>
    <s v="1046"/>
    <s v=""/>
    <s v=""/>
    <s v=""/>
    <s v=""/>
    <s v=""/>
    <s v=""/>
    <s v=""/>
    <n v="1"/>
    <s v="EA"/>
    <n v="192.25"/>
    <s v=""/>
    <n v="192.25"/>
    <s v=""/>
    <s v="704744"/>
    <d v="2025-10-13T11:42:34"/>
    <s v=""/>
    <s v=""/>
    <s v=""/>
    <s v=""/>
  </r>
  <r>
    <s v="30175"/>
    <s v="Well Solutions LLC"/>
    <x v="1"/>
    <s v="Justin Riffe"/>
    <s v="Aron Nunez"/>
    <s v="LOAD PW 70 BBL HOT WATER CASING/FLOWLINE 70 BBL"/>
    <s v="5051026"/>
    <s v="Upstream"/>
    <s v=""/>
    <s v="USD"/>
    <n v="535.5"/>
    <s v="Direct Entry"/>
    <s v="1"/>
    <s v="10000020"/>
    <s v="Scheduled Program Hot Oil per BBL"/>
    <s v="Hot OIl"/>
    <d v="2025-10-07T13:45:08"/>
    <d v="2025-10-06T11:45:00"/>
    <d v="2025-10-06T13:45:00"/>
    <s v=""/>
    <s v=""/>
    <s v=""/>
    <s v=""/>
    <s v=""/>
    <s v=""/>
    <s v=""/>
    <s v=""/>
    <s v=""/>
    <s v=""/>
    <s v=""/>
    <s v=""/>
    <s v=""/>
    <s v=""/>
    <s v=""/>
    <s v=""/>
    <s v=""/>
    <s v=""/>
    <s v=""/>
    <s v=""/>
    <s v=""/>
    <s v=""/>
    <s v=""/>
    <s v=""/>
    <s v="Labor"/>
    <s v=""/>
    <s v=""/>
    <s v=""/>
    <s v="1001302900"/>
    <s v="SHOCKLEY 3 1"/>
    <s v="Upstream"/>
    <s v="1046"/>
    <s v=""/>
    <s v=""/>
    <s v=""/>
    <s v=""/>
    <s v=""/>
    <s v=""/>
    <s v=""/>
    <n v="70"/>
    <s v="BBL"/>
    <n v="7.65"/>
    <s v=""/>
    <n v="535.5"/>
    <s v="--multiple--"/>
    <s v="702744"/>
    <d v="2025-10-07T13:46:01"/>
    <s v=""/>
    <s v=""/>
    <s v=""/>
    <s v=""/>
  </r>
  <r>
    <s v="30376"/>
    <s v="Well Solutions LLC"/>
    <x v="1"/>
    <s v="Justin Riffe"/>
    <s v="Aron Nunez"/>
    <s v="LOAD PW 70 BBL HOT WATER CASING/FLOWLINE 70 BBL"/>
    <s v="5051026"/>
    <s v="Upstream"/>
    <s v=""/>
    <s v="USD"/>
    <n v="535.5"/>
    <s v="Direct Entry"/>
    <s v="1"/>
    <s v="10000020"/>
    <s v="Scheduled Program Hot Oil per BBL"/>
    <s v="Hot OIl"/>
    <d v="2025-10-07T13:46:29"/>
    <d v="2025-10-06T13:45:00"/>
    <d v="2025-10-06T16:15:00"/>
    <s v=""/>
    <s v=""/>
    <s v=""/>
    <s v=""/>
    <s v=""/>
    <s v=""/>
    <s v=""/>
    <s v=""/>
    <s v=""/>
    <s v=""/>
    <s v=""/>
    <s v=""/>
    <s v=""/>
    <s v=""/>
    <s v=""/>
    <s v=""/>
    <s v=""/>
    <s v=""/>
    <s v=""/>
    <s v=""/>
    <s v=""/>
    <s v=""/>
    <s v=""/>
    <s v=""/>
    <s v="Labor"/>
    <s v=""/>
    <s v=""/>
    <s v=""/>
    <s v="1001315500"/>
    <s v="SHAW FARMS UNIT 2"/>
    <s v="Upstream"/>
    <s v="1046"/>
    <s v=""/>
    <s v=""/>
    <s v=""/>
    <s v=""/>
    <s v=""/>
    <s v=""/>
    <s v=""/>
    <n v="70"/>
    <s v="BBL"/>
    <n v="7.65"/>
    <s v=""/>
    <n v="535.5"/>
    <s v="--multiple--"/>
    <s v="702744"/>
    <d v="2025-10-07T13:47:27"/>
    <s v=""/>
    <s v=""/>
    <s v=""/>
    <s v=""/>
  </r>
  <r>
    <s v="428776"/>
    <s v="Diamond Pump and Transport, LLC"/>
    <x v="7"/>
    <s v="Justin Riffe"/>
    <s v="Aron Nunez"/>
    <s v="428776-LOAD 80BBLS TO LOC PUMP AND PRESSURE UP"/>
    <s v="5051057"/>
    <s v="Upstream"/>
    <s v=""/>
    <s v="USD"/>
    <n v="841.5"/>
    <s v="Direct Entry"/>
    <s v="1"/>
    <s v="PUMP TRUCK"/>
    <s v="Pump Truck"/>
    <s v="GENERAL"/>
    <d v="2025-10-13T14:21:10"/>
    <d v="2025-10-07T10:30:00"/>
    <d v="2025-10-07T18:45:00"/>
    <s v=""/>
    <s v="BLAGRAVE 58 1"/>
    <s v=""/>
    <s v=""/>
    <s v=""/>
    <s v=""/>
    <s v=""/>
    <s v=""/>
    <s v=""/>
    <s v=""/>
    <s v=""/>
    <s v=""/>
    <s v=""/>
    <s v=""/>
    <s v=""/>
    <s v=""/>
    <s v=""/>
    <s v=""/>
    <s v=""/>
    <s v=""/>
    <s v=""/>
    <s v=""/>
    <s v=""/>
    <s v=""/>
    <s v="Equipment"/>
    <s v=""/>
    <s v=""/>
    <s v=""/>
    <s v="1001360600"/>
    <s v="BLAGRAVE 58 1"/>
    <s v="Upstream"/>
    <s v="1046"/>
    <s v=""/>
    <s v=""/>
    <s v=""/>
    <s v=""/>
    <s v=""/>
    <s v=""/>
    <s v=""/>
    <n v="8.25"/>
    <s v="HR"/>
    <n v="102"/>
    <s v=""/>
    <n v="841.5"/>
    <s v="Pricebook"/>
    <s v="705890"/>
    <d v="2025-10-13T14:22:55"/>
    <s v=""/>
    <s v=""/>
    <s v=""/>
    <s v=""/>
  </r>
  <r>
    <s v="430804"/>
    <s v="Diamond Pump and Transport, LLC"/>
    <x v="7"/>
    <s v="Justin Riffe"/>
    <s v="Aron Nunez"/>
    <s v="430804-HAUL WATER TO PT MIX WATER WITH CHEM ON LOC"/>
    <s v="5051057"/>
    <s v="Upstream"/>
    <s v=""/>
    <s v="USD"/>
    <n v="665"/>
    <s v="Direct Entry"/>
    <s v="1"/>
    <s v="VACUUM TRUCK"/>
    <s v="Vac Truck"/>
    <s v=""/>
    <d v="2025-10-13T15:04:26"/>
    <d v="2025-10-07T12:00:00"/>
    <d v="2025-10-07T19:00:00"/>
    <d v="1899-12-30T07:00:00"/>
    <s v="BLAGRAVE 58 1"/>
    <s v=""/>
    <s v=""/>
    <s v="*"/>
    <s v=""/>
    <s v=""/>
    <s v=""/>
    <s v=""/>
    <s v=""/>
    <s v=""/>
    <s v=""/>
    <s v=""/>
    <s v=""/>
    <s v=""/>
    <s v=""/>
    <s v=""/>
    <s v=""/>
    <s v=""/>
    <s v=""/>
    <s v=""/>
    <s v=""/>
    <n v="0"/>
    <s v="bbl"/>
    <s v=""/>
    <s v=""/>
    <s v=""/>
    <s v=""/>
    <s v="1001360600"/>
    <s v="BLAGRAVE 58 1"/>
    <s v="Upstream"/>
    <s v="1046"/>
    <s v=""/>
    <s v=""/>
    <s v=""/>
    <s v=""/>
    <s v=""/>
    <s v=""/>
    <s v="Hours Worked"/>
    <n v="7"/>
    <s v="hour"/>
    <n v="95"/>
    <s v=""/>
    <n v="665"/>
    <s v="Pricebook"/>
    <s v="705890"/>
    <d v="2025-10-13T15:05:43"/>
    <s v=""/>
    <s v=""/>
    <s v=""/>
    <s v=""/>
  </r>
  <r>
    <s v="35542"/>
    <s v="Raider Pump &amp; Supply Inc"/>
    <x v="0"/>
    <s v="Carlos Lopez"/>
    <s v="Josh Clemmer"/>
    <s v="FLEX GASKET"/>
    <s v="5051049"/>
    <s v="Upstream"/>
    <s v="148930"/>
    <s v="USD"/>
    <n v="81.96"/>
    <s v="Direct Entry"/>
    <s v="1"/>
    <s v="FX-24-150"/>
    <s v="24&quot; 150# FLEX GASKET"/>
    <s v=""/>
    <d v="2025-09-29T07:50:13"/>
    <d v="2025-09-10T00:00:00"/>
    <d v="2025-09-10T00:00:00"/>
    <s v=""/>
    <s v=""/>
    <s v=""/>
    <s v=""/>
    <s v=""/>
    <s v=""/>
    <s v=""/>
    <s v=""/>
    <s v=""/>
    <s v=""/>
    <s v=""/>
    <s v=""/>
    <s v=""/>
    <s v=""/>
    <s v=""/>
    <s v=""/>
    <s v=""/>
    <s v=""/>
    <s v=""/>
    <s v=""/>
    <s v=""/>
    <s v=""/>
    <s v=""/>
    <s v=""/>
    <s v="Material"/>
    <s v=""/>
    <s v=""/>
    <s v=""/>
    <s v="8000045300"/>
    <s v="UL 6-40 BATTERY"/>
    <s v="Upstream"/>
    <s v="1046"/>
    <s v=""/>
    <s v=""/>
    <s v=""/>
    <s v=""/>
    <s v=""/>
    <s v=""/>
    <s v=""/>
    <n v="2"/>
    <s v="EA"/>
    <n v="40.98"/>
    <s v=""/>
    <n v="81.96"/>
    <s v="E-Maintenance"/>
    <s v="703264"/>
    <d v="2025-09-29T07:57:09"/>
    <s v=""/>
    <s v=""/>
    <s v=""/>
    <s v=""/>
  </r>
  <r>
    <s v="75704"/>
    <s v="AmeriVax, Inc."/>
    <x v="10"/>
    <s v="Kenneth Hodges"/>
    <s v="Marco Rodriguez"/>
    <s v="Vac Truck"/>
    <s v="5051057"/>
    <s v="Upstream"/>
    <s v=""/>
    <s v="USD"/>
    <n v="980"/>
    <s v="Direct Entry"/>
    <s v="1"/>
    <s v=""/>
    <s v="Vac Truck"/>
    <s v="Other"/>
    <d v="2025-10-07T13:14:07"/>
    <d v="2025-09-02T05:30:00"/>
    <d v="2025-09-02T12:30:00"/>
    <s v=""/>
    <s v=""/>
    <s v=""/>
    <s v=""/>
    <s v=""/>
    <s v=""/>
    <s v=""/>
    <s v=""/>
    <s v=""/>
    <s v=""/>
    <s v=""/>
    <s v=""/>
    <s v=""/>
    <s v=""/>
    <s v=""/>
    <s v=""/>
    <s v=""/>
    <s v=""/>
    <s v=""/>
    <s v=""/>
    <s v=""/>
    <s v=""/>
    <s v=""/>
    <s v=""/>
    <s v="Labor"/>
    <s v=""/>
    <s v=""/>
    <s v=""/>
    <s v="8000316000"/>
    <s v="HANS GRUBER BATTERY"/>
    <s v="Upstream"/>
    <s v="1046"/>
    <s v=""/>
    <s v=""/>
    <s v=""/>
    <s v=""/>
    <s v=""/>
    <s v=""/>
    <s v=""/>
    <n v="7"/>
    <s v="HR"/>
    <n v="95"/>
    <s v=""/>
    <n v="665"/>
    <s v="--multiple--"/>
    <s v="702180"/>
    <d v="2025-10-07T13:17:19"/>
    <s v=""/>
    <s v=""/>
    <s v=""/>
    <s v=""/>
  </r>
  <r>
    <s v="75705"/>
    <s v="AmeriVax, Inc."/>
    <x v="10"/>
    <s v="Kenneth Hodges"/>
    <s v="Marco Rodriguez"/>
    <s v="Vac Truck- Skim Oil, Put oil in Skim Tank"/>
    <s v="5051057"/>
    <s v="Upstream"/>
    <s v=""/>
    <s v="USD"/>
    <n v="875"/>
    <s v="Direct Entry"/>
    <s v="1"/>
    <s v=""/>
    <s v="Vac Truck"/>
    <s v="Other"/>
    <d v="2025-09-22T12:05:54"/>
    <d v="2025-09-02T12:30:00"/>
    <d v="2025-09-02T18:45:00"/>
    <s v=""/>
    <s v=""/>
    <s v=""/>
    <s v=""/>
    <s v=""/>
    <s v=""/>
    <s v=""/>
    <s v=""/>
    <s v=""/>
    <s v=""/>
    <s v=""/>
    <s v=""/>
    <s v=""/>
    <s v=""/>
    <s v=""/>
    <s v=""/>
    <s v=""/>
    <s v=""/>
    <s v=""/>
    <s v=""/>
    <s v=""/>
    <s v=""/>
    <s v=""/>
    <s v=""/>
    <s v="Labor"/>
    <s v=""/>
    <s v=""/>
    <s v=""/>
    <s v="1001739800"/>
    <s v="AQUAMAN SWD 1"/>
    <s v="Upstream"/>
    <s v="1046"/>
    <s v=""/>
    <s v=""/>
    <s v=""/>
    <s v=""/>
    <s v=""/>
    <s v=""/>
    <s v=""/>
    <n v="6.25"/>
    <s v="HR"/>
    <n v="95"/>
    <s v=""/>
    <n v="593.75"/>
    <s v="--multiple--"/>
    <s v="702180"/>
    <d v="2025-10-06T12:22:35"/>
    <s v=""/>
    <s v=""/>
    <s v="Coding/Location Issue"/>
    <s v=""/>
  </r>
  <r>
    <s v="75706"/>
    <s v="AmeriVax, Inc."/>
    <x v="10"/>
    <s v="Kenneth Hodges"/>
    <s v="Marco Rodriguez"/>
    <s v="Vac Truck- Skim oil. Put oil in oil tank"/>
    <s v="5051057"/>
    <s v="Upstream"/>
    <s v=""/>
    <s v="USD"/>
    <n v="1820"/>
    <s v="Direct Entry"/>
    <s v="1"/>
    <s v=""/>
    <s v="Vac Truck"/>
    <s v="Other"/>
    <d v="2025-09-22T09:53:18"/>
    <d v="2025-09-03T05:15:00"/>
    <d v="2025-09-03T18:15:00"/>
    <s v=""/>
    <s v=""/>
    <s v=""/>
    <s v=""/>
    <s v=""/>
    <s v=""/>
    <s v=""/>
    <s v=""/>
    <s v=""/>
    <s v=""/>
    <s v=""/>
    <s v=""/>
    <s v=""/>
    <s v=""/>
    <s v=""/>
    <s v=""/>
    <s v=""/>
    <s v=""/>
    <s v=""/>
    <s v=""/>
    <s v=""/>
    <s v=""/>
    <s v=""/>
    <s v=""/>
    <s v="Labor"/>
    <s v=""/>
    <s v=""/>
    <s v=""/>
    <s v="1001739800"/>
    <s v="AQUAMAN SWD 1"/>
    <s v="Upstream"/>
    <s v="1046"/>
    <s v=""/>
    <s v=""/>
    <s v=""/>
    <s v=""/>
    <s v=""/>
    <s v=""/>
    <s v=""/>
    <n v="13"/>
    <s v="HR"/>
    <n v="95"/>
    <s v=""/>
    <n v="1235"/>
    <s v="--multiple--"/>
    <s v="702180"/>
    <d v="2025-10-06T12:23:44"/>
    <s v=""/>
    <s v=""/>
    <s v="Coding/Location Issue"/>
    <s v=""/>
  </r>
  <r>
    <s v="75714"/>
    <s v="AmeriVax, Inc."/>
    <x v="10"/>
    <s v="Kenneth Hodges"/>
    <s v="Marco Rodriguez"/>
    <s v="Vac Truck- Load oil, empty oil tank, skim tank"/>
    <s v="5051057"/>
    <s v="Upstream"/>
    <s v=""/>
    <s v="USD"/>
    <n v="805"/>
    <s v="Direct Entry"/>
    <s v="1"/>
    <s v=""/>
    <s v="Vac Truck"/>
    <s v="Other"/>
    <d v="2025-09-22T13:39:45"/>
    <d v="2025-09-06T10:15:00"/>
    <d v="2025-09-06T16:00:00"/>
    <s v=""/>
    <s v=""/>
    <s v=""/>
    <s v=""/>
    <s v=""/>
    <s v=""/>
    <s v=""/>
    <s v=""/>
    <s v=""/>
    <s v=""/>
    <s v=""/>
    <s v=""/>
    <s v=""/>
    <s v=""/>
    <s v=""/>
    <s v=""/>
    <s v=""/>
    <s v=""/>
    <s v=""/>
    <s v=""/>
    <s v=""/>
    <s v=""/>
    <s v=""/>
    <s v=""/>
    <s v="Labor"/>
    <s v=""/>
    <s v=""/>
    <s v=""/>
    <s v="8000314900"/>
    <s v="EL GUAPO BATTERY"/>
    <s v="Upstream"/>
    <s v="1046"/>
    <s v=""/>
    <s v=""/>
    <s v=""/>
    <s v=""/>
    <s v=""/>
    <s v=""/>
    <s v=""/>
    <n v="5.75"/>
    <s v="HR"/>
    <n v="95"/>
    <s v=""/>
    <n v="546.25"/>
    <s v="--multiple--"/>
    <s v="702180"/>
    <d v="2025-10-06T12:24:59"/>
    <s v=""/>
    <s v=""/>
    <s v="Coding/Location Issue"/>
    <s v=""/>
  </r>
  <r>
    <s v="T-77755"/>
    <s v="ACH Services, LLC"/>
    <x v="10"/>
    <s v="Kenneth Hodges"/>
    <s v="Marco Rodriguez"/>
    <s v="Drove to location to haul loads of PW to disposal."/>
    <s v="5051054"/>
    <s v="Upstream"/>
    <s v=""/>
    <s v="USD"/>
    <n v="450"/>
    <s v="Direct Entry"/>
    <s v="1"/>
    <s v="Vacuum Truck"/>
    <s v="Vacuum Truck"/>
    <s v="Vacuum Truck Services"/>
    <d v="2025-09-17T14:25:03"/>
    <d v="2025-09-14T20:00:00"/>
    <d v="2025-09-15T00:00:00"/>
    <d v="1899-12-30T04:00:00"/>
    <s v="HUMPERDINCK BATTERY"/>
    <s v=""/>
    <s v=""/>
    <s v="-"/>
    <s v=""/>
    <s v=""/>
    <s v=""/>
    <s v=""/>
    <s v=""/>
    <s v=""/>
    <s v=""/>
    <s v=""/>
    <s v=""/>
    <s v=""/>
    <s v=""/>
    <s v=""/>
    <s v=""/>
    <s v=""/>
    <s v=""/>
    <s v=""/>
    <s v=""/>
    <n v="0"/>
    <s v="bbl"/>
    <s v=""/>
    <s v=""/>
    <s v=""/>
    <s v=""/>
    <s v="8000313800"/>
    <s v="HUMPERDINCK BATTERY"/>
    <s v="Upstream"/>
    <s v="1046"/>
    <s v=""/>
    <s v=""/>
    <s v=""/>
    <s v=""/>
    <s v=""/>
    <s v=""/>
    <s v="Hours Worked"/>
    <n v="4"/>
    <s v="hour"/>
    <n v="90"/>
    <s v=""/>
    <n v="360"/>
    <s v="Pricebook"/>
    <s v="712932"/>
    <d v="2025-10-09T08:58:34"/>
    <s v=""/>
    <s v=""/>
    <s v=""/>
    <s v=""/>
  </r>
  <r>
    <s v="T-61421"/>
    <s v="ACH Services, LLC"/>
    <x v="10"/>
    <s v="Kenneth Hodges"/>
    <s v="Marco Rodriguez"/>
    <s v="Drove to location to haul loads of PW to disposal."/>
    <s v="5051054"/>
    <s v="Upstream"/>
    <s v=""/>
    <s v="USD"/>
    <n v="1359"/>
    <s v="Direct Entry"/>
    <s v="1"/>
    <s v="Vacuum Truck"/>
    <s v="Vacuum Truck"/>
    <s v="Vacuum Truck Services"/>
    <d v="2025-10-07T14:59:15"/>
    <d v="2025-09-16T15:00:00"/>
    <d v="2025-09-17T02:30:00"/>
    <d v="1899-12-30T11:30:00"/>
    <s v="HUMPERDINCK BATTERY"/>
    <s v=""/>
    <s v=""/>
    <s v="-"/>
    <s v=""/>
    <s v=""/>
    <s v=""/>
    <s v=""/>
    <s v=""/>
    <s v=""/>
    <s v=""/>
    <s v=""/>
    <s v=""/>
    <s v=""/>
    <s v=""/>
    <s v=""/>
    <s v=""/>
    <s v=""/>
    <s v=""/>
    <s v=""/>
    <s v=""/>
    <n v="0"/>
    <s v="bbl"/>
    <s v=""/>
    <s v=""/>
    <s v=""/>
    <s v=""/>
    <s v="8000313800"/>
    <s v="HUMPERDINCK BATTERY"/>
    <s v="Upstream"/>
    <s v="1046"/>
    <s v=""/>
    <s v=""/>
    <s v=""/>
    <s v=""/>
    <s v=""/>
    <s v=""/>
    <s v="Hours Worked"/>
    <n v="11.5"/>
    <s v="hour"/>
    <n v="90"/>
    <s v=""/>
    <n v="1035"/>
    <s v="Pricebook"/>
    <s v="712932"/>
    <d v="2025-10-07T15:04:36"/>
    <s v=""/>
    <s v=""/>
    <s v=""/>
    <s v=""/>
  </r>
  <r>
    <s v="PRV-82227"/>
    <s v="Roto-Versal Compression Services LLC"/>
    <x v="4"/>
    <s v="Edgar Quintero"/>
    <s v="Josh Clemmer"/>
    <s v="Pressure Relief Valve PM Testing"/>
    <s v="5051064"/>
    <s v="Upstream"/>
    <s v="149178"/>
    <s v="USD"/>
    <n v="1258"/>
    <s v="Direct Entry"/>
    <s v="1"/>
    <s v="1013"/>
    <s v="Standard Labor"/>
    <s v=""/>
    <d v="2025-10-01T10:21:05"/>
    <d v="2025-09-26T06:30:00"/>
    <d v="2025-09-26T08:30:00"/>
    <s v=""/>
    <s v="UL Fox Hollow Battery"/>
    <s v=""/>
    <s v=""/>
    <s v=""/>
    <s v=""/>
    <s v=""/>
    <s v=""/>
    <s v=""/>
    <s v=""/>
    <s v=""/>
    <s v=""/>
    <s v=""/>
    <s v=""/>
    <s v=""/>
    <s v=""/>
    <s v=""/>
    <s v=""/>
    <s v=""/>
    <s v=""/>
    <s v=""/>
    <s v=""/>
    <s v=""/>
    <s v=""/>
    <s v="Labor"/>
    <s v=""/>
    <s v=""/>
    <s v=""/>
    <s v="8000312800"/>
    <s v="UL FOX HOLLOW BATTERY"/>
    <s v="Upstream"/>
    <s v="1046"/>
    <s v=""/>
    <s v=""/>
    <s v=""/>
    <s v=""/>
    <s v=""/>
    <s v=""/>
    <s v=""/>
    <n v="2"/>
    <s v="HR"/>
    <n v="250"/>
    <s v=""/>
    <n v="500"/>
    <s v="--multiple--"/>
    <s v="712955"/>
    <d v="2025-10-09T10:54:51"/>
    <s v=""/>
    <s v=""/>
    <s v="Attachment Issue | Requisitioner Error | Requisitioner Error | Requisitioner Error"/>
    <s v=""/>
  </r>
  <r>
    <s v="BARM_250919_073923"/>
    <s v="Superior Optimization Ltd"/>
    <x v="9"/>
    <s v="Kyle Jackson"/>
    <s v="Steven Kincheloe"/>
    <s v="Arrived to battery, completed the jsa with the crew Started work on disconnecting the old motor from the motor leads. Disconnect the flexover out of the way. Used the truck crane to move the motor. Set in the best of the truck. Set in the new motor reconnect the new motor tested the voltage before starting the new motor. Set into the pump check the rotation. Left in auto. Complete"/>
    <s v="5051043"/>
    <s v="Upstream"/>
    <s v=""/>
    <s v="USD"/>
    <n v="650"/>
    <s v="B2B"/>
    <s v="1"/>
    <s v="I&amp;ETECH"/>
    <s v="I&amp;E Technician"/>
    <s v=""/>
    <d v="2025-10-01T15:45:06"/>
    <d v="2025-09-04T11:00:00"/>
    <d v="2025-09-04T16:00:00"/>
    <s v=""/>
    <s v=""/>
    <s v=""/>
    <s v=""/>
    <s v=""/>
    <s v=""/>
    <s v=""/>
    <s v=""/>
    <s v=""/>
    <s v=""/>
    <s v=""/>
    <s v=""/>
    <s v=""/>
    <s v=""/>
    <s v=""/>
    <s v=""/>
    <s v=""/>
    <s v=""/>
    <s v=""/>
    <s v=""/>
    <s v=""/>
    <s v=""/>
    <s v=""/>
    <s v=""/>
    <s v="Labor"/>
    <s v=""/>
    <s v=""/>
    <s v=""/>
    <s v="1000013500"/>
    <s v="THOMASON -D- 3"/>
    <s v="Upstream"/>
    <s v="1046"/>
    <s v=""/>
    <s v=""/>
    <s v=""/>
    <s v=""/>
    <s v=""/>
    <s v=""/>
    <s v=""/>
    <n v="5"/>
    <s v="HR"/>
    <n v="90"/>
    <s v=""/>
    <n v="450"/>
    <s v="--multiple--"/>
    <s v="700399"/>
    <d v="2025-10-02T09:40:55"/>
    <s v=""/>
    <s v=""/>
    <s v=""/>
    <s v=""/>
  </r>
  <r>
    <s v="590388"/>
    <s v="Bay Ltd"/>
    <x v="4"/>
    <s v="Hugo Lua Barragan"/>
    <s v="Josh Clemmer"/>
    <s v="PULLED TESTER FROM CONTAINMENT AND SET OFF TO THE SIDE FOR REPAIRS."/>
    <s v="5051049"/>
    <s v="Upstream"/>
    <s v="153688"/>
    <s v="USD"/>
    <n v="1600"/>
    <s v="Direct Entry"/>
    <s v="1"/>
    <s v=""/>
    <s v="155 ton Crane"/>
    <s v=""/>
    <d v="2025-10-01T09:41:12"/>
    <d v="2025-09-09T05:00:00"/>
    <d v="2025-09-09T09:00:00"/>
    <s v=""/>
    <s v="UL MASON WEST BATTERY"/>
    <s v=""/>
    <s v=""/>
    <s v=""/>
    <s v=""/>
    <s v=""/>
    <s v=""/>
    <s v=""/>
    <s v=""/>
    <s v=""/>
    <s v=""/>
    <s v=""/>
    <s v=""/>
    <s v=""/>
    <s v=""/>
    <s v=""/>
    <s v=""/>
    <s v=""/>
    <s v=""/>
    <s v=""/>
    <s v=""/>
    <s v=""/>
    <s v=""/>
    <s v="Equipment"/>
    <s v=""/>
    <s v=""/>
    <s v="10108"/>
    <s v="8000047100"/>
    <s v="UL MASON WEST BATTERY"/>
    <s v="Upstream"/>
    <s v="1046"/>
    <s v=""/>
    <s v=""/>
    <s v=""/>
    <s v=""/>
    <s v=""/>
    <s v=""/>
    <s v=""/>
    <n v="4"/>
    <s v="HR"/>
    <n v="375"/>
    <s v=""/>
    <n v="1500"/>
    <s v="Pricebook"/>
    <s v="703740"/>
    <d v="2025-10-09T14:12:37"/>
    <s v=""/>
    <s v=""/>
    <s v="Validation GPS Detail | Validation GPS Detail"/>
    <s v=""/>
  </r>
  <r>
    <s v="591014"/>
    <s v="Bay Ltd"/>
    <x v="4"/>
    <s v="Hugo Lua Barragan"/>
    <s v="Josh Clemmer"/>
    <s v="HOIST AND INSTALL TESTER ON PEDESTALS"/>
    <s v="5051049"/>
    <s v="Upstream"/>
    <s v="159211"/>
    <s v="USD"/>
    <n v="2780"/>
    <s v="Direct Entry"/>
    <s v="1"/>
    <s v=""/>
    <s v="120 ton Crane"/>
    <s v=""/>
    <d v="2025-10-01T08:53:45"/>
    <d v="2025-09-23T05:00:00"/>
    <d v="2025-09-23T13:00:00"/>
    <s v=""/>
    <s v="UL 6-40 BATTERY"/>
    <s v=""/>
    <s v=""/>
    <s v=""/>
    <s v=""/>
    <s v=""/>
    <s v=""/>
    <s v=""/>
    <s v=""/>
    <s v=""/>
    <s v=""/>
    <s v=""/>
    <s v=""/>
    <s v=""/>
    <s v=""/>
    <s v=""/>
    <s v=""/>
    <s v=""/>
    <s v=""/>
    <s v=""/>
    <s v=""/>
    <s v=""/>
    <s v=""/>
    <s v="Equipment"/>
    <s v=""/>
    <s v=""/>
    <s v="8970"/>
    <s v="8000045300"/>
    <s v="UL 6-40 BATTERY"/>
    <s v="Upstream"/>
    <s v="1046"/>
    <s v=""/>
    <s v=""/>
    <s v=""/>
    <s v=""/>
    <s v=""/>
    <s v=""/>
    <s v=""/>
    <n v="8"/>
    <s v="HR"/>
    <n v="335"/>
    <s v=""/>
    <n v="2680"/>
    <s v="Pricebook"/>
    <s v="703740"/>
    <d v="2025-10-09T14:13:28"/>
    <s v=""/>
    <s v=""/>
    <s v="Validation GPS Detail | Validation GPS Detail"/>
    <s v=""/>
  </r>
  <r>
    <s v="1002158"/>
    <s v="B-P Supply Inc"/>
    <x v="4"/>
    <s v="Hugo Lua Barragan"/>
    <s v="Josh Clemmer"/>
    <s v="PARTS ORDERED BY HUGO LUA BARRAGAN - UL COMANCHE 42 BATTERY"/>
    <s v="5051049"/>
    <s v="Upstream"/>
    <s v="166275"/>
    <s v="USD"/>
    <n v="2204.54"/>
    <s v="B2B"/>
    <s v="1"/>
    <s v="0051K-REN"/>
    <s v="4&quot; W REPAIR KIT - REN"/>
    <s v="Other"/>
    <d v="2025-09-29T14:54:13"/>
    <d v="2025-09-24T00:00:00"/>
    <d v="2025-09-24T00:00:00"/>
    <s v=""/>
    <s v=""/>
    <s v=""/>
    <s v=""/>
    <s v=""/>
    <s v=""/>
    <s v=""/>
    <s v=""/>
    <s v=""/>
    <s v=""/>
    <s v=""/>
    <s v=""/>
    <s v=""/>
    <s v=""/>
    <s v=""/>
    <s v=""/>
    <s v=""/>
    <s v=""/>
    <s v=""/>
    <s v=""/>
    <s v=""/>
    <s v=""/>
    <s v=""/>
    <s v=""/>
    <s v="Material"/>
    <s v=""/>
    <s v=""/>
    <s v=""/>
    <s v="8000047900"/>
    <s v="UL COMANCHE 42 BATTERY"/>
    <s v="Upstream"/>
    <s v="1046"/>
    <s v=""/>
    <s v=""/>
    <s v=""/>
    <s v=""/>
    <s v=""/>
    <s v=""/>
    <s v=""/>
    <n v="2"/>
    <s v="EA"/>
    <n v="95"/>
    <s v=""/>
    <n v="190"/>
    <s v="--multiple--"/>
    <s v="705219"/>
    <d v="2025-10-10T10:22:27"/>
    <s v=""/>
    <s v=""/>
    <s v=""/>
    <s v=""/>
  </r>
  <r>
    <s v="1002065"/>
    <s v="B-P Supply Inc"/>
    <x v="4"/>
    <s v="Hugo Lua Barragan"/>
    <s v="Josh Clemmer"/>
    <s v="PARTS ORDERED BY HUGO LUA BARRAGAN - UL FOX HOLLOW BATTERY"/>
    <s v="5051049"/>
    <s v="Upstream"/>
    <s v="165994"/>
    <s v="USD"/>
    <n v="1329.06"/>
    <s v="B2B"/>
    <s v="1"/>
    <s v="0059-12-HPR70-GE"/>
    <s v="2&quot; HPR-70 GE COUPLING"/>
    <s v="Other"/>
    <d v="2025-09-29T14:54:22"/>
    <d v="2025-09-24T00:00:00"/>
    <d v="2025-09-24T00:00:00"/>
    <s v=""/>
    <s v=""/>
    <s v=""/>
    <s v=""/>
    <s v=""/>
    <s v=""/>
    <s v=""/>
    <s v=""/>
    <s v=""/>
    <s v=""/>
    <s v=""/>
    <s v=""/>
    <s v=""/>
    <s v=""/>
    <s v=""/>
    <s v=""/>
    <s v=""/>
    <s v=""/>
    <s v=""/>
    <s v=""/>
    <s v=""/>
    <s v=""/>
    <s v=""/>
    <s v=""/>
    <s v="Material"/>
    <s v=""/>
    <s v=""/>
    <s v=""/>
    <s v="8000312800"/>
    <s v="UL FOX HOLLOW BATTERY"/>
    <s v="Upstream"/>
    <s v="1046"/>
    <s v=""/>
    <s v=""/>
    <s v=""/>
    <s v=""/>
    <s v=""/>
    <s v=""/>
    <s v=""/>
    <n v="14"/>
    <s v="EA"/>
    <n v="38.32"/>
    <s v=""/>
    <n v="536.48"/>
    <s v="--multiple--"/>
    <s v="705219"/>
    <d v="2025-10-10T09:28:35"/>
    <s v=""/>
    <s v=""/>
    <s v=""/>
    <s v=""/>
  </r>
  <r>
    <s v="670257"/>
    <s v="AggieTech Energy Services LLC"/>
    <x v="4"/>
    <s v="Hugo Lua Barragan"/>
    <s v="Josh Clemmer"/>
    <s v="JOSH CLEMMER-ARRIVED TO UL COMANCHE O 29 42 6LS LOCATION, SAND &amp; RESEATED BOTH WRIST PINS, AND ALIGNED HEAD."/>
    <s v="5051035"/>
    <s v="Upstream"/>
    <s v="162051"/>
    <s v="USD"/>
    <n v="843"/>
    <s v="Direct Entry"/>
    <s v="1"/>
    <s v="TANDEM/CRANE WITH OPERATOR AND PUMPING UNIT WORK"/>
    <s v="TANDEM/CRANE WITH OPERATOR AND PUMPING UNIT WORK"/>
    <s v=""/>
    <d v="2025-10-10T11:21:56"/>
    <d v="2025-09-24T13:00:00"/>
    <d v="2025-09-24T15:00:00"/>
    <s v=""/>
    <s v="UL Comanche O 29 42 6LS"/>
    <s v=""/>
    <s v=""/>
    <s v=""/>
    <s v=""/>
    <s v=""/>
    <s v=""/>
    <s v=""/>
    <s v=""/>
    <s v=""/>
    <s v=""/>
    <s v=""/>
    <s v=""/>
    <s v=""/>
    <s v=""/>
    <s v=""/>
    <s v=""/>
    <s v=""/>
    <s v=""/>
    <s v=""/>
    <s v=""/>
    <s v=""/>
    <s v=""/>
    <s v="Equipment"/>
    <s v=""/>
    <s v=""/>
    <s v=""/>
    <s v="1000664000"/>
    <s v="UL COMANCHE O 29-42 6LS"/>
    <s v="Upstream"/>
    <s v="1046"/>
    <s v=""/>
    <s v=""/>
    <s v=""/>
    <s v=""/>
    <s v=""/>
    <s v=""/>
    <s v=""/>
    <n v="2"/>
    <s v="HR"/>
    <n v="203"/>
    <s v=""/>
    <n v="406"/>
    <s v="--multiple--"/>
    <s v="701830"/>
    <d v="2025-10-10T11:24:09"/>
    <s v=""/>
    <s v=""/>
    <s v=""/>
    <s v=""/>
  </r>
  <r>
    <s v="670249"/>
    <s v="AggieTech Energy Services LLC"/>
    <x v="4"/>
    <s v="Hugo Lua Barragan"/>
    <s v="Josh Clemmer"/>
    <s v="JOSH CLEMMER-9/24/2025 3PM-8:15PM_x000a_TRIP 1- ARRIVED TO UL COMANCHE U 29 42 4LS LOCATION, SAND &amp; RESEATED BOTH WRIST  PINS, AND INSTALLED NEW SADDLE BEARING. REMOVED TAIL AND BROUGHT INTO SHOP FOR REPAIR. _x000a__x000a_9/25/2025 1:45PM-7:15PM_x000a_TRIP 2- RETURNED TO LOCATION  AND INSTALLED NEW TAIL BEARING WITH HINGE PIN. REASSEMBLED UNIT BACK TOGETHER AND ALIGNED HEAD."/>
    <s v="5051035"/>
    <s v="Upstream"/>
    <s v="162052"/>
    <s v="USD"/>
    <n v="12595.15"/>
    <s v="Direct Entry"/>
    <s v="1"/>
    <s v="TANDEM/CRANE WITH OPERATOR AND PUMPING UNIT WORK"/>
    <s v="TANDEM/CRANE WITH OPERATOR AND PUMPING UNIT WORK"/>
    <s v=""/>
    <d v="2025-10-10T10:21:49"/>
    <d v="2025-09-24T15:00:00"/>
    <d v="2025-09-24T20:15:00"/>
    <s v=""/>
    <s v="UL Comanche U 29 42 4LS"/>
    <s v=""/>
    <s v=""/>
    <s v=""/>
    <s v=""/>
    <s v=""/>
    <s v=""/>
    <s v=""/>
    <s v=""/>
    <s v=""/>
    <s v=""/>
    <s v=""/>
    <s v=""/>
    <s v=""/>
    <s v=""/>
    <s v=""/>
    <s v=""/>
    <s v=""/>
    <s v=""/>
    <s v=""/>
    <s v=""/>
    <s v=""/>
    <s v=""/>
    <s v="Equipment"/>
    <s v=""/>
    <s v=""/>
    <s v=""/>
    <s v="1000424700"/>
    <s v="UL COMANCHE U 29-42 4LS"/>
    <s v="Upstream"/>
    <s v="1046"/>
    <s v=""/>
    <s v=""/>
    <s v=""/>
    <s v=""/>
    <s v=""/>
    <s v=""/>
    <s v=""/>
    <n v="5.25"/>
    <s v="HR"/>
    <n v="203"/>
    <s v=""/>
    <n v="1065.75"/>
    <s v="--multiple--"/>
    <s v="701830"/>
    <d v="2025-10-10T10:32:29"/>
    <s v=""/>
    <s v=""/>
    <s v=""/>
    <s v=""/>
  </r>
  <r>
    <s v="1002547"/>
    <s v="B-P Supply Inc"/>
    <x v="4"/>
    <s v="Hugo Lua Barragan"/>
    <s v="Josh Clemmer"/>
    <s v="PARTS ORDERED BY HUGO LUA BARRAGAN - UL CLEMMER BATTERY"/>
    <s v="5051049"/>
    <s v="Upstream"/>
    <s v="167169"/>
    <s v="USD"/>
    <n v="1725.32"/>
    <s v="B2B"/>
    <s v="1"/>
    <s v="0051K-RGB"/>
    <s v="6&quot; 612 DB PO REPAIR KIT - RGB"/>
    <s v="Other"/>
    <d v="2025-10-07T15:14:42"/>
    <d v="2025-09-29T00:00:00"/>
    <d v="2025-09-29T00:00:00"/>
    <s v=""/>
    <s v=""/>
    <s v=""/>
    <s v=""/>
    <s v=""/>
    <s v=""/>
    <s v=""/>
    <s v=""/>
    <s v=""/>
    <s v=""/>
    <s v=""/>
    <s v=""/>
    <s v=""/>
    <s v=""/>
    <s v=""/>
    <s v=""/>
    <s v=""/>
    <s v=""/>
    <s v=""/>
    <s v=""/>
    <s v=""/>
    <s v=""/>
    <s v=""/>
    <s v=""/>
    <s v="Material"/>
    <s v=""/>
    <s v=""/>
    <s v=""/>
    <s v="8100699500"/>
    <s v="UL CLEMMER BATTERY"/>
    <s v="Upstream"/>
    <s v="1046"/>
    <s v=""/>
    <s v=""/>
    <s v=""/>
    <s v=""/>
    <s v=""/>
    <s v=""/>
    <s v=""/>
    <n v="1"/>
    <s v="EA"/>
    <n v="290.18"/>
    <s v=""/>
    <n v="290.18"/>
    <s v="--multiple--"/>
    <s v="705219"/>
    <d v="2025-10-10T14:04:10"/>
    <s v=""/>
    <s v=""/>
    <s v=""/>
    <s v=""/>
  </r>
  <r>
    <s v="1002531"/>
    <s v="B-P Supply Inc"/>
    <x v="4"/>
    <s v="Hugo Lua Barragan"/>
    <s v="Josh Clemmer"/>
    <s v="PARTS ORDERED BY HUGO LUA BARRAGAN - UL MASON H BATTERY"/>
    <s v="5051049"/>
    <s v="Upstream"/>
    <s v="167526"/>
    <s v="USD"/>
    <n v="948.13"/>
    <s v="B2B"/>
    <s v="1"/>
    <s v="0051M-312-SMT-EXO"/>
    <s v="312 SMT DB PO-D MOTOR VALVE"/>
    <s v="Other"/>
    <d v="2025-10-07T15:14:48"/>
    <d v="2025-09-29T00:00:00"/>
    <d v="2025-09-29T00:00:00"/>
    <s v=""/>
    <s v=""/>
    <s v=""/>
    <s v=""/>
    <s v=""/>
    <s v=""/>
    <s v=""/>
    <s v=""/>
    <s v=""/>
    <s v=""/>
    <s v=""/>
    <s v=""/>
    <s v=""/>
    <s v=""/>
    <s v=""/>
    <s v=""/>
    <s v=""/>
    <s v=""/>
    <s v=""/>
    <s v=""/>
    <s v=""/>
    <s v=""/>
    <s v=""/>
    <s v=""/>
    <s v="Material"/>
    <s v=""/>
    <s v=""/>
    <s v=""/>
    <s v="8000046800"/>
    <s v="UL MASON H BATTERY"/>
    <s v="Upstream"/>
    <s v="1046"/>
    <s v=""/>
    <s v=""/>
    <s v=""/>
    <s v=""/>
    <s v=""/>
    <s v=""/>
    <s v=""/>
    <n v="1"/>
    <s v="EA"/>
    <n v="948.13"/>
    <s v=""/>
    <n v="948.13"/>
    <s v="--multiple--"/>
    <s v="705219"/>
    <d v="2025-10-10T13:58:46"/>
    <s v=""/>
    <s v=""/>
    <s v=""/>
    <s v=""/>
  </r>
  <r>
    <s v="G5836032"/>
    <s v="Premier Energy Services, LLC"/>
    <x v="7"/>
    <s v="Hugo Lua Barragan"/>
    <s v="Josh Clemmer"/>
    <s v="Production-3 man crew, _x000a_WE WENT TO THE LOCATION WE INSTALL INSULATION ON ALL THE HEATERS  AND CLEAN THE BURNERS"/>
    <s v="5051022"/>
    <s v="Upstream"/>
    <s v="167975"/>
    <s v="USD"/>
    <n v="902.5"/>
    <s v="API"/>
    <s v="1"/>
    <s v="Pusher and 2 Hands"/>
    <s v="Production-3 man crew"/>
    <s v=""/>
    <d v="2025-10-03T13:24:51"/>
    <d v="2025-09-30T06:02:00"/>
    <d v="2025-09-30T13:15:00"/>
    <s v=""/>
    <s v="UL 6-40 BATTERY"/>
    <s v=""/>
    <s v="UL BLK 6 DDU A PAD 1"/>
    <s v=""/>
    <s v=""/>
    <s v=""/>
    <s v=""/>
    <s v=""/>
    <s v=""/>
    <s v=""/>
    <s v=""/>
    <s v=""/>
    <s v=""/>
    <s v=""/>
    <s v=""/>
    <s v=""/>
    <s v=""/>
    <s v=""/>
    <s v=""/>
    <s v=""/>
    <s v=""/>
    <s v=""/>
    <s v=""/>
    <s v="Labor"/>
    <s v="Hernandez , Gonzalo"/>
    <s v="119109"/>
    <s v=""/>
    <s v="8000045300"/>
    <s v="UL 6-40 BATTERY"/>
    <s v="Upstream"/>
    <s v="1046"/>
    <s v=""/>
    <s v=""/>
    <s v=""/>
    <s v=""/>
    <s v=""/>
    <s v=""/>
    <s v=""/>
    <n v="7.22"/>
    <s v="HR"/>
    <n v="125"/>
    <s v=""/>
    <n v="902.5"/>
    <s v="--multiple--"/>
    <s v="702081"/>
    <d v="2025-10-03T13:45:30"/>
    <s v=""/>
    <s v=""/>
    <s v=""/>
    <s v=""/>
  </r>
  <r>
    <s v="N11001858782"/>
    <s v="SES Holdings, LLC"/>
    <x v="4"/>
    <s v="Hugo Lua Barragan"/>
    <s v="Josh Clemmer"/>
    <s v="UNIVERSITY 7-28 CTB; Haul Production Water; Hugo Lua Barragan"/>
    <s v="5051049"/>
    <s v="Upstream"/>
    <s v="169002"/>
    <s v="USD"/>
    <n v="700"/>
    <s v=""/>
    <s v="1"/>
    <s v="10-1223HRS"/>
    <s v="TP-Pick-Up Production / Lease Water"/>
    <s v="Transport"/>
    <d v="2025-10-06T14:50:53"/>
    <d v="2025-10-02T06:00:00"/>
    <d v="2025-10-02T13:00:00"/>
    <d v="1899-12-30T07:00:00"/>
    <s v="UNIVERSITY 7-28 CTB"/>
    <s v="73795"/>
    <s v="PWS"/>
    <s v="Bottom / Sediment (BS)"/>
    <s v=""/>
    <s v=""/>
    <s v=""/>
    <s v=""/>
    <n v="0"/>
    <n v="0"/>
    <n v="0"/>
    <n v="0"/>
    <s v=""/>
    <s v=""/>
    <s v=""/>
    <s v=""/>
    <s v=""/>
    <s v=""/>
    <s v=""/>
    <s v=""/>
    <s v=""/>
    <n v="10"/>
    <s v="bbl"/>
    <s v=""/>
    <s v=""/>
    <s v=""/>
    <s v=""/>
    <s v="8000123400"/>
    <s v="UNIVERSITY 7-28 CTB"/>
    <s v="Upstream"/>
    <s v="1046"/>
    <s v=""/>
    <s v=""/>
    <s v=""/>
    <s v=""/>
    <s v=""/>
    <s v=""/>
    <s v="Other"/>
    <n v="7"/>
    <s v="HRS"/>
    <n v="100"/>
    <s v=""/>
    <n v="700"/>
    <s v="--multiple--"/>
    <s v="700224"/>
    <d v="2025-10-10T10:03:04"/>
    <s v=""/>
    <s v=""/>
    <s v="Attachment Issue"/>
    <s v=""/>
  </r>
  <r>
    <s v="10734"/>
    <s v="SixGun Energy Services"/>
    <x v="6"/>
    <s v="Hugo Lua Barragan"/>
    <s v="Josh Clemmer"/>
    <s v="Drove out to location. Helped unload firetube off trailer .set fire tube up _x000a_on forklift amd chained it down .installed new gasket and new bolts _x000a_inserted firetube and bolted it up .connected burner back up and _x000a_installed smoke stack.went on standby by again waited for pumper to _x000a_switch produ5from tester to heater .to replaced 2 -3&quot; lines off water _x000a_dump line.removed both corroded pieces and re threaded both pipes _x000a_installed them .picked up all trash and scrap metal that was left behind. _x000a_Loaded up manlift onto trailer."/>
    <s v="5051049"/>
    <s v="Upstream"/>
    <s v="169002"/>
    <s v="USD"/>
    <n v="2585"/>
    <s v="Direct Entry"/>
    <s v="1"/>
    <s v="Roustabout:3-man crew"/>
    <s v="3-man crew"/>
    <s v="Roustabout"/>
    <d v="2025-10-08T16:10:48"/>
    <d v="2025-10-07T09:00:00"/>
    <d v="2025-10-07T17:30:00"/>
    <s v=""/>
    <s v=""/>
    <s v=""/>
    <s v=""/>
    <s v=""/>
    <s v=""/>
    <s v=""/>
    <s v=""/>
    <s v=""/>
    <s v=""/>
    <s v=""/>
    <s v=""/>
    <s v=""/>
    <s v=""/>
    <s v=""/>
    <s v=""/>
    <s v=""/>
    <s v=""/>
    <s v=""/>
    <s v=""/>
    <s v=""/>
    <s v=""/>
    <s v=""/>
    <s v=""/>
    <s v="Labor"/>
    <s v=""/>
    <s v=""/>
    <s v=""/>
    <s v="8000123400"/>
    <s v="UNIVERSITY 7-28 CTB"/>
    <s v="Upstream"/>
    <s v="1046"/>
    <s v=""/>
    <s v=""/>
    <s v=""/>
    <s v=""/>
    <s v=""/>
    <s v=""/>
    <s v=""/>
    <n v="8.5"/>
    <s v="HR"/>
    <n v="130"/>
    <s v=""/>
    <n v="1105"/>
    <s v="--multiple--"/>
    <s v="710774"/>
    <d v="2025-10-08T16:14:59"/>
    <s v=""/>
    <s v=""/>
    <s v=""/>
    <s v=""/>
  </r>
  <r>
    <s v="G5896854"/>
    <s v="Premier Energy Services, LLC"/>
    <x v="4"/>
    <s v="Hugo Lua Barragan"/>
    <s v="Josh Clemmer"/>
    <s v="Production-3 man crew, _x000a_WE WENT TO THE LOCATION WE REPLACE THE 4&quot; VIC CLAMP AND THE VALVE IN LOAD LINE"/>
    <s v="5051049"/>
    <s v="Upstream"/>
    <s v="170523"/>
    <s v="USD"/>
    <n v="502.5"/>
    <s v="API"/>
    <s v="1"/>
    <s v="Pusher and 2 Hands"/>
    <s v="Production-3 man crew"/>
    <s v=""/>
    <d v="2025-10-10T09:44:13"/>
    <d v="2025-10-08T06:02:00"/>
    <d v="2025-10-08T10:03:00"/>
    <s v=""/>
    <s v="UL MASON WEST BATTERY"/>
    <s v=""/>
    <s v="UL MASON WEST TANK BATTERY"/>
    <s v=""/>
    <s v=""/>
    <s v=""/>
    <s v=""/>
    <s v=""/>
    <s v=""/>
    <s v=""/>
    <s v=""/>
    <s v=""/>
    <s v=""/>
    <s v=""/>
    <s v=""/>
    <s v=""/>
    <s v=""/>
    <s v=""/>
    <s v=""/>
    <s v=""/>
    <s v=""/>
    <s v=""/>
    <s v=""/>
    <s v="Labor"/>
    <s v="Hernandez , Gonzalo"/>
    <s v="119128"/>
    <s v=""/>
    <s v="8000047100"/>
    <s v="UL MASON WEST BATTERY"/>
    <s v="Upstream"/>
    <s v="1046"/>
    <s v=""/>
    <s v=""/>
    <s v=""/>
    <s v=""/>
    <s v=""/>
    <s v=""/>
    <s v=""/>
    <n v="4.0199999999999996"/>
    <s v="HR"/>
    <n v="125"/>
    <s v=""/>
    <n v="502.5"/>
    <s v="--multiple--"/>
    <s v="702081"/>
    <d v="2025-10-10T12:48:03"/>
    <s v=""/>
    <s v=""/>
    <s v=""/>
    <s v=""/>
  </r>
  <r>
    <s v="10715"/>
    <s v="Viper Energy Services &amp; Transport, LLC"/>
    <x v="1"/>
    <s v="Andres Campos"/>
    <s v="Joshua Bales"/>
    <s v="Tractor/Lowboy - Delivered Manlift."/>
    <s v="5051049"/>
    <s v="Upstream"/>
    <s v="166956"/>
    <s v="USD"/>
    <n v="1330"/>
    <s v="Direct Entry"/>
    <s v="1"/>
    <s v="TL19"/>
    <s v="Tractor/Lowboy"/>
    <s v="Tractor/Lowboy"/>
    <d v="2025-10-07T10:33:11"/>
    <d v="2025-09-29T17:45:00"/>
    <d v="2025-09-29T23:45:00"/>
    <s v=""/>
    <s v="SOUTH KNOTT H BATTERY"/>
    <s v=""/>
    <s v=""/>
    <s v=""/>
    <s v=""/>
    <s v=""/>
    <s v=""/>
    <s v=""/>
    <s v=""/>
    <s v=""/>
    <s v=""/>
    <s v=""/>
    <s v=""/>
    <s v=""/>
    <s v=""/>
    <s v=""/>
    <s v=""/>
    <s v=""/>
    <s v=""/>
    <s v=""/>
    <s v=""/>
    <s v=""/>
    <s v=""/>
    <s v="Equipment"/>
    <s v=""/>
    <s v=""/>
    <s v=""/>
    <s v="8000025200"/>
    <s v="SOUTH KNOTT H BATTERY"/>
    <s v="Upstream"/>
    <s v="1046"/>
    <s v=""/>
    <s v=""/>
    <s v=""/>
    <s v=""/>
    <s v=""/>
    <s v=""/>
    <s v=""/>
    <n v="6"/>
    <s v="HR"/>
    <n v="155"/>
    <s v=""/>
    <n v="930"/>
    <s v="--multiple--"/>
    <s v="712296"/>
    <d v="2025-10-07T10:39:21"/>
    <s v=""/>
    <s v=""/>
    <s v=""/>
    <s v=""/>
  </r>
  <r>
    <s v="17715"/>
    <s v="De La Rosa Backhoe Service"/>
    <x v="1"/>
    <s v="Andres Campos"/>
    <s v="Joshua Bales"/>
    <s v="Drove to location and picked up firewall around back of tank battery"/>
    <s v="5051027"/>
    <s v="Upstream"/>
    <s v="167604"/>
    <s v="USD"/>
    <n v="907.5"/>
    <s v="Direct Entry"/>
    <s v="1"/>
    <s v="Rustabout 2 Man"/>
    <s v="Roustabout - 2-Man"/>
    <s v=""/>
    <d v="2025-10-07T12:55:47"/>
    <d v="2025-10-03T08:45:00"/>
    <d v="2025-10-03T17:00:00"/>
    <s v=""/>
    <s v="Kiser Trust 46 Battery"/>
    <s v=""/>
    <s v=""/>
    <s v=""/>
    <s v=""/>
    <s v=""/>
    <s v=""/>
    <s v=""/>
    <s v=""/>
    <s v=""/>
    <s v=""/>
    <s v=""/>
    <s v=""/>
    <s v=""/>
    <s v=""/>
    <s v=""/>
    <s v=""/>
    <s v=""/>
    <s v=""/>
    <s v=""/>
    <s v=""/>
    <s v=""/>
    <s v=""/>
    <s v="Labor"/>
    <s v=""/>
    <s v=""/>
    <s v=""/>
    <s v="8000030200"/>
    <s v="KISER TRUST 46 BATTERY"/>
    <s v="Upstream"/>
    <s v="1046"/>
    <s v=""/>
    <s v=""/>
    <s v=""/>
    <s v=""/>
    <s v=""/>
    <s v=""/>
    <s v=""/>
    <n v="8.25"/>
    <s v="HR"/>
    <n v="110"/>
    <s v=""/>
    <n v="907.5"/>
    <s v="--multiple--"/>
    <s v="713004"/>
    <d v="2025-10-07T13:00:13"/>
    <s v=""/>
    <s v=""/>
    <s v=""/>
    <s v=""/>
  </r>
  <r>
    <s v="34406"/>
    <s v="Montero Energy Services LLC"/>
    <x v="1"/>
    <s v="Andres Campos"/>
    <s v="Joshua Bales"/>
    <s v="The crew dug out holes and proceeded to operate the manlift to set the support with a U bolt on the bubble tower line and pour concrete to secure it."/>
    <s v="5051108"/>
    <s v="Upstream"/>
    <s v="166956"/>
    <s v="USD"/>
    <n v="522.5"/>
    <s v="Direct Entry"/>
    <s v="1"/>
    <s v="100007"/>
    <s v="Three man crew with roustabout truck"/>
    <s v="Roustabout Crew"/>
    <d v="2025-10-07T13:48:40"/>
    <d v="2025-10-03T14:30:00"/>
    <d v="2025-10-03T18:00:00"/>
    <s v=""/>
    <s v="South Knott H Battery"/>
    <s v=""/>
    <s v=""/>
    <s v=""/>
    <s v=""/>
    <s v=""/>
    <s v=""/>
    <s v=""/>
    <s v=""/>
    <s v=""/>
    <s v=""/>
    <s v=""/>
    <s v=""/>
    <s v=""/>
    <s v=""/>
    <s v=""/>
    <s v=""/>
    <s v=""/>
    <s v=""/>
    <s v=""/>
    <s v=""/>
    <s v=""/>
    <s v=""/>
    <s v="Labor"/>
    <s v=""/>
    <s v=""/>
    <s v=""/>
    <s v="8000025200"/>
    <s v="SOUTH KNOTT H BATTERY"/>
    <s v="Upstream"/>
    <s v="1046"/>
    <s v=""/>
    <s v=""/>
    <s v=""/>
    <s v=""/>
    <s v=""/>
    <s v=""/>
    <s v=""/>
    <n v="3.5"/>
    <s v="HR"/>
    <n v="125"/>
    <s v=""/>
    <n v="437.5"/>
    <s v="--multiple--"/>
    <s v="706718"/>
    <d v="2025-10-07T13:52:40"/>
    <s v=""/>
    <s v=""/>
    <s v=""/>
    <s v=""/>
  </r>
  <r>
    <s v="17716"/>
    <s v="De La Rosa Backhoe Service"/>
    <x v="1"/>
    <s v="Andres Campos"/>
    <s v="Joshua Bales"/>
    <s v="Drove to location and picked up firewall around battery and raked it all down"/>
    <s v="5051027"/>
    <s v="Upstream"/>
    <s v="167604"/>
    <s v="USD"/>
    <n v="1588.75"/>
    <s v="Direct Entry"/>
    <s v="1"/>
    <s v="Rustabout 2 Man"/>
    <s v="Roustabout - 2-Man"/>
    <s v=""/>
    <d v="2025-10-07T13:02:02"/>
    <d v="2025-10-06T08:15:00"/>
    <d v="2025-10-06T16:00:00"/>
    <s v=""/>
    <s v="Kiser Trust 46 Battery"/>
    <s v=""/>
    <s v=""/>
    <s v=""/>
    <s v=""/>
    <s v=""/>
    <s v=""/>
    <s v=""/>
    <s v=""/>
    <s v=""/>
    <s v=""/>
    <s v=""/>
    <s v=""/>
    <s v=""/>
    <s v=""/>
    <s v=""/>
    <s v=""/>
    <s v=""/>
    <s v=""/>
    <s v=""/>
    <s v=""/>
    <s v=""/>
    <s v=""/>
    <s v="Labor"/>
    <s v=""/>
    <s v=""/>
    <s v=""/>
    <s v="8000030200"/>
    <s v="KISER TRUST 46 BATTERY"/>
    <s v="Upstream"/>
    <s v="1046"/>
    <s v=""/>
    <s v=""/>
    <s v=""/>
    <s v=""/>
    <s v=""/>
    <s v=""/>
    <s v=""/>
    <n v="7.75"/>
    <s v="HR"/>
    <n v="110"/>
    <s v=""/>
    <n v="852.5"/>
    <s v="--multiple--"/>
    <s v="713004"/>
    <d v="2025-10-07T13:08:40"/>
    <s v=""/>
    <s v=""/>
    <s v=""/>
    <s v=""/>
  </r>
  <r>
    <s v="52484"/>
    <s v="Redhead Services LLC"/>
    <x v="1"/>
    <s v="Andres Campos"/>
    <s v="Joshua Bales"/>
    <s v="Weekly Field Check"/>
    <s v="5051064"/>
    <s v="Upstream"/>
    <s v="164125"/>
    <s v="USD"/>
    <n v="397.5"/>
    <s v="B2B"/>
    <s v="1"/>
    <s v="FM-150Oil"/>
    <s v="Patriot Turbineshield 150 Oil"/>
    <s v=""/>
    <d v="2025-10-07T13:28:01"/>
    <d v="2025-10-07T00:00:00"/>
    <d v="2025-10-07T00:00:00"/>
    <s v=""/>
    <s v="South Knott H Battery"/>
    <s v=""/>
    <s v=""/>
    <s v=""/>
    <s v=""/>
    <s v=""/>
    <s v=""/>
    <s v=""/>
    <s v=""/>
    <s v=""/>
    <s v=""/>
    <s v=""/>
    <s v=""/>
    <s v=""/>
    <s v=""/>
    <s v=""/>
    <s v=""/>
    <s v=""/>
    <s v=""/>
    <s v=""/>
    <s v=""/>
    <s v=""/>
    <s v=""/>
    <s v="Labor"/>
    <s v=""/>
    <s v=""/>
    <s v=""/>
    <s v="8000025200"/>
    <s v="SOUTH KNOTT H BATTERY"/>
    <s v="Upstream"/>
    <s v="1046"/>
    <s v=""/>
    <s v=""/>
    <s v=""/>
    <s v=""/>
    <s v=""/>
    <s v=""/>
    <s v="Other"/>
    <n v="10"/>
    <s v="each"/>
    <n v="39.75"/>
    <s v=""/>
    <n v="397.5"/>
    <s v="--multiple--"/>
    <s v="709146"/>
    <d v="2025-10-07T13:32:22"/>
    <s v=""/>
    <s v=""/>
    <s v=""/>
    <s v=""/>
  </r>
  <r>
    <s v="11137"/>
    <s v="Viper Energy Services &amp; Transport, LLC"/>
    <x v="6"/>
    <s v="Andres Campos"/>
    <s v="Joshua Bales"/>
    <s v="Maintenance Roustabout - Replaced damaged kimray dump valve"/>
    <s v="5051049"/>
    <s v="Upstream"/>
    <s v="169810"/>
    <s v="USD"/>
    <n v="570"/>
    <s v="Direct Entry"/>
    <s v="1"/>
    <s v="R17"/>
    <s v="Roustabout"/>
    <s v="Roustabout"/>
    <d v="2025-10-08T06:37:07"/>
    <d v="2025-10-07T06:15:00"/>
    <d v="2025-10-07T11:00:00"/>
    <s v=""/>
    <s v="W H 48 BATTERY"/>
    <s v=""/>
    <s v=""/>
    <s v=""/>
    <s v=""/>
    <s v=""/>
    <s v=""/>
    <s v=""/>
    <s v=""/>
    <s v=""/>
    <s v=""/>
    <s v=""/>
    <s v=""/>
    <s v=""/>
    <s v=""/>
    <s v=""/>
    <s v=""/>
    <s v=""/>
    <s v=""/>
    <s v=""/>
    <s v=""/>
    <s v=""/>
    <s v=""/>
    <s v="Labor"/>
    <s v=""/>
    <s v=""/>
    <s v=""/>
    <s v="8000027200"/>
    <s v="W H 48 BATTERY"/>
    <s v="Upstream"/>
    <s v="1046"/>
    <s v=""/>
    <s v=""/>
    <s v=""/>
    <s v=""/>
    <s v=""/>
    <s v=""/>
    <s v=""/>
    <n v="4.75"/>
    <s v="HR"/>
    <n v="120"/>
    <s v=""/>
    <n v="570"/>
    <s v="--multiple--"/>
    <s v="712296"/>
    <d v="2025-10-08T13:22:43"/>
    <s v=""/>
    <s v=""/>
    <s v=""/>
    <s v=""/>
  </r>
  <r>
    <s v="ML19661"/>
    <s v="ML POWER LLC"/>
    <x v="8"/>
    <s v="Kyle Jackson"/>
    <s v="Steven Kincheloe"/>
    <s v="Trouble call (ESD valve wont open) Drove to location. Cleared the alarms on the screen, then reset the esd valve. The valve didnt open. Checked voltage inside of the plc to the valve, and found a blown mini fuse inside. Swapped out the mini fuse, and reset the esd valve again. The valve opened up. Notified the tech and he called it good."/>
    <s v="5051044"/>
    <s v="Upstream"/>
    <s v=""/>
    <s v="USD"/>
    <n v="137.5"/>
    <s v="API"/>
    <s v="1"/>
    <s v="Electrician"/>
    <s v="Electrician"/>
    <s v=""/>
    <d v="2025-10-06T16:25:23"/>
    <d v="2025-09-25T08:45:00"/>
    <d v="2025-09-25T10:00:00"/>
    <s v=""/>
    <s v=""/>
    <s v=""/>
    <s v=""/>
    <s v=""/>
    <s v=""/>
    <s v=""/>
    <s v=""/>
    <s v=""/>
    <s v=""/>
    <s v=""/>
    <s v=""/>
    <s v=""/>
    <s v=""/>
    <s v=""/>
    <s v=""/>
    <s v=""/>
    <s v=""/>
    <s v=""/>
    <s v=""/>
    <s v=""/>
    <s v=""/>
    <s v=""/>
    <s v=""/>
    <s v="Labor"/>
    <s v=""/>
    <s v="595264"/>
    <s v=""/>
    <s v="1001376300"/>
    <s v="KENNETT 2941 1H"/>
    <s v="Upstream"/>
    <s v="1046"/>
    <s v=""/>
    <s v=""/>
    <s v=""/>
    <s v=""/>
    <s v=""/>
    <s v=""/>
    <s v=""/>
    <n v="1.25"/>
    <s v="HR"/>
    <n v="66"/>
    <s v=""/>
    <n v="82.5"/>
    <s v="--multiple--"/>
    <s v="706076"/>
    <d v="2025-10-06T16:26:19"/>
    <s v=""/>
    <s v=""/>
    <s v=""/>
    <s v=""/>
  </r>
  <r>
    <s v="11140"/>
    <s v="Viper Energy Services &amp; Transport, LLC"/>
    <x v="6"/>
    <s v="Andres Campos"/>
    <s v="Joshua Bales"/>
    <s v="Maintenance Roustabout - Took measurements to connect 2 tanks with 3&quot; pipe. transported forklift to location."/>
    <s v="5051049"/>
    <s v="Upstream"/>
    <s v="166974"/>
    <s v="USD"/>
    <n v="360"/>
    <s v="Direct Entry"/>
    <s v="1"/>
    <s v="R17"/>
    <s v="Roustabout"/>
    <s v="Roustabout"/>
    <d v="2025-10-09T09:37:40"/>
    <d v="2025-10-08T06:30:00"/>
    <d v="2025-10-08T09:00:00"/>
    <s v=""/>
    <s v="REED UNIT H BATTERY"/>
    <s v=""/>
    <s v=""/>
    <s v=""/>
    <s v=""/>
    <s v=""/>
    <s v=""/>
    <s v=""/>
    <s v=""/>
    <s v=""/>
    <s v=""/>
    <s v=""/>
    <s v=""/>
    <s v=""/>
    <s v=""/>
    <s v=""/>
    <s v=""/>
    <s v=""/>
    <s v=""/>
    <s v=""/>
    <s v=""/>
    <s v=""/>
    <s v=""/>
    <s v="Labor"/>
    <s v=""/>
    <s v=""/>
    <s v=""/>
    <s v="8000028100"/>
    <s v="REED UNIT H BATTERY"/>
    <s v="Upstream"/>
    <s v="1046"/>
    <s v=""/>
    <s v=""/>
    <s v=""/>
    <s v=""/>
    <s v=""/>
    <s v=""/>
    <s v=""/>
    <n v="2.5"/>
    <s v="HR"/>
    <n v="120"/>
    <s v=""/>
    <n v="300"/>
    <s v="--multiple--"/>
    <s v="712296"/>
    <d v="2025-10-09T13:34:21"/>
    <s v=""/>
    <s v=""/>
    <s v=""/>
    <s v=""/>
  </r>
  <r>
    <s v="11141"/>
    <s v="Viper Energy Services &amp; Transport, LLC"/>
    <x v="6"/>
    <s v="Andres Campos"/>
    <s v="Joshua Bales"/>
    <s v="Maintenance Roustabout - Inspected job, made a parts list and got everything ordered to be able to work on next day."/>
    <s v="5051049"/>
    <s v="Upstream"/>
    <s v="170088"/>
    <s v="USD"/>
    <n v="120"/>
    <s v="Direct Entry"/>
    <s v="1"/>
    <s v="R17"/>
    <s v="Roustabout"/>
    <s v="Roustabout"/>
    <d v="2025-10-09T13:36:39"/>
    <d v="2025-10-08T09:00:00"/>
    <d v="2025-10-08T10:00:00"/>
    <s v=""/>
    <s v="SOUTH KNOTT H BATTERY"/>
    <s v=""/>
    <s v=""/>
    <s v=""/>
    <s v=""/>
    <s v=""/>
    <s v=""/>
    <s v=""/>
    <s v=""/>
    <s v=""/>
    <s v=""/>
    <s v=""/>
    <s v=""/>
    <s v=""/>
    <s v=""/>
    <s v=""/>
    <s v=""/>
    <s v=""/>
    <s v=""/>
    <s v=""/>
    <s v=""/>
    <s v=""/>
    <s v=""/>
    <s v="Labor"/>
    <s v=""/>
    <s v=""/>
    <s v=""/>
    <s v="8000025200"/>
    <s v="SOUTH KNOTT H BATTERY"/>
    <s v="Upstream"/>
    <s v="1046"/>
    <s v=""/>
    <s v=""/>
    <s v=""/>
    <s v=""/>
    <s v=""/>
    <s v=""/>
    <s v=""/>
    <n v="1"/>
    <s v="HR"/>
    <n v="120"/>
    <s v=""/>
    <n v="120"/>
    <s v="--multiple--"/>
    <s v="712296"/>
    <d v="2025-10-09T13:38:10"/>
    <s v=""/>
    <s v=""/>
    <s v=""/>
    <s v=""/>
  </r>
  <r>
    <s v="284574"/>
    <s v="Cowboy Pump &amp; Supply"/>
    <x v="4"/>
    <s v="Casey Grigg"/>
    <s v="Joshua Bales"/>
    <s v="PARTS DELIVERED"/>
    <s v="5051049"/>
    <s v="Upstream"/>
    <s v="98573"/>
    <s v="USD"/>
    <n v="58.8"/>
    <s v="Direct Entry"/>
    <s v="1"/>
    <s v="99-IBOMATERIALS"/>
    <s v="B12 CARB CLEANER"/>
    <s v="PRODUCTION MAINTENANCE"/>
    <d v="2025-10-09T15:53:43"/>
    <d v="2025-05-30T00:00:00"/>
    <d v="2025-05-30T00:00:00"/>
    <s v=""/>
    <s v=""/>
    <s v=""/>
    <s v=""/>
    <s v=""/>
    <s v=""/>
    <s v=""/>
    <s v=""/>
    <s v=""/>
    <s v=""/>
    <s v=""/>
    <s v=""/>
    <s v=""/>
    <s v=""/>
    <s v=""/>
    <s v=""/>
    <s v=""/>
    <s v=""/>
    <s v=""/>
    <s v=""/>
    <s v=""/>
    <s v=""/>
    <s v=""/>
    <s v=""/>
    <s v="Material"/>
    <s v=""/>
    <s v=""/>
    <s v=""/>
    <s v="8000028700"/>
    <s v="ADAMS 38 BATTERY"/>
    <s v="Upstream"/>
    <s v="1046"/>
    <s v=""/>
    <s v=""/>
    <s v=""/>
    <s v=""/>
    <s v=""/>
    <s v=""/>
    <s v=""/>
    <n v="3"/>
    <s v="EA"/>
    <n v="8.18"/>
    <s v=""/>
    <n v="24.54"/>
    <s v="E-Maintenance"/>
    <s v="703921"/>
    <d v="2025-10-09T15:55:31"/>
    <s v=""/>
    <s v=""/>
    <s v=""/>
    <s v=""/>
  </r>
  <r>
    <s v="64586"/>
    <s v="Valdez Oil Services, L.L.C."/>
    <x v="9"/>
    <s v="Kenneth Hodges"/>
    <s v="Marco Rodriguez"/>
    <s v="Hauled 120 bbl. of PW from ROGERS 35 to OWENS SWD,"/>
    <s v="5051054"/>
    <s v="Upstream"/>
    <s v=""/>
    <s v="USD"/>
    <n v="310"/>
    <s v="Direct Entry"/>
    <s v="1"/>
    <s v="Vacuum Truck"/>
    <s v="Vacuum Truck"/>
    <s v=""/>
    <d v="2025-10-02T11:32:39"/>
    <d v="2025-09-22T16:30:00"/>
    <d v="2025-09-22T19:00:00"/>
    <d v="1899-12-30T02:30:00"/>
    <s v="ROGERS 35"/>
    <s v=""/>
    <s v=""/>
    <s v="PRODUCED WATER"/>
    <s v=""/>
    <s v=""/>
    <s v=""/>
    <s v=""/>
    <n v="9"/>
    <s v=""/>
    <n v="7"/>
    <n v="3"/>
    <s v=""/>
    <s v=""/>
    <s v=""/>
    <s v=""/>
    <s v=""/>
    <s v=""/>
    <s v=""/>
    <s v=""/>
    <s v=""/>
    <n v="120"/>
    <s v="bbl"/>
    <s v=""/>
    <s v=""/>
    <s v=""/>
    <s v=""/>
    <s v="8000323400"/>
    <s v="ROGERS 35 BATTERY"/>
    <s v="Upstream"/>
    <s v="1046"/>
    <s v=""/>
    <s v=""/>
    <s v=""/>
    <s v=""/>
    <s v=""/>
    <s v=""/>
    <s v="Hours Worked"/>
    <n v="2.5"/>
    <s v="hour"/>
    <n v="88"/>
    <s v=""/>
    <n v="220"/>
    <s v="--multiple--"/>
    <s v="712959"/>
    <d v="2025-10-02T11:35:14"/>
    <s v=""/>
    <s v=""/>
    <s v=""/>
    <s v=""/>
  </r>
  <r>
    <s v="64587"/>
    <s v="Valdez Oil Services, L.L.C."/>
    <x v="9"/>
    <s v="Kenneth Hodges"/>
    <s v="Marco Rodriguez"/>
    <s v="Hauled 120 bbl. of PW from ROGERS 35 to T.E.S"/>
    <s v="5051054"/>
    <s v="Upstream"/>
    <s v=""/>
    <s v="USD"/>
    <n v="310"/>
    <s v="Direct Entry"/>
    <s v="1"/>
    <s v="Vacuum Truck"/>
    <s v="Vacuum Truck"/>
    <s v=""/>
    <d v="2025-10-02T11:36:07"/>
    <d v="2025-09-22T19:00:00"/>
    <d v="2025-09-22T21:30:00"/>
    <d v="1899-12-30T02:30:00"/>
    <s v="ROGERS 35"/>
    <s v=""/>
    <s v=""/>
    <s v="PRODUCED WATER"/>
    <s v=""/>
    <s v=""/>
    <s v=""/>
    <s v=""/>
    <n v="7"/>
    <n v="8"/>
    <n v="5"/>
    <n v="11"/>
    <s v=""/>
    <s v=""/>
    <s v=""/>
    <s v=""/>
    <s v=""/>
    <s v=""/>
    <s v=""/>
    <s v=""/>
    <s v=""/>
    <n v="120"/>
    <s v="bbl"/>
    <s v=""/>
    <s v=""/>
    <s v=""/>
    <s v=""/>
    <s v="8000323400"/>
    <s v="ROGERS 35 BATTERY"/>
    <s v="Upstream"/>
    <s v="1046"/>
    <s v=""/>
    <s v=""/>
    <s v=""/>
    <s v=""/>
    <s v=""/>
    <s v=""/>
    <s v="Hours Worked"/>
    <n v="2.5"/>
    <s v="hour"/>
    <n v="88"/>
    <s v=""/>
    <n v="220"/>
    <s v="--multiple--"/>
    <s v="712959"/>
    <d v="2025-10-02T11:40:59"/>
    <s v=""/>
    <s v=""/>
    <s v=""/>
    <s v=""/>
  </r>
  <r>
    <s v="64597"/>
    <s v="Valdez Oil Services, L.L.C."/>
    <x v="5"/>
    <s v="Kenneth Hodges"/>
    <s v="Marco Rodriguez"/>
    <s v="Hauled 120 bbl. of PW from ENDICOTT to PINNERGY SWD."/>
    <s v="5051054"/>
    <s v="Upstream"/>
    <s v=""/>
    <s v="USD"/>
    <n v="266"/>
    <s v="Direct Entry"/>
    <s v="1"/>
    <s v="Vacuum Truck"/>
    <s v="Vacuum Truck"/>
    <s v=""/>
    <d v="2025-10-01T12:36:42"/>
    <d v="2025-09-24T13:30:00"/>
    <d v="2025-09-24T15:30:00"/>
    <d v="1899-12-30T02:00:00"/>
    <s v="ENDICOTT"/>
    <s v=""/>
    <s v=""/>
    <s v="PRODUCED WATER"/>
    <s v=""/>
    <s v=""/>
    <s v=""/>
    <s v=""/>
    <n v="8"/>
    <n v="6"/>
    <n v="6"/>
    <n v="9"/>
    <s v=""/>
    <s v=""/>
    <s v=""/>
    <s v=""/>
    <s v=""/>
    <s v=""/>
    <s v=""/>
    <s v=""/>
    <s v=""/>
    <n v="120"/>
    <s v="bbl"/>
    <s v=""/>
    <s v=""/>
    <s v=""/>
    <s v=""/>
    <s v="8000315000"/>
    <s v="ENDICOTT BATTERY"/>
    <s v="Upstream"/>
    <s v="1046"/>
    <s v=""/>
    <s v=""/>
    <s v=""/>
    <s v=""/>
    <s v=""/>
    <s v=""/>
    <s v="Hours Worked"/>
    <n v="2"/>
    <s v="hour"/>
    <n v="88"/>
    <s v=""/>
    <n v="176"/>
    <s v="--multiple--"/>
    <s v="712959"/>
    <d v="2025-10-01T12:38:40"/>
    <s v=""/>
    <s v=""/>
    <s v=""/>
    <s v=""/>
  </r>
  <r>
    <s v="223147"/>
    <s v="SV RELIABLE TRANSPORT LLC"/>
    <x v="9"/>
    <s v="Kenneth Hodges"/>
    <s v="Marco Rodriguez"/>
    <s v="CARGO CONTINUES TO BE CARRIED FOR DISPOSAL"/>
    <s v="5051054"/>
    <s v="Upstream"/>
    <s v=""/>
    <s v="USD"/>
    <n v="1636"/>
    <s v="Direct Entry"/>
    <s v="2"/>
    <s v="Non-Hazmat"/>
    <s v="Non-Hazmat Vacuum Truck"/>
    <s v=""/>
    <d v="2025-10-13T07:20:05"/>
    <d v="2025-09-24T16:30:00"/>
    <d v="2025-09-25T06:30:00"/>
    <d v="1899-12-30T14:00:00"/>
    <s v="HUMPERDINK BATTERY"/>
    <s v=""/>
    <s v=""/>
    <s v="ASSIST WORK OVER RIG"/>
    <s v=""/>
    <s v=""/>
    <s v=""/>
    <s v=""/>
    <s v=""/>
    <s v=""/>
    <s v=""/>
    <s v=""/>
    <s v=""/>
    <s v=""/>
    <s v=""/>
    <s v=""/>
    <s v=""/>
    <s v=""/>
    <s v=""/>
    <s v=""/>
    <s v=""/>
    <n v="0"/>
    <s v="bbl"/>
    <s v=""/>
    <s v=""/>
    <s v=""/>
    <s v=""/>
    <s v="8000313800"/>
    <s v="HUMPERDINCK BATTERY"/>
    <s v="Upstream"/>
    <s v="1046"/>
    <s v=""/>
    <s v=""/>
    <s v=""/>
    <s v=""/>
    <s v=""/>
    <s v=""/>
    <s v="Hours Worked"/>
    <n v="14"/>
    <s v="hour"/>
    <n v="95"/>
    <s v=""/>
    <n v="1330"/>
    <s v="--multiple--"/>
    <s v="709693"/>
    <d v="2025-10-13T07:29:40"/>
    <s v=""/>
    <s v=""/>
    <s v=""/>
    <s v=""/>
  </r>
  <r>
    <s v="362443"/>
    <s v="Holman Well Service Company, LLC"/>
    <x v="7"/>
    <s v="Daniel Flores"/>
    <s v="Joshua Bales"/>
    <s v="South Knott H Battery  /  Daniel Flores  /  Wash Out Bubble Towers"/>
    <s v="5051108"/>
    <s v="Upstream"/>
    <s v=""/>
    <s v="USD"/>
    <n v="505"/>
    <s v="Direct Entry"/>
    <s v="1"/>
    <s v="10000012"/>
    <s v="Hourly Hot Oil"/>
    <s v=""/>
    <d v="2025-10-10T09:27:38"/>
    <d v="2025-09-25T11:00:00"/>
    <d v="2025-09-25T14:30:00"/>
    <s v=""/>
    <s v=""/>
    <s v=""/>
    <s v=""/>
    <s v=""/>
    <s v=""/>
    <s v=""/>
    <s v=""/>
    <s v=""/>
    <s v=""/>
    <s v=""/>
    <s v=""/>
    <s v=""/>
    <s v=""/>
    <s v=""/>
    <s v=""/>
    <s v=""/>
    <s v=""/>
    <s v=""/>
    <s v=""/>
    <s v=""/>
    <s v=""/>
    <s v=""/>
    <s v=""/>
    <s v="Equipment"/>
    <s v=""/>
    <s v=""/>
    <s v=""/>
    <s v="8000025200"/>
    <s v="SOUTH KNOTT H BATTERY"/>
    <s v="Upstream"/>
    <s v="1046"/>
    <s v=""/>
    <s v=""/>
    <s v=""/>
    <s v=""/>
    <s v=""/>
    <s v=""/>
    <s v=""/>
    <n v="3.5"/>
    <s v="HR"/>
    <n v="130"/>
    <s v=""/>
    <n v="455"/>
    <s v="Pricebook"/>
    <s v="713545"/>
    <d v="2025-10-10T09:30:05"/>
    <s v=""/>
    <s v=""/>
    <s v=""/>
    <s v=""/>
  </r>
  <r>
    <s v="75737"/>
    <s v="AmeriVax, Inc."/>
    <x v="9"/>
    <s v="Kenneth Hodges"/>
    <s v="Marco Rodriguez"/>
    <s v="Vac Truck"/>
    <s v="5051057"/>
    <s v="Upstream"/>
    <s v=""/>
    <s v="USD"/>
    <n v="1258.75"/>
    <s v="Direct Entry"/>
    <s v="1"/>
    <s v=""/>
    <s v="Vac Truck"/>
    <s v="Other"/>
    <d v="2025-10-13T09:25:06"/>
    <d v="2025-09-25T05:30:00"/>
    <d v="2025-09-25T18:45:00"/>
    <s v=""/>
    <s v=""/>
    <s v=""/>
    <s v=""/>
    <s v=""/>
    <s v=""/>
    <s v=""/>
    <s v=""/>
    <s v=""/>
    <s v=""/>
    <s v=""/>
    <s v=""/>
    <s v=""/>
    <s v=""/>
    <s v=""/>
    <s v=""/>
    <s v=""/>
    <s v=""/>
    <s v=""/>
    <s v=""/>
    <s v=""/>
    <s v=""/>
    <s v=""/>
    <s v=""/>
    <s v="Labor"/>
    <s v=""/>
    <s v=""/>
    <s v=""/>
    <s v="8000317000"/>
    <s v="LONGSHANKS BATTERY"/>
    <s v="Upstream"/>
    <s v="1046"/>
    <s v=""/>
    <s v=""/>
    <s v=""/>
    <s v=""/>
    <s v=""/>
    <s v=""/>
    <s v=""/>
    <n v="13.25"/>
    <s v="HR"/>
    <n v="95"/>
    <s v=""/>
    <n v="1258.75"/>
    <s v="--multiple--"/>
    <s v="702180"/>
    <d v="2025-10-13T09:28:18"/>
    <s v=""/>
    <s v=""/>
    <s v=""/>
    <s v=""/>
  </r>
  <r>
    <s v="65009"/>
    <s v="Valdez Oil Services, L.L.C."/>
    <x v="5"/>
    <s v="Kenneth Hodges"/>
    <s v="Marco Rodriguez"/>
    <s v="DRAGO: Cleaned up spill from container and transferred 110 bbl. of fluid into tank #7"/>
    <s v="5051057"/>
    <s v="Upstream"/>
    <s v=""/>
    <s v="USD"/>
    <n v="748"/>
    <s v="Direct Entry"/>
    <s v="1"/>
    <s v="Vacuum Truck"/>
    <s v="Vacuum Truck"/>
    <s v=""/>
    <d v="2025-10-01T16:35:04"/>
    <d v="2025-09-25T09:30:00"/>
    <d v="2025-09-25T18:00:00"/>
    <d v="1899-12-30T08:30:00"/>
    <s v="DRAGO"/>
    <s v=""/>
    <s v=""/>
    <s v="PRODUCED WATER"/>
    <s v=""/>
    <s v=""/>
    <s v=""/>
    <s v=""/>
    <s v=""/>
    <s v=""/>
    <s v=""/>
    <s v=""/>
    <s v=""/>
    <s v=""/>
    <s v=""/>
    <s v=""/>
    <s v=""/>
    <s v=""/>
    <s v=""/>
    <s v=""/>
    <s v=""/>
    <n v="120"/>
    <s v="bbl"/>
    <s v=""/>
    <s v=""/>
    <s v=""/>
    <s v=""/>
    <s v="8000314800"/>
    <s v="DRAGO BATTERY"/>
    <s v="Upstream"/>
    <s v="1046"/>
    <s v=""/>
    <s v=""/>
    <s v=""/>
    <s v=""/>
    <s v=""/>
    <s v=""/>
    <s v="Hours Worked"/>
    <n v="8.5"/>
    <s v="hour"/>
    <n v="88"/>
    <s v=""/>
    <n v="748"/>
    <s v="--multiple--"/>
    <s v="712959"/>
    <d v="2025-10-01T16:38:09"/>
    <s v=""/>
    <s v=""/>
    <s v=""/>
    <s v=""/>
  </r>
  <r>
    <s v="75738"/>
    <s v="AmeriVax, Inc."/>
    <x v="9"/>
    <s v="Kenneth Hodges"/>
    <s v="Marco Rodriguez"/>
    <s v="Vac Truck"/>
    <s v="5051057"/>
    <s v="Upstream"/>
    <s v=""/>
    <s v="USD"/>
    <n v="1258.75"/>
    <s v="Direct Entry"/>
    <s v="1"/>
    <s v=""/>
    <s v="Vac Truck"/>
    <s v="Other"/>
    <d v="2025-10-13T08:39:48"/>
    <d v="2025-09-26T05:15:00"/>
    <d v="2025-09-26T18:45:00"/>
    <s v=""/>
    <s v=""/>
    <s v=""/>
    <s v=""/>
    <s v=""/>
    <s v=""/>
    <s v=""/>
    <s v=""/>
    <s v=""/>
    <s v=""/>
    <s v=""/>
    <s v=""/>
    <s v=""/>
    <s v=""/>
    <s v=""/>
    <s v=""/>
    <s v=""/>
    <s v=""/>
    <s v=""/>
    <s v=""/>
    <s v=""/>
    <s v=""/>
    <s v=""/>
    <s v=""/>
    <s v="Labor"/>
    <s v=""/>
    <s v=""/>
    <s v=""/>
    <s v="8000317000"/>
    <s v="LONGSHANKS BATTERY"/>
    <s v="Upstream"/>
    <s v="1046"/>
    <s v=""/>
    <s v=""/>
    <s v=""/>
    <s v=""/>
    <s v=""/>
    <s v=""/>
    <s v=""/>
    <n v="13.25"/>
    <s v="HR"/>
    <n v="95"/>
    <s v=""/>
    <n v="1258.75"/>
    <s v="--multiple--"/>
    <s v="702180"/>
    <d v="2025-10-13T08:43:38"/>
    <s v=""/>
    <s v=""/>
    <s v=""/>
    <s v=""/>
  </r>
  <r>
    <s v="64528"/>
    <s v="Valdez Oil Services, L.L.C."/>
    <x v="10"/>
    <s v="Kenneth Hodges"/>
    <s v="Marco Rodriguez"/>
    <s v="HASEL UNIT A BATTERY: Drove to location and pulled bottom from oil tanks 1,2,3 and 4 and transferred fluid into the tanks on DAVY JONES WEST battery."/>
    <s v="5051057"/>
    <s v="Upstream"/>
    <s v=""/>
    <s v="USD"/>
    <n v="792"/>
    <s v="Direct Entry"/>
    <s v="1"/>
    <s v="Vacuum Truck"/>
    <s v="Vacuum Truck"/>
    <s v=""/>
    <d v="2025-10-03T10:28:58"/>
    <d v="2025-09-26T13:00:00"/>
    <d v="2025-09-26T22:00:00"/>
    <d v="1899-12-30T09:00:00"/>
    <s v="HASEL A UNIT BATTERY"/>
    <s v=""/>
    <s v=""/>
    <s v="TANK TRANSFER"/>
    <s v=""/>
    <s v=""/>
    <s v=""/>
    <s v=""/>
    <s v=""/>
    <s v=""/>
    <s v=""/>
    <s v=""/>
    <s v=""/>
    <s v=""/>
    <s v=""/>
    <s v=""/>
    <s v=""/>
    <s v=""/>
    <s v=""/>
    <s v=""/>
    <s v=""/>
    <n v="120"/>
    <s v="bbl"/>
    <s v=""/>
    <s v=""/>
    <s v=""/>
    <s v=""/>
    <s v="8000316200"/>
    <s v="HASEL A UNIT BATTERY"/>
    <s v="Upstream"/>
    <s v="1046"/>
    <s v=""/>
    <s v=""/>
    <s v=""/>
    <s v=""/>
    <s v=""/>
    <s v=""/>
    <s v="Hours Worked"/>
    <n v="9"/>
    <s v="hour"/>
    <n v="88"/>
    <s v=""/>
    <n v="792"/>
    <s v="--multiple--"/>
    <s v="712959"/>
    <d v="2025-10-03T10:31:40"/>
    <s v=""/>
    <s v=""/>
    <s v=""/>
    <s v=""/>
  </r>
  <r>
    <s v="75739"/>
    <s v="AmeriVax, Inc."/>
    <x v="9"/>
    <s v="Kenneth Hodges"/>
    <s v="Marco Rodriguez"/>
    <s v="Vac Truck"/>
    <s v="5051057"/>
    <s v="Upstream"/>
    <s v=""/>
    <s v="USD"/>
    <n v="736.25"/>
    <s v="Direct Entry"/>
    <s v="1"/>
    <s v=""/>
    <s v="Vac Truck"/>
    <s v="Other"/>
    <d v="2025-10-13T10:07:07"/>
    <d v="2025-09-27T05:00:00"/>
    <d v="2025-09-27T12:45:00"/>
    <s v=""/>
    <s v=""/>
    <s v=""/>
    <s v=""/>
    <s v=""/>
    <s v=""/>
    <s v=""/>
    <s v=""/>
    <s v=""/>
    <s v=""/>
    <s v=""/>
    <s v=""/>
    <s v=""/>
    <s v=""/>
    <s v=""/>
    <s v=""/>
    <s v=""/>
    <s v=""/>
    <s v=""/>
    <s v=""/>
    <s v=""/>
    <s v=""/>
    <s v=""/>
    <s v=""/>
    <s v="Labor"/>
    <s v=""/>
    <s v=""/>
    <s v=""/>
    <s v="8000317000"/>
    <s v="LONGSHANKS BATTERY"/>
    <s v="Upstream"/>
    <s v="1046"/>
    <s v=""/>
    <s v=""/>
    <s v=""/>
    <s v=""/>
    <s v=""/>
    <s v=""/>
    <s v=""/>
    <n v="7.75"/>
    <s v="HR"/>
    <n v="95"/>
    <s v=""/>
    <n v="736.25"/>
    <s v="--multiple--"/>
    <s v="702180"/>
    <d v="2025-10-13T10:13:07"/>
    <s v=""/>
    <s v=""/>
    <s v=""/>
    <s v=""/>
  </r>
  <r>
    <s v="75740"/>
    <s v="AmeriVax, Inc."/>
    <x v="9"/>
    <s v="Kenneth Hodges"/>
    <s v="Marco Rodriguez"/>
    <s v="Vac Truck"/>
    <s v="5051057"/>
    <s v="Upstream"/>
    <s v=""/>
    <s v="USD"/>
    <n v="570"/>
    <s v="Direct Entry"/>
    <s v="1"/>
    <s v=""/>
    <s v="Vac Truck"/>
    <s v="Other"/>
    <d v="2025-10-13T08:44:38"/>
    <d v="2025-09-27T12:45:00"/>
    <d v="2025-09-27T18:45:00"/>
    <s v=""/>
    <s v=""/>
    <s v=""/>
    <s v=""/>
    <s v=""/>
    <s v=""/>
    <s v=""/>
    <s v=""/>
    <s v=""/>
    <s v=""/>
    <s v=""/>
    <s v=""/>
    <s v=""/>
    <s v=""/>
    <s v=""/>
    <s v=""/>
    <s v=""/>
    <s v=""/>
    <s v=""/>
    <s v=""/>
    <s v=""/>
    <s v=""/>
    <s v=""/>
    <s v=""/>
    <s v="Labor"/>
    <s v=""/>
    <s v=""/>
    <s v=""/>
    <s v="8000313800"/>
    <s v="HUMPERDINCK BATTERY"/>
    <s v="Upstream"/>
    <s v="1046"/>
    <s v=""/>
    <s v=""/>
    <s v=""/>
    <s v=""/>
    <s v=""/>
    <s v=""/>
    <s v=""/>
    <n v="6"/>
    <s v="HR"/>
    <n v="95"/>
    <s v=""/>
    <n v="570"/>
    <s v="--multiple--"/>
    <s v="702180"/>
    <d v="2025-10-13T08:47:32"/>
    <s v=""/>
    <s v=""/>
    <s v=""/>
    <s v=""/>
  </r>
  <r>
    <s v="75742"/>
    <s v="AmeriVax, Inc."/>
    <x v="9"/>
    <s v="Kenneth Hodges"/>
    <s v="Marco Rodriguez"/>
    <s v="Vac Truck"/>
    <s v="5051057"/>
    <s v="Upstream"/>
    <s v=""/>
    <s v="USD"/>
    <n v="1258.75"/>
    <s v="Direct Entry"/>
    <s v="1"/>
    <s v=""/>
    <s v="Vac Truck"/>
    <s v="Other"/>
    <d v="2025-10-13T09:01:03"/>
    <d v="2025-09-29T05:15:00"/>
    <d v="2025-09-29T18:30:00"/>
    <s v=""/>
    <s v=""/>
    <s v=""/>
    <s v=""/>
    <s v=""/>
    <s v=""/>
    <s v=""/>
    <s v=""/>
    <s v=""/>
    <s v=""/>
    <s v=""/>
    <s v=""/>
    <s v=""/>
    <s v=""/>
    <s v=""/>
    <s v=""/>
    <s v=""/>
    <s v=""/>
    <s v=""/>
    <s v=""/>
    <s v=""/>
    <s v=""/>
    <s v=""/>
    <s v=""/>
    <s v="Labor"/>
    <s v=""/>
    <s v=""/>
    <s v=""/>
    <s v="8000313800"/>
    <s v="HUMPERDINCK BATTERY"/>
    <s v="Upstream"/>
    <s v="1046"/>
    <s v=""/>
    <s v=""/>
    <s v=""/>
    <s v=""/>
    <s v=""/>
    <s v=""/>
    <s v=""/>
    <n v="13.25"/>
    <s v="HR"/>
    <n v="95"/>
    <s v=""/>
    <n v="1258.75"/>
    <s v="--multiple--"/>
    <s v="702180"/>
    <d v="2025-10-13T09:02:49"/>
    <s v=""/>
    <s v=""/>
    <s v=""/>
    <s v=""/>
  </r>
  <r>
    <s v="75743"/>
    <s v="AmeriVax, Inc."/>
    <x v="9"/>
    <s v="Kenneth Hodges"/>
    <s v="Marco Rodriguez"/>
    <s v="Vac Truck"/>
    <s v="5051057"/>
    <s v="Upstream"/>
    <s v=""/>
    <s v="USD"/>
    <n v="1211.25"/>
    <s v="Direct Entry"/>
    <s v="1"/>
    <s v=""/>
    <s v="Vac Truck"/>
    <s v="Other"/>
    <d v="2025-10-13T08:07:35"/>
    <d v="2025-09-30T05:15:00"/>
    <d v="2025-09-30T18:00:00"/>
    <s v=""/>
    <s v=""/>
    <s v=""/>
    <s v=""/>
    <s v=""/>
    <s v=""/>
    <s v=""/>
    <s v=""/>
    <s v=""/>
    <s v=""/>
    <s v=""/>
    <s v=""/>
    <s v=""/>
    <s v=""/>
    <s v=""/>
    <s v=""/>
    <s v=""/>
    <s v=""/>
    <s v=""/>
    <s v=""/>
    <s v=""/>
    <s v=""/>
    <s v=""/>
    <s v=""/>
    <s v="Labor"/>
    <s v=""/>
    <s v=""/>
    <s v=""/>
    <s v="8000314800"/>
    <s v="DRAGO BATTERY"/>
    <s v="Upstream"/>
    <s v="1046"/>
    <s v=""/>
    <s v=""/>
    <s v=""/>
    <s v=""/>
    <s v=""/>
    <s v=""/>
    <s v=""/>
    <n v="12.75"/>
    <s v="HR"/>
    <n v="95"/>
    <s v=""/>
    <n v="1211.25"/>
    <s v="--multiple--"/>
    <s v="702180"/>
    <d v="2025-10-13T08:10:10"/>
    <s v=""/>
    <s v=""/>
    <s v=""/>
    <s v=""/>
  </r>
  <r>
    <s v="65604"/>
    <s v="Valdez Oil Services, L.L.C."/>
    <x v="2"/>
    <s v="Kenneth Hodges"/>
    <s v="Marco Rodriguez"/>
    <s v="Hauled 2 loads 120 bbl. each of PW from ROGERS 35 to BARRETT SWD."/>
    <s v="5051054"/>
    <s v="Upstream"/>
    <s v=""/>
    <s v="USD"/>
    <n v="708"/>
    <s v="Direct Entry"/>
    <s v="1"/>
    <s v="Vacuum Truck"/>
    <s v="Vacuum Truck"/>
    <s v=""/>
    <d v="2025-10-06T17:28:35"/>
    <d v="2025-10-02T08:00:00"/>
    <d v="2025-10-02T14:00:00"/>
    <d v="1899-12-30T06:00:00"/>
    <s v="ROGERS 35"/>
    <s v=""/>
    <s v=""/>
    <s v="PRODUCED WATER"/>
    <s v=""/>
    <s v=""/>
    <s v=""/>
    <s v=""/>
    <n v="10"/>
    <n v="3"/>
    <n v="6"/>
    <n v="7"/>
    <s v=""/>
    <s v=""/>
    <s v=""/>
    <s v=""/>
    <s v=""/>
    <s v=""/>
    <s v=""/>
    <s v=""/>
    <s v=""/>
    <n v="120"/>
    <s v="bbl"/>
    <s v=""/>
    <s v=""/>
    <s v=""/>
    <s v=""/>
    <s v="8000323400"/>
    <s v="ROGERS 35 BATTERY"/>
    <s v="Upstream"/>
    <s v="1046"/>
    <s v=""/>
    <s v=""/>
    <s v=""/>
    <s v=""/>
    <s v=""/>
    <s v=""/>
    <s v="Hours Worked"/>
    <n v="6"/>
    <s v="hour"/>
    <n v="88"/>
    <s v=""/>
    <n v="528"/>
    <s v="--multiple--"/>
    <s v="712959"/>
    <d v="2025-10-08T09:49:30"/>
    <s v=""/>
    <s v=""/>
    <s v="VC Driver/CrewMember Name"/>
    <s v=""/>
  </r>
  <r>
    <s v="64702"/>
    <s v="Valdez Oil Services, L.L.C."/>
    <x v="2"/>
    <s v="Kenneth Hodges"/>
    <s v="Marco Rodriguez"/>
    <s v="Hauled 2 loads 120 bbl. of PW from WEIR to PINNERGY SWD."/>
    <s v="5051054"/>
    <s v="Upstream"/>
    <s v=""/>
    <s v="USD"/>
    <n v="774"/>
    <s v="Direct Entry"/>
    <s v="1"/>
    <s v="Vacuum Truck"/>
    <s v="Vacuum Truck"/>
    <s v=""/>
    <d v="2025-10-06T17:22:46"/>
    <d v="2025-10-02T12:00:00"/>
    <d v="2025-10-02T18:45:00"/>
    <d v="1899-12-30T06:45:00"/>
    <s v="WEIR"/>
    <s v=""/>
    <s v=""/>
    <s v="PRODUCED WATER"/>
    <s v=""/>
    <s v=""/>
    <s v=""/>
    <s v=""/>
    <n v="10"/>
    <n v="6"/>
    <n v="1"/>
    <n v="3"/>
    <s v=""/>
    <s v=""/>
    <s v=""/>
    <s v=""/>
    <s v=""/>
    <s v=""/>
    <s v=""/>
    <s v=""/>
    <s v=""/>
    <n v="120"/>
    <s v="bbl"/>
    <s v=""/>
    <s v=""/>
    <s v=""/>
    <s v=""/>
    <s v="8300165500"/>
    <s v="WEIR BATTERY"/>
    <s v="Upstream"/>
    <s v="1046"/>
    <s v=""/>
    <s v=""/>
    <s v=""/>
    <s v=""/>
    <s v=""/>
    <s v=""/>
    <s v="Hours Worked"/>
    <n v="6.75"/>
    <s v="hour"/>
    <n v="88"/>
    <s v=""/>
    <n v="594"/>
    <s v="--multiple--"/>
    <s v="712959"/>
    <d v="2025-10-07T16:35:08"/>
    <s v=""/>
    <s v=""/>
    <s v=""/>
    <s v=""/>
  </r>
  <r>
    <s v="65027"/>
    <s v="Valdez Oil Services, L.L.C."/>
    <x v="10"/>
    <s v="Kenneth Hodges"/>
    <s v="Marco Rodriguez"/>
    <s v="Hauled 120 bbl. of PW from ROGERS 35 to OWENS SWD."/>
    <s v="5051054"/>
    <s v="Upstream"/>
    <s v=""/>
    <s v="USD"/>
    <n v="354"/>
    <s v="Direct Entry"/>
    <s v="1"/>
    <s v="Vacuum Truck"/>
    <s v="Vacuum Truck"/>
    <s v=""/>
    <d v="2025-10-08T12:47:13"/>
    <d v="2025-10-05T06:00:00"/>
    <d v="2025-10-05T09:00:00"/>
    <d v="1899-12-30T03:00:00"/>
    <s v="ROGERS 35"/>
    <s v=""/>
    <s v=""/>
    <s v="PRODUCED WATER"/>
    <s v=""/>
    <s v=""/>
    <s v=""/>
    <s v=""/>
    <n v="9"/>
    <n v="4"/>
    <n v="7"/>
    <n v="7"/>
    <s v=""/>
    <s v=""/>
    <s v=""/>
    <s v=""/>
    <s v=""/>
    <s v=""/>
    <s v=""/>
    <s v=""/>
    <s v=""/>
    <n v="120"/>
    <s v="bbl"/>
    <s v=""/>
    <s v=""/>
    <s v=""/>
    <s v=""/>
    <s v="8000323400"/>
    <s v="ROGERS 35 BATTERY"/>
    <s v="Upstream"/>
    <s v="1046"/>
    <s v=""/>
    <s v=""/>
    <s v=""/>
    <s v=""/>
    <s v=""/>
    <s v=""/>
    <s v="Hours Worked"/>
    <n v="3"/>
    <s v="hour"/>
    <n v="88"/>
    <s v=""/>
    <n v="264"/>
    <s v="--multiple--"/>
    <s v="712959"/>
    <d v="2025-10-08T12:49:20"/>
    <s v=""/>
    <s v=""/>
    <s v=""/>
    <s v=""/>
  </r>
  <r>
    <s v="65029"/>
    <s v="Valdez Oil Services, L.L.C."/>
    <x v="10"/>
    <s v="Kenneth Hodges"/>
    <s v="Marco Rodriguez"/>
    <s v="Hauled 120 bbl. of PW from ROGERS 35 to OWENS SWD."/>
    <s v="5051054"/>
    <s v="Upstream"/>
    <s v=""/>
    <s v="USD"/>
    <n v="310"/>
    <s v="Direct Entry"/>
    <s v="1"/>
    <s v="Vacuum Truck"/>
    <s v="Vacuum Truck"/>
    <s v=""/>
    <d v="2025-10-08T12:54:43"/>
    <d v="2025-10-05T16:00:00"/>
    <d v="2025-10-05T18:30:00"/>
    <d v="1899-12-30T02:30:00"/>
    <s v="ROGERS 35"/>
    <s v=""/>
    <s v=""/>
    <s v="PRODUCED WATER"/>
    <s v=""/>
    <s v=""/>
    <s v=""/>
    <s v=""/>
    <n v="9"/>
    <n v="5"/>
    <n v="7"/>
    <n v="8"/>
    <s v=""/>
    <s v=""/>
    <s v=""/>
    <s v=""/>
    <s v=""/>
    <s v=""/>
    <s v=""/>
    <s v=""/>
    <s v=""/>
    <n v="120"/>
    <s v="bbl"/>
    <s v=""/>
    <s v=""/>
    <s v=""/>
    <s v=""/>
    <s v="8000323400"/>
    <s v="ROGERS 35 BATTERY"/>
    <s v="Upstream"/>
    <s v="1046"/>
    <s v=""/>
    <s v=""/>
    <s v=""/>
    <s v=""/>
    <s v=""/>
    <s v=""/>
    <s v="Hours Worked"/>
    <n v="2.5"/>
    <s v="hour"/>
    <n v="88"/>
    <s v=""/>
    <n v="220"/>
    <s v="--multiple--"/>
    <s v="712959"/>
    <d v="2025-10-08T12:58:02"/>
    <s v=""/>
    <s v=""/>
    <s v=""/>
    <s v=""/>
  </r>
  <r>
    <s v="65032"/>
    <s v="Valdez Oil Services, L.L.C."/>
    <x v="10"/>
    <s v="Kenneth Hodges"/>
    <s v="Marco Rodriguez"/>
    <s v="Hauled 120 bbl. of PW from ROGERS 35 to OWENS SWD."/>
    <s v="5051054"/>
    <s v="Upstream"/>
    <s v=""/>
    <s v="USD"/>
    <n v="310"/>
    <s v="Direct Entry"/>
    <s v="1"/>
    <s v="Vacuum Truck"/>
    <s v="Vacuum Truck"/>
    <s v=""/>
    <d v="2025-10-08T13:53:52"/>
    <d v="2025-10-06T07:00:00"/>
    <d v="2025-10-06T09:30:00"/>
    <d v="1899-12-30T02:30:00"/>
    <s v="ROGERS 35"/>
    <s v=""/>
    <s v=""/>
    <s v="PRODUCED WATER"/>
    <s v=""/>
    <s v=""/>
    <s v=""/>
    <s v=""/>
    <n v="10"/>
    <n v="3"/>
    <n v="8"/>
    <n v="6"/>
    <s v=""/>
    <s v=""/>
    <s v=""/>
    <s v=""/>
    <s v=""/>
    <s v=""/>
    <s v=""/>
    <s v=""/>
    <s v=""/>
    <n v="120"/>
    <s v="bbl"/>
    <s v=""/>
    <s v=""/>
    <s v=""/>
    <s v=""/>
    <s v="8000323400"/>
    <s v="ROGERS 35 BATTERY"/>
    <s v="Upstream"/>
    <s v="1046"/>
    <s v=""/>
    <s v=""/>
    <s v=""/>
    <s v=""/>
    <s v=""/>
    <s v=""/>
    <s v="Hours Worked"/>
    <n v="2.5"/>
    <s v="hour"/>
    <n v="88"/>
    <s v=""/>
    <n v="220"/>
    <s v="--multiple--"/>
    <s v="712959"/>
    <d v="2025-10-08T14:03:00"/>
    <s v=""/>
    <s v=""/>
    <s v=""/>
    <s v=""/>
  </r>
  <r>
    <s v="65033"/>
    <s v="Valdez Oil Services, L.L.C."/>
    <x v="10"/>
    <s v="Kenneth Hodges"/>
    <s v="Marco Rodriguez"/>
    <s v="Hauled 120 bbl. of PW from ROGERS 35 to OWENS SWD."/>
    <s v="5051054"/>
    <s v="Upstream"/>
    <s v=""/>
    <s v="USD"/>
    <n v="310"/>
    <s v="Direct Entry"/>
    <s v="1"/>
    <s v="Vacuum Truck"/>
    <s v="Vacuum Truck"/>
    <s v=""/>
    <d v="2025-10-08T14:04:41"/>
    <d v="2025-10-06T09:30:00"/>
    <d v="2025-10-06T12:00:00"/>
    <d v="1899-12-30T02:30:00"/>
    <s v="ROGERS 35"/>
    <s v=""/>
    <s v=""/>
    <s v="PRODUCED WATER"/>
    <s v=""/>
    <s v=""/>
    <s v=""/>
    <s v=""/>
    <n v="8"/>
    <n v="5"/>
    <n v="6"/>
    <n v="8"/>
    <s v=""/>
    <s v=""/>
    <s v=""/>
    <s v=""/>
    <s v=""/>
    <s v=""/>
    <s v=""/>
    <s v=""/>
    <s v=""/>
    <n v="120"/>
    <s v="bbl"/>
    <s v=""/>
    <s v=""/>
    <s v=""/>
    <s v=""/>
    <s v="8000323400"/>
    <s v="ROGERS 35 BATTERY"/>
    <s v="Upstream"/>
    <s v="1046"/>
    <s v=""/>
    <s v=""/>
    <s v=""/>
    <s v=""/>
    <s v=""/>
    <s v=""/>
    <s v="Hours Worked"/>
    <n v="2.5"/>
    <s v="hour"/>
    <n v="88"/>
    <s v=""/>
    <n v="220"/>
    <s v="--multiple--"/>
    <s v="712959"/>
    <d v="2025-10-08T14:07:41"/>
    <s v=""/>
    <s v=""/>
    <s v=""/>
    <s v=""/>
  </r>
  <r>
    <s v="33663"/>
    <s v="Montero Energy Services LLC"/>
    <x v="1"/>
    <s v="Missael Silva"/>
    <s v="Joshua Bales"/>
    <s v="The crew picked up the steamer and hauled it to the location and proceeded to remove inlet and drain lines."/>
    <s v="5051049"/>
    <s v="Upstream"/>
    <s v="144652"/>
    <s v="USD"/>
    <n v="1722.5"/>
    <s v="Direct Entry"/>
    <s v="1"/>
    <s v="100005"/>
    <s v="Two man crew with roustabout truck"/>
    <s v="Roustabout Crew"/>
    <d v="2025-10-07T13:21:59"/>
    <d v="2025-09-05T07:45:00"/>
    <d v="2025-09-05T17:30:00"/>
    <s v=""/>
    <s v="South Knott H Battery"/>
    <s v=""/>
    <s v=""/>
    <s v=""/>
    <s v=""/>
    <s v=""/>
    <s v=""/>
    <s v=""/>
    <s v=""/>
    <s v=""/>
    <s v=""/>
    <s v=""/>
    <s v=""/>
    <s v=""/>
    <s v=""/>
    <s v=""/>
    <s v=""/>
    <s v=""/>
    <s v=""/>
    <s v=""/>
    <s v=""/>
    <s v=""/>
    <s v=""/>
    <s v="Labor"/>
    <s v=""/>
    <s v=""/>
    <s v=""/>
    <s v="8000025200"/>
    <s v="SOUTH KNOTT H BATTERY"/>
    <s v="Upstream"/>
    <s v="1046"/>
    <s v=""/>
    <s v=""/>
    <s v=""/>
    <s v=""/>
    <s v=""/>
    <s v=""/>
    <s v=""/>
    <n v="9.75"/>
    <s v="HR"/>
    <n v="110"/>
    <s v=""/>
    <n v="1072.5"/>
    <s v="--multiple--"/>
    <s v="706718"/>
    <d v="2025-10-07T13:25:15"/>
    <s v=""/>
    <s v=""/>
    <s v=""/>
    <s v=""/>
  </r>
  <r>
    <s v="6501496707"/>
    <s v="Applied US Energy Inc."/>
    <x v="3"/>
    <s v="Missael Silva"/>
    <s v="Joshua Bales"/>
    <s v="Supplies"/>
    <s v="5051049"/>
    <s v="Upstream"/>
    <s v="163092"/>
    <s v="USD"/>
    <n v="1291.8599999999999"/>
    <s v="B2B"/>
    <s v="10"/>
    <s v="107608960"/>
    <s v="ISWG_SWG 3 X 2 XH TBE CS"/>
    <s v="E&amp;M"/>
    <d v="2025-10-02T08:29:34"/>
    <d v="2025-09-19T00:00:00"/>
    <d v="2025-09-19T00:00:00"/>
    <s v=""/>
    <s v="BLAGRAVE F 42-43 4406H"/>
    <s v=""/>
    <s v=""/>
    <s v=""/>
    <s v=""/>
    <s v=""/>
    <s v=""/>
    <s v=""/>
    <s v=""/>
    <s v=""/>
    <s v=""/>
    <s v=""/>
    <s v=""/>
    <s v=""/>
    <s v=""/>
    <s v=""/>
    <s v=""/>
    <s v=""/>
    <s v=""/>
    <s v=""/>
    <s v=""/>
    <s v=""/>
    <s v=""/>
    <s v="Material"/>
    <s v=""/>
    <s v=""/>
    <s v=""/>
    <s v="1001784000"/>
    <s v="BLAGRAVE F 42-43 4406H"/>
    <s v="Upstream"/>
    <s v="1046"/>
    <s v=""/>
    <s v=""/>
    <s v=""/>
    <s v=""/>
    <s v=""/>
    <s v=""/>
    <s v=""/>
    <n v="2"/>
    <s v="EA"/>
    <n v="28.1"/>
    <s v=""/>
    <n v="56.2"/>
    <s v="E-Maintenance"/>
    <s v="708146"/>
    <d v="2025-10-13T14:27:51"/>
    <s v=""/>
    <s v=""/>
    <s v="Coding/Location Issue"/>
    <s v=""/>
  </r>
  <r>
    <s v="61766"/>
    <s v="JAT PARTNER LOGISTICS, LLC"/>
    <x v="3"/>
    <s v="Missael Silva"/>
    <s v="Joshua Bales"/>
    <s v="FLATBED TO DELIVER ROLLER TO LOCATION"/>
    <s v="5051027"/>
    <s v="Upstream"/>
    <s v="166956"/>
    <s v="USD"/>
    <n v="580"/>
    <s v="Dispatched Mobile - iOS"/>
    <s v="1"/>
    <s v="FLATBED"/>
    <s v="40FT FLATBED TRAILER"/>
    <s v=""/>
    <d v="2025-09-26T05:58:52"/>
    <d v="2025-09-26T07:00:00"/>
    <d v="2025-09-26T11:00:00"/>
    <d v="1899-12-30T08:00:00"/>
    <s v="SOUTH KNOTT BATTERY"/>
    <s v=""/>
    <s v=""/>
    <s v=""/>
    <s v=""/>
    <s v=""/>
    <s v=""/>
    <s v=""/>
    <s v=""/>
    <s v=""/>
    <s v=""/>
    <s v=""/>
    <s v=""/>
    <s v=""/>
    <s v=""/>
    <s v=""/>
    <s v=""/>
    <s v=""/>
    <s v=""/>
    <s v=""/>
    <s v=""/>
    <s v=""/>
    <s v=""/>
    <s v="Labor"/>
    <s v=""/>
    <s v=""/>
    <s v=""/>
    <s v="8000025200"/>
    <s v="SOUTH KNOTT H BATTERY"/>
    <s v="Upstream"/>
    <s v="1046"/>
    <s v=""/>
    <s v=""/>
    <s v=""/>
    <s v=""/>
    <s v=""/>
    <s v=""/>
    <s v=""/>
    <n v="4"/>
    <s v="HR"/>
    <n v="145"/>
    <s v=""/>
    <n v="580"/>
    <s v="--multiple--"/>
    <s v="711903"/>
    <d v="2025-10-13T13:14:42"/>
    <s v=""/>
    <s v=""/>
    <s v="Attachment Issue"/>
    <s v=""/>
  </r>
  <r>
    <s v="9171"/>
    <s v="Viper Energy Services &amp; Transport, LLC"/>
    <x v="5"/>
    <s v="Missael Silva"/>
    <s v="Joshua Bales"/>
    <s v="Rental -Trash Trailer"/>
    <s v="5051027"/>
    <s v="Upstream"/>
    <s v="163150"/>
    <s v="USD"/>
    <n v="200"/>
    <s v="Direct Entry"/>
    <s v="1"/>
    <s v="TTW50"/>
    <s v="Trash Trailer - Weekly"/>
    <s v=""/>
    <d v="2025-10-08T10:38:36"/>
    <d v="2025-09-28T00:00:00"/>
    <d v="2025-09-28T00:00:00"/>
    <s v=""/>
    <s v="FRM RTE-BALES JOSH"/>
    <s v=""/>
    <s v=""/>
    <s v=""/>
    <s v=""/>
    <s v=""/>
    <s v=""/>
    <s v=""/>
    <s v=""/>
    <s v=""/>
    <s v=""/>
    <s v=""/>
    <s v=""/>
    <s v=""/>
    <s v=""/>
    <s v=""/>
    <s v=""/>
    <s v=""/>
    <s v=""/>
    <s v=""/>
    <s v=""/>
    <s v=""/>
    <s v=""/>
    <s v="Equipment"/>
    <s v=""/>
    <s v=""/>
    <s v=""/>
    <s v="9100019700"/>
    <s v="FRM RTE-BALES JOSH"/>
    <s v="Upstream"/>
    <s v="1046"/>
    <s v=""/>
    <s v=""/>
    <s v=""/>
    <s v=""/>
    <s v=""/>
    <s v=""/>
    <s v=""/>
    <n v="1"/>
    <s v="Wkly"/>
    <n v="200"/>
    <s v=""/>
    <n v="200"/>
    <s v="--multiple--"/>
    <s v="712296"/>
    <d v="2025-10-08T10:55:39"/>
    <s v=""/>
    <s v=""/>
    <s v=""/>
    <s v=""/>
  </r>
  <r>
    <s v="61858"/>
    <s v="JAT PARTNER LOGISTICS, LLC"/>
    <x v="3"/>
    <s v="Missael Silva"/>
    <s v="Joshua Bales"/>
    <s v="BUILD 6X20 PAD ON LOCATION FOR BUBBLE TOWER."/>
    <s v="5051027"/>
    <s v="Upstream"/>
    <s v="166956"/>
    <s v="USD"/>
    <n v="1350"/>
    <s v="Dispatched Mobile - Android"/>
    <s v="1"/>
    <s v="DRUM ROLLER+OPERATOR"/>
    <s v="DRUM ROLLER+OPERATOR"/>
    <s v=""/>
    <d v="2025-09-29T07:09:35"/>
    <d v="2025-09-29T07:00:00"/>
    <d v="2025-09-29T16:00:00"/>
    <d v="1899-12-30T08:55:00"/>
    <s v="SOUTH KNOTT H BATTERY"/>
    <s v=""/>
    <s v=""/>
    <s v=""/>
    <s v=""/>
    <s v=""/>
    <s v=""/>
    <s v=""/>
    <s v=""/>
    <s v=""/>
    <s v=""/>
    <s v=""/>
    <s v=""/>
    <s v=""/>
    <s v=""/>
    <s v=""/>
    <s v=""/>
    <s v=""/>
    <s v=""/>
    <s v=""/>
    <s v=""/>
    <s v=""/>
    <s v=""/>
    <s v="Labor"/>
    <s v=""/>
    <s v="4530"/>
    <s v=""/>
    <s v="8000025200"/>
    <s v="SOUTH KNOTT H BATTERY"/>
    <s v="Upstream"/>
    <s v="1046"/>
    <s v=""/>
    <s v=""/>
    <s v=""/>
    <s v=""/>
    <s v=""/>
    <s v=""/>
    <s v=""/>
    <n v="7.5"/>
    <s v="HR"/>
    <n v="85"/>
    <s v=""/>
    <n v="637.5"/>
    <s v="--multiple--"/>
    <s v="711903"/>
    <d v="2025-10-13T13:14:54"/>
    <s v=""/>
    <s v=""/>
    <s v="Attachment Issue"/>
    <s v=""/>
  </r>
  <r>
    <s v="61857"/>
    <s v="JAT PARTNER LOGISTICS, LLC"/>
    <x v="3"/>
    <s v="Missael Silva"/>
    <s v="Joshua Bales"/>
    <s v="BELLY DUMP HAUL MATERIAL TO LOCATION ASSIST AS NEEDED."/>
    <s v="5051027"/>
    <s v="Upstream"/>
    <s v="166956"/>
    <s v="USD"/>
    <n v="308.75"/>
    <s v="Dispatched Mobile - iOS"/>
    <s v="1"/>
    <s v="Belly Dump"/>
    <s v="Belly Dump"/>
    <s v=""/>
    <d v="2025-09-29T06:41:00"/>
    <d v="2025-09-29T12:15:00"/>
    <d v="2025-09-29T15:30:00"/>
    <d v="1899-12-30T07:16:00"/>
    <s v="SOUTH KNOTT H BATTERY"/>
    <s v=""/>
    <s v=""/>
    <s v=""/>
    <s v=""/>
    <s v=""/>
    <s v=""/>
    <s v=""/>
    <s v=""/>
    <s v=""/>
    <s v=""/>
    <s v=""/>
    <s v=""/>
    <s v=""/>
    <s v=""/>
    <s v=""/>
    <s v=""/>
    <s v=""/>
    <s v=""/>
    <s v=""/>
    <s v=""/>
    <s v=""/>
    <s v=""/>
    <s v="Labor"/>
    <s v=""/>
    <s v=""/>
    <s v=""/>
    <s v="8000025200"/>
    <s v="SOUTH KNOTT H BATTERY"/>
    <s v="Upstream"/>
    <s v="1046"/>
    <s v=""/>
    <s v=""/>
    <s v=""/>
    <s v=""/>
    <s v=""/>
    <s v=""/>
    <s v=""/>
    <n v="3.25"/>
    <s v="HR"/>
    <n v="95"/>
    <s v=""/>
    <n v="308.75"/>
    <s v="--multiple--"/>
    <s v="711903"/>
    <d v="2025-10-13T13:14:47"/>
    <s v=""/>
    <s v=""/>
    <s v="Attachment Issue"/>
    <s v=""/>
  </r>
  <r>
    <s v="11175"/>
    <s v="Viper Energy Services &amp; Transport, LLC"/>
    <x v="1"/>
    <s v="Missael Silva"/>
    <s v="Joshua Bales"/>
    <s v="Maintenance Roustabout - Fabricated line to wellhead connected to flowline."/>
    <s v="8501210"/>
    <s v="AC-AC"/>
    <s v="167723"/>
    <s v="USD"/>
    <n v="900"/>
    <s v="Direct Entry"/>
    <s v="1"/>
    <s v="R17"/>
    <s v="Roustabout"/>
    <s v="Roustabout"/>
    <d v="2025-10-07T06:33:58"/>
    <d v="2025-10-06T06:00:00"/>
    <d v="2025-10-06T13:30:00"/>
    <s v=""/>
    <s v="SHORTES 40 UNIT 4LS"/>
    <s v=""/>
    <s v=""/>
    <s v=""/>
    <s v=""/>
    <s v=""/>
    <s v=""/>
    <s v=""/>
    <s v=""/>
    <s v=""/>
    <s v=""/>
    <s v=""/>
    <s v=""/>
    <s v=""/>
    <s v=""/>
    <s v=""/>
    <s v=""/>
    <s v=""/>
    <s v=""/>
    <s v=""/>
    <s v=""/>
    <s v=""/>
    <s v=""/>
    <s v="Labor"/>
    <s v=""/>
    <s v=""/>
    <s v=""/>
    <s v="AC-001001AC"/>
    <s v="SHORTES 40 UNIT 4LS - ESP2RP"/>
    <s v="AC-AC"/>
    <s v="1046"/>
    <s v=""/>
    <s v=""/>
    <s v=""/>
    <s v=""/>
    <s v=""/>
    <s v=""/>
    <s v=""/>
    <n v="7.5"/>
    <s v="HR"/>
    <n v="120"/>
    <s v=""/>
    <n v="900"/>
    <s v="--multiple--"/>
    <s v="712296"/>
    <d v="2025-10-07T13:52:08"/>
    <s v=""/>
    <s v=""/>
    <s v=""/>
    <s v=""/>
  </r>
  <r>
    <s v="11178"/>
    <s v="Viper Energy Services &amp; Transport, LLC"/>
    <x v="1"/>
    <s v="Missael Silva"/>
    <s v="Joshua Bales"/>
    <s v="Maintenance Roustabout - Power washed flares and continued stainless tubing. Checked for leaks."/>
    <s v="5051049"/>
    <s v="Upstream"/>
    <s v="166666"/>
    <s v="USD"/>
    <n v="870"/>
    <s v="Direct Entry"/>
    <s v="1"/>
    <s v="R17"/>
    <s v="Roustabout"/>
    <s v="Roustabout"/>
    <d v="2025-10-08T07:32:41"/>
    <d v="2025-10-07T06:15:00"/>
    <d v="2025-10-07T11:00:00"/>
    <s v=""/>
    <s v="ADAMS NS 43-6 01 BATTERY"/>
    <s v=""/>
    <s v=""/>
    <s v=""/>
    <s v=""/>
    <s v=""/>
    <s v=""/>
    <s v=""/>
    <s v=""/>
    <s v=""/>
    <s v=""/>
    <s v=""/>
    <s v=""/>
    <s v=""/>
    <s v=""/>
    <s v=""/>
    <s v=""/>
    <s v=""/>
    <s v=""/>
    <s v=""/>
    <s v=""/>
    <s v=""/>
    <s v=""/>
    <s v="Labor"/>
    <s v=""/>
    <s v=""/>
    <s v=""/>
    <s v="8000036800"/>
    <s v="ADAMS NS 43-6 01 BATTERY"/>
    <s v="Upstream"/>
    <s v="1046"/>
    <s v=""/>
    <s v=""/>
    <s v=""/>
    <s v=""/>
    <s v=""/>
    <s v=""/>
    <s v=""/>
    <n v="4.75"/>
    <s v="HR"/>
    <n v="120"/>
    <s v=""/>
    <n v="570"/>
    <s v="--multiple--"/>
    <s v="712296"/>
    <d v="2025-10-08T13:19:52"/>
    <s v=""/>
    <s v=""/>
    <s v=""/>
    <s v=""/>
  </r>
  <r>
    <s v="11179"/>
    <s v="Viper Energy Services &amp; Transport, LLC"/>
    <x v="1"/>
    <s v="Missael Silva"/>
    <s v="Joshua Bales"/>
    <s v="Maintenance Roustabout - Changed 2&quot; level controller, changed out 2&quot; line and 3-2 reducer."/>
    <s v="5051049"/>
    <s v="Upstream"/>
    <s v="167597"/>
    <s v="USD"/>
    <n v="300"/>
    <s v="Direct Entry"/>
    <s v="1"/>
    <s v="R17"/>
    <s v="Roustabout"/>
    <s v="Roustabout"/>
    <d v="2025-10-08T07:27:10"/>
    <d v="2025-10-07T11:00:00"/>
    <d v="2025-10-07T13:30:00"/>
    <s v=""/>
    <s v="BLACK PEARL 11-14 UNIT 1 132"/>
    <s v=""/>
    <s v=""/>
    <s v=""/>
    <s v=""/>
    <s v=""/>
    <s v=""/>
    <s v=""/>
    <s v=""/>
    <s v=""/>
    <s v=""/>
    <s v=""/>
    <s v=""/>
    <s v=""/>
    <s v=""/>
    <s v=""/>
    <s v=""/>
    <s v=""/>
    <s v=""/>
    <s v=""/>
    <s v=""/>
    <s v=""/>
    <s v=""/>
    <s v="Labor"/>
    <s v=""/>
    <s v=""/>
    <s v=""/>
    <s v="1001418000"/>
    <s v="BLACK PEARL 11-14 UNIT 1 132"/>
    <s v="Upstream"/>
    <s v="1046"/>
    <s v=""/>
    <s v=""/>
    <s v=""/>
    <s v=""/>
    <s v=""/>
    <s v=""/>
    <s v=""/>
    <n v="2.5"/>
    <s v="HR"/>
    <n v="120"/>
    <s v=""/>
    <n v="300"/>
    <s v="--multiple--"/>
    <s v="712296"/>
    <d v="2025-10-08T13:20:55"/>
    <s v=""/>
    <s v=""/>
    <s v=""/>
    <s v=""/>
  </r>
  <r>
    <s v="62172"/>
    <s v="JAT PARTNER LOGISTICS, LLC"/>
    <x v="3"/>
    <s v="Missael Silva"/>
    <s v="Joshua Bales"/>
    <s v="BELLY DUMP HAUL MATERIAL FROM WHITE ROCK CRUSHING TO LOCATION. WHITE ROCK CRUSHING INVOICE 20394"/>
    <s v="5051027"/>
    <s v="Upstream"/>
    <s v="167269"/>
    <s v="USD"/>
    <n v="1372.45"/>
    <s v="Dispatched Mobile - iOS"/>
    <s v="1"/>
    <s v="Belly Dump"/>
    <s v="Belly Dump"/>
    <s v=""/>
    <d v="2025-10-07T08:57:42"/>
    <d v="2025-10-07T11:30:00"/>
    <d v="2025-10-07T20:00:00"/>
    <d v="1899-12-30T08:32:00"/>
    <s v="ADAMS UNIT 1 WELL"/>
    <s v=""/>
    <s v=""/>
    <s v=""/>
    <s v=""/>
    <s v=""/>
    <s v=""/>
    <s v=""/>
    <s v=""/>
    <s v=""/>
    <s v=""/>
    <s v=""/>
    <s v=""/>
    <s v=""/>
    <s v=""/>
    <s v=""/>
    <s v=""/>
    <s v=""/>
    <s v=""/>
    <s v=""/>
    <s v=""/>
    <s v=""/>
    <s v=""/>
    <s v="Labor"/>
    <s v=""/>
    <s v="519667916"/>
    <s v=""/>
    <s v="1000535700"/>
    <s v="ADAMS UNIT 1"/>
    <s v="Upstream"/>
    <s v="1046"/>
    <s v=""/>
    <s v=""/>
    <s v=""/>
    <s v=""/>
    <s v=""/>
    <s v=""/>
    <s v=""/>
    <n v="8.5"/>
    <s v="HR"/>
    <n v="95"/>
    <s v=""/>
    <n v="807.5"/>
    <s v="--multiple--"/>
    <s v="711903"/>
    <d v="2025-10-13T11:54:59"/>
    <s v=""/>
    <s v=""/>
    <s v=""/>
    <s v=""/>
  </r>
  <r>
    <s v="62200"/>
    <s v="JAT PARTNER LOGISTICS, LLC"/>
    <x v="3"/>
    <s v="Missael Silva"/>
    <s v="Joshua Bales"/>
    <s v="BELLY DUMP HAUL MATERIAL FROM WHITE ROCK CRUSHING TO LOCATION. WHITE ROCK CRUSHING INVOICE 20413"/>
    <s v="5051027"/>
    <s v="Upstream"/>
    <s v="167269"/>
    <s v="USD"/>
    <n v="592.32000000000005"/>
    <s v="Direct Entry"/>
    <s v="1"/>
    <s v="Belly Dump"/>
    <s v="Belly Dump"/>
    <s v=""/>
    <d v="2025-10-07T20:01:06"/>
    <d v="2025-10-08T06:45:00"/>
    <d v="2025-10-08T11:00:00"/>
    <d v="1899-12-30T12:18:00"/>
    <s v="ADAMS UNIT 1 WELL"/>
    <s v=""/>
    <s v=""/>
    <s v=""/>
    <s v=""/>
    <s v=""/>
    <s v=""/>
    <s v=""/>
    <s v=""/>
    <s v=""/>
    <s v=""/>
    <s v=""/>
    <s v=""/>
    <s v=""/>
    <s v=""/>
    <s v=""/>
    <s v=""/>
    <s v=""/>
    <s v=""/>
    <s v=""/>
    <s v=""/>
    <s v=""/>
    <s v=""/>
    <s v="Labor"/>
    <s v=""/>
    <s v="519667916"/>
    <s v=""/>
    <s v="1000535700"/>
    <s v="ADAMS UNIT 1"/>
    <s v="Upstream"/>
    <s v="1046"/>
    <s v=""/>
    <s v=""/>
    <s v=""/>
    <s v=""/>
    <s v=""/>
    <s v=""/>
    <s v=""/>
    <n v="4.25"/>
    <s v="HR"/>
    <n v="95"/>
    <s v=""/>
    <n v="403.75"/>
    <s v="--multiple--"/>
    <s v="711903"/>
    <d v="2025-10-13T11:53:31"/>
    <s v=""/>
    <s v=""/>
    <s v=""/>
    <s v=""/>
  </r>
  <r>
    <s v="62204"/>
    <s v="JAT PARTNER LOGISTICS, LLC"/>
    <x v="3"/>
    <s v="Missael Silva"/>
    <s v="Joshua Bales"/>
    <s v="2 MAN CREW. ROLLER AND BLADE/ REPAIR ROAD LEADING TO WELL PAD"/>
    <s v="5051027"/>
    <s v="Upstream"/>
    <s v="167269"/>
    <s v="USD"/>
    <n v="2450"/>
    <s v="Dispatched Mobile - iOS"/>
    <s v="1"/>
    <s v="BLADE+OPERATOR"/>
    <s v="BLADE+OPERATOR"/>
    <s v=""/>
    <d v="2025-10-07T20:08:11"/>
    <d v="2025-10-08T07:45:00"/>
    <d v="2025-10-08T16:30:00"/>
    <d v="1899-12-30T08:33:00"/>
    <s v="ADAMS UNIT 1 WELL"/>
    <s v=""/>
    <s v=""/>
    <s v=""/>
    <s v=""/>
    <s v=""/>
    <s v=""/>
    <s v=""/>
    <s v=""/>
    <s v=""/>
    <s v=""/>
    <s v=""/>
    <s v=""/>
    <s v=""/>
    <s v=""/>
    <s v=""/>
    <s v=""/>
    <s v=""/>
    <s v=""/>
    <s v=""/>
    <s v=""/>
    <s v=""/>
    <s v=""/>
    <s v="Labor"/>
    <s v=""/>
    <s v="519667916"/>
    <s v=""/>
    <s v="1000535700"/>
    <s v="ADAMS UNIT 1"/>
    <s v="Upstream"/>
    <s v="1046"/>
    <s v=""/>
    <s v=""/>
    <s v=""/>
    <s v=""/>
    <s v=""/>
    <s v=""/>
    <s v=""/>
    <n v="8.75"/>
    <s v="HR"/>
    <n v="195"/>
    <s v=""/>
    <n v="1706.25"/>
    <s v="--multiple--"/>
    <s v="711903"/>
    <d v="2025-10-13T12:05:53"/>
    <s v=""/>
    <s v=""/>
    <s v=""/>
    <s v=""/>
  </r>
  <r>
    <s v="11189"/>
    <s v="Viper Energy Services &amp; Transport, LLC"/>
    <x v="3"/>
    <s v="Missael Silva"/>
    <s v="Joshua Bales"/>
    <s v="Maintenance Roustabout - Replaced auto drainer pump at scrubber air compressor and damaged parts in a tester at battery."/>
    <s v="5051049"/>
    <s v="Upstream"/>
    <s v="171249"/>
    <s v="USD"/>
    <n v="990"/>
    <s v="Direct Entry"/>
    <s v="1"/>
    <s v="R30"/>
    <s v="Roustabout - 2 Man Crew with truck"/>
    <s v=""/>
    <d v="2025-10-13T10:37:22"/>
    <d v="2025-10-10T06:00:00"/>
    <d v="2025-10-10T15:00:00"/>
    <s v=""/>
    <s v="COBRA NORTH H BATTERY"/>
    <s v=""/>
    <s v=""/>
    <s v=""/>
    <s v=""/>
    <s v=""/>
    <s v=""/>
    <s v=""/>
    <s v=""/>
    <s v=""/>
    <s v=""/>
    <s v=""/>
    <s v=""/>
    <s v=""/>
    <s v=""/>
    <s v=""/>
    <s v=""/>
    <s v=""/>
    <s v=""/>
    <s v=""/>
    <s v=""/>
    <s v=""/>
    <s v=""/>
    <s v="Labor"/>
    <s v=""/>
    <s v=""/>
    <s v=""/>
    <s v="8000027100"/>
    <s v="COBRA NORTH H BATTERY"/>
    <s v="Upstream"/>
    <s v="1046"/>
    <s v=""/>
    <s v=""/>
    <s v=""/>
    <s v=""/>
    <s v=""/>
    <s v=""/>
    <s v=""/>
    <n v="9"/>
    <s v="HR"/>
    <n v="110"/>
    <s v=""/>
    <n v="990"/>
    <s v="--multiple--"/>
    <s v="712296"/>
    <d v="2025-10-13T13:05:31"/>
    <s v=""/>
    <s v=""/>
    <s v=""/>
    <s v=""/>
  </r>
  <r>
    <s v="11190"/>
    <s v="Viper Energy Services &amp; Transport, LLC"/>
    <x v="7"/>
    <s v="Missael Silva"/>
    <s v="Joshua Bales"/>
    <s v="Maintenance Roustabout - Disconnected burner and supply lines out of heater."/>
    <s v="5051049"/>
    <s v="Upstream"/>
    <s v="170297"/>
    <s v="USD"/>
    <n v="357.5"/>
    <s v="Direct Entry"/>
    <s v="1"/>
    <s v="R30"/>
    <s v="Roustabout - 2 Man Crew with truck"/>
    <s v=""/>
    <d v="2025-10-13T10:43:16"/>
    <d v="2025-10-10T15:00:00"/>
    <d v="2025-10-10T18:15:00"/>
    <s v=""/>
    <s v="W H 48 BATTERY"/>
    <s v=""/>
    <s v=""/>
    <s v=""/>
    <s v=""/>
    <s v=""/>
    <s v=""/>
    <s v=""/>
    <s v=""/>
    <s v=""/>
    <s v=""/>
    <s v=""/>
    <s v=""/>
    <s v=""/>
    <s v=""/>
    <s v=""/>
    <s v=""/>
    <s v=""/>
    <s v=""/>
    <s v=""/>
    <s v=""/>
    <s v=""/>
    <s v=""/>
    <s v="Labor"/>
    <s v=""/>
    <s v=""/>
    <s v=""/>
    <s v="8000027200"/>
    <s v="W H 48 BATTERY"/>
    <s v="Upstream"/>
    <s v="1046"/>
    <s v=""/>
    <s v=""/>
    <s v=""/>
    <s v=""/>
    <s v=""/>
    <s v=""/>
    <s v=""/>
    <n v="3.25"/>
    <s v="HR"/>
    <n v="110"/>
    <s v=""/>
    <n v="357.5"/>
    <s v="--multiple--"/>
    <s v="712296"/>
    <d v="2025-10-13T13:06:21"/>
    <s v=""/>
    <s v=""/>
    <s v=""/>
    <s v=""/>
  </r>
  <r>
    <s v="11192"/>
    <s v="Viper Energy Services &amp; Transport, LLC"/>
    <x v="3"/>
    <s v="Missael Silva"/>
    <s v="Joshua Bales"/>
    <s v="Maintenance Roustabout - Installed auto drainer/ bleeder valve at scrubber air compressor."/>
    <s v="5051049"/>
    <s v="Upstream"/>
    <s v="171609"/>
    <s v="USD"/>
    <n v="120"/>
    <s v="Direct Entry"/>
    <s v="1"/>
    <s v="R17"/>
    <s v="Roustabout"/>
    <s v="Roustabout"/>
    <d v="2025-10-13T12:17:00"/>
    <d v="2025-10-11T08:30:00"/>
    <d v="2025-10-11T09:30:00"/>
    <s v=""/>
    <s v="BLACK PEARL ABCD 11-14 BATTERY"/>
    <s v=""/>
    <s v=""/>
    <s v=""/>
    <s v=""/>
    <s v=""/>
    <s v=""/>
    <s v=""/>
    <s v=""/>
    <s v=""/>
    <s v=""/>
    <s v=""/>
    <s v=""/>
    <s v=""/>
    <s v=""/>
    <s v=""/>
    <s v=""/>
    <s v=""/>
    <s v=""/>
    <s v=""/>
    <s v=""/>
    <s v=""/>
    <s v=""/>
    <s v="Labor"/>
    <s v=""/>
    <s v=""/>
    <s v=""/>
    <s v="8300174900"/>
    <s v="BLACK PEARL ABCD 11-14 BATTERY"/>
    <s v="Upstream"/>
    <s v="1046"/>
    <s v=""/>
    <s v=""/>
    <s v=""/>
    <s v=""/>
    <s v=""/>
    <s v=""/>
    <s v=""/>
    <n v="1"/>
    <s v="HR"/>
    <n v="120"/>
    <s v=""/>
    <n v="120"/>
    <s v="--multiple--"/>
    <s v="712296"/>
    <d v="2025-10-13T13:07:38"/>
    <s v=""/>
    <s v=""/>
    <s v=""/>
    <s v=""/>
  </r>
  <r>
    <s v="11194"/>
    <s v="Viper Energy Services &amp; Transport, LLC"/>
    <x v="3"/>
    <s v="Missael Silva"/>
    <s v="Joshua Bales"/>
    <s v="Maintenance Roustabout - Installed auto drainer/bleeder valve at scrubber air compressor."/>
    <s v="5051049"/>
    <s v="Upstream"/>
    <s v="171612"/>
    <s v="USD"/>
    <n v="120"/>
    <s v="Direct Entry"/>
    <s v="1"/>
    <s v="R17"/>
    <s v="Roustabout"/>
    <s v="Roustabout"/>
    <d v="2025-10-13T12:10:04"/>
    <d v="2025-10-11T10:30:00"/>
    <d v="2025-10-11T11:30:00"/>
    <s v=""/>
    <s v="COBRA SOUTH H BATTERY"/>
    <s v=""/>
    <s v=""/>
    <s v=""/>
    <s v=""/>
    <s v=""/>
    <s v=""/>
    <s v=""/>
    <s v=""/>
    <s v=""/>
    <s v=""/>
    <s v=""/>
    <s v=""/>
    <s v=""/>
    <s v=""/>
    <s v=""/>
    <s v=""/>
    <s v=""/>
    <s v=""/>
    <s v=""/>
    <s v=""/>
    <s v=""/>
    <s v=""/>
    <s v="Labor"/>
    <s v=""/>
    <s v=""/>
    <s v=""/>
    <s v="8000025100"/>
    <s v="COBRA SOUTH H BATTERY"/>
    <s v="Upstream"/>
    <s v="1046"/>
    <s v=""/>
    <s v=""/>
    <s v=""/>
    <s v=""/>
    <s v=""/>
    <s v=""/>
    <s v=""/>
    <n v="1"/>
    <s v="HR"/>
    <n v="120"/>
    <s v=""/>
    <n v="120"/>
    <s v="--multiple--"/>
    <s v="712296"/>
    <d v="2025-10-13T13:09:04"/>
    <s v=""/>
    <s v=""/>
    <s v=""/>
    <s v=""/>
  </r>
  <r>
    <s v="11195"/>
    <s v="Viper Energy Services &amp; Transport, LLC"/>
    <x v="3"/>
    <s v="Missael Silva"/>
    <s v="Joshua Bales"/>
    <s v="Maintenance Roustabout - Installed auto drainer/bleeder valve at scrubber air compressor."/>
    <s v="5051049"/>
    <s v="Upstream"/>
    <s v="171613"/>
    <s v="USD"/>
    <n v="240"/>
    <s v="Direct Entry"/>
    <s v="1"/>
    <s v="R17"/>
    <s v="Roustabout"/>
    <s v="Roustabout"/>
    <d v="2025-10-13T12:05:05"/>
    <d v="2025-10-11T11:30:00"/>
    <d v="2025-10-11T13:30:00"/>
    <s v=""/>
    <s v="ADAMS NS 43-6 01 BATTERY"/>
    <s v=""/>
    <s v=""/>
    <s v=""/>
    <s v=""/>
    <s v=""/>
    <s v=""/>
    <s v=""/>
    <s v=""/>
    <s v=""/>
    <s v=""/>
    <s v=""/>
    <s v=""/>
    <s v=""/>
    <s v=""/>
    <s v=""/>
    <s v=""/>
    <s v=""/>
    <s v=""/>
    <s v=""/>
    <s v=""/>
    <s v=""/>
    <s v=""/>
    <s v="Labor"/>
    <s v=""/>
    <s v=""/>
    <s v=""/>
    <s v="8000036800"/>
    <s v="ADAMS NS 43-6 01 BATTERY"/>
    <s v="Upstream"/>
    <s v="1046"/>
    <s v=""/>
    <s v=""/>
    <s v=""/>
    <s v=""/>
    <s v=""/>
    <s v=""/>
    <s v=""/>
    <n v="2"/>
    <s v="HR"/>
    <n v="120"/>
    <s v=""/>
    <n v="240"/>
    <s v="--multiple--"/>
    <s v="712296"/>
    <d v="2025-10-13T13:09:42"/>
    <s v=""/>
    <s v=""/>
    <s v=""/>
    <s v=""/>
  </r>
  <r>
    <s v="INS-6352"/>
    <s v="Legacy Artificial Lift Solutions LLC"/>
    <x v="3"/>
    <s v="Paden Black"/>
    <s v="Joshua Bales"/>
    <s v="Pumping Unit Inspection"/>
    <s v="5051035"/>
    <s v="Upstream"/>
    <s v="165063"/>
    <s v="USD"/>
    <n v="165"/>
    <s v="Direct Entry"/>
    <s v="1"/>
    <s v="BT-Insp-M"/>
    <s v="Pumping Unit Inspection: MIDLAND BASIN (and surrounding areas)"/>
    <s v=""/>
    <d v="2025-10-13T06:23:15"/>
    <d v="2025-10-07T07:00:00"/>
    <d v="2025-10-07T08:00:00"/>
    <s v=""/>
    <s v="Arso 13 Unit 1LS"/>
    <s v=""/>
    <s v=""/>
    <s v=""/>
    <s v=""/>
    <s v=""/>
    <s v=""/>
    <s v=""/>
    <s v=""/>
    <s v=""/>
    <s v=""/>
    <s v=""/>
    <s v=""/>
    <s v=""/>
    <s v=""/>
    <s v=""/>
    <s v=""/>
    <s v=""/>
    <s v=""/>
    <s v=""/>
    <s v=""/>
    <s v=""/>
    <s v=""/>
    <s v="Labor"/>
    <s v=""/>
    <s v=""/>
    <s v=""/>
    <s v="1000480200"/>
    <s v="ASRO 13 UNIT 1LS"/>
    <s v="Upstream"/>
    <s v="1046"/>
    <s v=""/>
    <s v=""/>
    <s v=""/>
    <s v=""/>
    <s v=""/>
    <s v=""/>
    <s v=""/>
    <n v="1"/>
    <s v="EA"/>
    <n v="165"/>
    <s v=""/>
    <n v="165"/>
    <s v="--multiple--"/>
    <s v="702786"/>
    <d v="2025-10-13T06:25:03"/>
    <s v=""/>
    <s v=""/>
    <s v=""/>
    <s v=""/>
  </r>
  <r>
    <s v="I|NS-6353"/>
    <s v="Legacy Artificial Lift Solutions LLC"/>
    <x v="3"/>
    <s v="Paden Black"/>
    <s v="Joshua Bales"/>
    <s v="Pumping Unit Inspection"/>
    <s v="5051035"/>
    <s v="Upstream"/>
    <s v="165124"/>
    <s v="USD"/>
    <n v="165"/>
    <s v="Direct Entry"/>
    <s v="1"/>
    <s v="BT-Insp-M"/>
    <s v="Pumping Unit Inspection: MIDLAND BASIN (and surrounding areas)"/>
    <s v=""/>
    <d v="2025-10-13T06:25:51"/>
    <d v="2025-10-07T08:00:00"/>
    <d v="2025-10-07T09:00:00"/>
    <s v=""/>
    <s v="Arso Jr Unit 4LS"/>
    <s v=""/>
    <s v=""/>
    <s v=""/>
    <s v=""/>
    <s v=""/>
    <s v=""/>
    <s v=""/>
    <s v=""/>
    <s v=""/>
    <s v=""/>
    <s v=""/>
    <s v=""/>
    <s v=""/>
    <s v=""/>
    <s v=""/>
    <s v=""/>
    <s v=""/>
    <s v=""/>
    <s v=""/>
    <s v=""/>
    <s v=""/>
    <s v=""/>
    <s v="Labor"/>
    <s v=""/>
    <s v=""/>
    <s v=""/>
    <s v="1000475000"/>
    <s v="ASRO JR. UNIT 4LS"/>
    <s v="Upstream"/>
    <s v="1046"/>
    <s v=""/>
    <s v=""/>
    <s v=""/>
    <s v=""/>
    <s v=""/>
    <s v=""/>
    <s v=""/>
    <n v="1"/>
    <s v="EA"/>
    <n v="165"/>
    <s v=""/>
    <n v="165"/>
    <s v="--multiple--"/>
    <s v="702786"/>
    <d v="2025-10-13T06:26:52"/>
    <s v=""/>
    <s v=""/>
    <s v=""/>
    <s v=""/>
  </r>
  <r>
    <s v="8-65346"/>
    <s v="RK Supply"/>
    <x v="2"/>
    <s v="Kyle Jackson"/>
    <s v="Steven Kincheloe"/>
    <s v="Oilfield Parts and Supplies"/>
    <s v="5051017"/>
    <s v="Upstream"/>
    <s v=""/>
    <s v="USD"/>
    <n v="45.38"/>
    <s v="B2B"/>
    <s v="1"/>
    <s v="20572"/>
    <s v="1/2X1-1/2 SS NIPPLE"/>
    <s v="FITTING"/>
    <d v="2025-10-12T17:13:32"/>
    <d v="2025-09-25T12:00:00"/>
    <d v="2025-09-25T12:00:00"/>
    <s v=""/>
    <s v="SKELETOR G 3002HA**028**"/>
    <s v=""/>
    <s v=""/>
    <s v=""/>
    <s v=""/>
    <s v=""/>
    <s v=""/>
    <s v=""/>
    <s v=""/>
    <s v=""/>
    <s v=""/>
    <s v=""/>
    <s v=""/>
    <s v=""/>
    <s v=""/>
    <s v=""/>
    <s v=""/>
    <s v=""/>
    <s v=""/>
    <s v=""/>
    <s v=""/>
    <s v=""/>
    <s v=""/>
    <s v="Material"/>
    <s v=""/>
    <s v=""/>
    <s v=""/>
    <s v="1001717100"/>
    <s v="SKELETOR G 3002HA"/>
    <s v="Upstream"/>
    <s v="1046"/>
    <s v=""/>
    <s v=""/>
    <s v=""/>
    <s v=""/>
    <s v=""/>
    <s v=""/>
    <s v=""/>
    <n v="2"/>
    <s v="EA"/>
    <n v="6.76"/>
    <s v=""/>
    <n v="13.52"/>
    <s v="--multiple--"/>
    <s v="709232"/>
    <d v="2025-10-12T21:53:43"/>
    <s v=""/>
    <s v=""/>
    <s v=""/>
    <s v=""/>
  </r>
  <r>
    <s v="217667"/>
    <s v="S&amp;R Compression LLC"/>
    <x v="3"/>
    <s v="Robert Tarin"/>
    <s v="Joshua Bales"/>
    <s v="VAPOR RECOVERY UNIT 22221"/>
    <s v="5051064"/>
    <s v="Upstream"/>
    <s v=""/>
    <s v="USD"/>
    <n v="6714"/>
    <s v="Direct Entry"/>
    <s v="1"/>
    <s v="VAPOR RECOVERY"/>
    <s v="VAPOR RECOVERY"/>
    <s v=""/>
    <d v="2025-09-23T09:14:20"/>
    <d v="2025-09-01T00:00:00"/>
    <d v="2025-09-30T00:00:00"/>
    <s v=""/>
    <s v=""/>
    <s v=""/>
    <s v=""/>
    <s v=""/>
    <s v=""/>
    <s v=""/>
    <s v=""/>
    <s v=""/>
    <s v=""/>
    <s v=""/>
    <s v=""/>
    <s v=""/>
    <s v=""/>
    <s v=""/>
    <s v=""/>
    <s v=""/>
    <s v=""/>
    <s v=""/>
    <s v=""/>
    <s v=""/>
    <s v=""/>
    <s v=""/>
    <s v=""/>
    <s v="Equipment"/>
    <s v=""/>
    <s v=""/>
    <s v=""/>
    <s v="8000324100"/>
    <s v="BLAGRAVE BATTERY"/>
    <s v="Upstream"/>
    <s v="1046"/>
    <s v=""/>
    <s v=""/>
    <s v=""/>
    <s v=""/>
    <s v=""/>
    <s v=""/>
    <s v=""/>
    <n v="1"/>
    <s v="EA"/>
    <n v="6350"/>
    <s v=""/>
    <n v="6350"/>
    <s v="--multiple--"/>
    <s v="709323"/>
    <d v="2025-09-29T15:48:29"/>
    <s v=""/>
    <s v=""/>
    <s v=""/>
    <s v=""/>
  </r>
  <r>
    <s v="217666"/>
    <s v="S&amp;R Compression LLC"/>
    <x v="3"/>
    <s v="Robert Tarin"/>
    <s v="Joshua Bales"/>
    <s v="VAPOR RECOVERY UNIT 22004"/>
    <s v="5051064"/>
    <s v="Upstream"/>
    <s v=""/>
    <s v="USD"/>
    <n v="6714"/>
    <s v="Direct Entry"/>
    <s v="1"/>
    <s v="VAPOR RECOVERY"/>
    <s v="VAPOR RECOVERY"/>
    <s v=""/>
    <d v="2025-09-23T09:16:23"/>
    <d v="2025-09-01T00:00:00"/>
    <d v="2025-09-30T00:00:00"/>
    <s v=""/>
    <s v=""/>
    <s v=""/>
    <s v=""/>
    <s v=""/>
    <s v=""/>
    <s v=""/>
    <s v=""/>
    <s v=""/>
    <s v=""/>
    <s v=""/>
    <s v=""/>
    <s v=""/>
    <s v=""/>
    <s v=""/>
    <s v=""/>
    <s v=""/>
    <s v=""/>
    <s v=""/>
    <s v=""/>
    <s v=""/>
    <s v=""/>
    <s v=""/>
    <s v=""/>
    <s v="Equipment"/>
    <s v=""/>
    <s v=""/>
    <s v=""/>
    <s v="8000324100"/>
    <s v="BLAGRAVE BATTERY"/>
    <s v="Upstream"/>
    <s v="1046"/>
    <s v=""/>
    <s v=""/>
    <s v=""/>
    <s v=""/>
    <s v=""/>
    <s v=""/>
    <s v=""/>
    <n v="1"/>
    <s v="EA"/>
    <n v="6350"/>
    <s v=""/>
    <n v="6350"/>
    <s v="--multiple--"/>
    <s v="709323"/>
    <d v="2025-09-29T15:48:29"/>
    <s v=""/>
    <s v=""/>
    <s v=""/>
    <s v=""/>
  </r>
  <r>
    <s v="65035"/>
    <s v="Valdez Oil Services, L.L.C."/>
    <x v="10"/>
    <s v="Kenneth Hodges"/>
    <s v="Marco Rodriguez"/>
    <s v="Hauled 120 bbl. of PW from ROGERS 35 to OWENS SWD."/>
    <s v="5051054"/>
    <s v="Upstream"/>
    <s v=""/>
    <s v="USD"/>
    <n v="310"/>
    <s v="Direct Entry"/>
    <s v="1"/>
    <s v="Vacuum Truck"/>
    <s v="Vacuum Truck"/>
    <s v=""/>
    <d v="2025-10-08T14:17:45"/>
    <d v="2025-10-06T19:30:00"/>
    <d v="2025-10-06T22:00:00"/>
    <d v="1899-12-30T02:30:00"/>
    <s v="ROGERS 35"/>
    <s v=""/>
    <s v=""/>
    <s v="PRODUCED WATER"/>
    <s v=""/>
    <s v=""/>
    <s v=""/>
    <s v=""/>
    <n v="8"/>
    <s v=""/>
    <n v="6"/>
    <n v="3"/>
    <s v=""/>
    <s v=""/>
    <s v=""/>
    <s v=""/>
    <s v=""/>
    <s v=""/>
    <s v=""/>
    <s v=""/>
    <s v=""/>
    <n v="120"/>
    <s v="bbl"/>
    <s v=""/>
    <s v=""/>
    <s v=""/>
    <s v=""/>
    <s v="8000323400"/>
    <s v="ROGERS 35 BATTERY"/>
    <s v="Upstream"/>
    <s v="1046"/>
    <s v=""/>
    <s v=""/>
    <s v=""/>
    <s v=""/>
    <s v=""/>
    <s v=""/>
    <s v="Hours Worked"/>
    <n v="2.5"/>
    <s v="hour"/>
    <n v="88"/>
    <s v=""/>
    <n v="220"/>
    <s v="--multiple--"/>
    <s v="712959"/>
    <d v="2025-10-08T14:20:26"/>
    <s v=""/>
    <s v=""/>
    <s v=""/>
    <s v=""/>
  </r>
  <r>
    <s v="210739"/>
    <s v="Basin Trucking LLC"/>
    <x v="12"/>
    <s v="Delfino Martinez"/>
    <s v="Justin Rodriguez"/>
    <s v="Drove to Jet load parts and drove to location we replace 3 nipples 2x6 for water line on open to check for leaks."/>
    <s v="5051049"/>
    <s v="Upstream"/>
    <s v="166628"/>
    <s v="USD"/>
    <n v="552.5"/>
    <s v="Direct Entry"/>
    <s v="1"/>
    <s v="3 Man Crew"/>
    <s v="3 Man Crew"/>
    <s v="Roustabout Crew"/>
    <d v="2025-10-04T10:07:42"/>
    <d v="2025-09-25T12:45:00"/>
    <d v="2025-09-25T17:00:00"/>
    <s v=""/>
    <s v="HANCE A BATTERY"/>
    <s v=""/>
    <s v=""/>
    <s v=""/>
    <s v=""/>
    <s v=""/>
    <s v=""/>
    <s v=""/>
    <s v=""/>
    <s v=""/>
    <s v=""/>
    <s v=""/>
    <s v=""/>
    <s v=""/>
    <s v=""/>
    <s v=""/>
    <s v=""/>
    <s v=""/>
    <s v=""/>
    <s v=""/>
    <s v=""/>
    <s v=""/>
    <s v=""/>
    <s v="Labor"/>
    <s v=""/>
    <s v=""/>
    <s v=""/>
    <s v="8300107000"/>
    <s v="HENCE A BATTERY"/>
    <s v="Upstream"/>
    <s v="1046"/>
    <s v=""/>
    <s v=""/>
    <s v=""/>
    <s v=""/>
    <s v=""/>
    <s v=""/>
    <s v=""/>
    <n v="4.25"/>
    <s v="HR"/>
    <n v="130"/>
    <s v=""/>
    <n v="552.5"/>
    <s v="--multiple--"/>
    <s v="703517"/>
    <d v="2025-10-04T10:08:51"/>
    <s v=""/>
    <s v=""/>
    <s v=""/>
    <s v=""/>
  </r>
  <r>
    <s v="210740"/>
    <s v="Basin Trucking LLC"/>
    <x v="12"/>
    <s v="Delfino Martinez"/>
    <s v="Justin Rodriguez"/>
    <s v="Drove to location we replace check valves water line."/>
    <s v="5051049"/>
    <s v="Upstream"/>
    <s v="166633"/>
    <s v="USD"/>
    <n v="227.5"/>
    <s v="Direct Entry"/>
    <s v="1"/>
    <s v="3 Man Crew"/>
    <s v="3 Man Crew"/>
    <s v="Roustabout Crew"/>
    <d v="2025-10-04T10:04:17"/>
    <d v="2025-09-25T17:00:00"/>
    <d v="2025-09-25T18:45:00"/>
    <s v=""/>
    <s v="RIO LLANO 11 10"/>
    <s v=""/>
    <s v=""/>
    <s v=""/>
    <s v=""/>
    <s v=""/>
    <s v=""/>
    <s v=""/>
    <s v=""/>
    <s v=""/>
    <s v=""/>
    <s v=""/>
    <s v=""/>
    <s v=""/>
    <s v=""/>
    <s v=""/>
    <s v=""/>
    <s v=""/>
    <s v=""/>
    <s v=""/>
    <s v=""/>
    <s v=""/>
    <s v=""/>
    <s v="Labor"/>
    <s v=""/>
    <s v=""/>
    <s v=""/>
    <s v="8300146800"/>
    <s v="RIO PECOS 27-18SL BATTERY"/>
    <s v="Upstream"/>
    <s v="1046"/>
    <s v=""/>
    <s v=""/>
    <s v=""/>
    <s v=""/>
    <s v=""/>
    <s v=""/>
    <s v=""/>
    <n v="1.75"/>
    <s v="HR"/>
    <n v="130"/>
    <s v=""/>
    <n v="227.5"/>
    <s v="--multiple--"/>
    <s v="703517"/>
    <d v="2025-10-04T10:06:07"/>
    <s v=""/>
    <s v=""/>
    <s v=""/>
    <s v=""/>
  </r>
  <r>
    <s v="336343"/>
    <s v="Lufkin US Acquisition Company LLC"/>
    <x v="3"/>
    <s v="Jesus Rodriguez"/>
    <s v="Justin Rodriguez"/>
    <s v="DROVE TO LOCATION, DID JSA, L.O.T.O., BEGAN WORKING ON REPLACING THE ROD ROTATOR CABLE AND THE BRACKET, ONCE THAT WAS COMPLETED, WE NOTIFIED THE COMPANY MAN THAT THE WORK WAS COMPLETED."/>
    <s v="5051035"/>
    <s v="Upstream"/>
    <s v=""/>
    <s v="USD"/>
    <n v="1058"/>
    <s v="Direct Entry"/>
    <s v="1"/>
    <s v="415PER"/>
    <s v="Utility Truck w/Operator"/>
    <s v=""/>
    <d v="2025-09-24T09:05:30"/>
    <d v="2025-08-20T13:30:00"/>
    <d v="2025-08-20T17:00:00"/>
    <s v=""/>
    <s v=""/>
    <s v=""/>
    <s v=""/>
    <s v=""/>
    <s v=""/>
    <s v=""/>
    <s v=""/>
    <s v=""/>
    <s v=""/>
    <s v=""/>
    <s v=""/>
    <s v=""/>
    <s v=""/>
    <s v=""/>
    <s v=""/>
    <s v=""/>
    <s v=""/>
    <s v=""/>
    <s v=""/>
    <s v=""/>
    <s v=""/>
    <s v=""/>
    <s v=""/>
    <s v="Equipment"/>
    <s v=""/>
    <s v=""/>
    <s v=""/>
    <s v="1001447000"/>
    <s v="RIO LAVACA 28-48 A 112"/>
    <s v="Upstream"/>
    <s v="1046"/>
    <s v=""/>
    <s v=""/>
    <s v=""/>
    <s v=""/>
    <s v=""/>
    <s v=""/>
    <s v=""/>
    <n v="3.5"/>
    <s v="HR"/>
    <n v="120"/>
    <s v=""/>
    <n v="420"/>
    <s v="--multiple--"/>
    <s v="706723"/>
    <d v="2025-10-01T15:13:15"/>
    <s v=""/>
    <s v=""/>
    <s v=""/>
    <s v=""/>
  </r>
  <r>
    <s v="MD2608945"/>
    <s v="Jet Specialty Inc"/>
    <x v="5"/>
    <s v="Jesus Rodriguez"/>
    <s v="Justin Rodriguez"/>
    <s v="LEASE: RIO BRAZOS 26-15 UNIT 2 164 WELL; BUYER: JUSTIN RODRIGUEZ/ GIOVANI MADRID; PO: CC: 1001492400"/>
    <s v="5051049"/>
    <s v="Upstream"/>
    <s v=""/>
    <s v="USD"/>
    <n v="4158.2299999999996"/>
    <s v="API"/>
    <s v="1"/>
    <s v="71245"/>
    <s v="2&quot; X 4&quot; SCH 80 C/S SEAMLESS NIPPLE"/>
    <s v="Fitting"/>
    <d v="2025-10-01T14:57:39"/>
    <d v="2025-08-30T00:00:00"/>
    <d v="2025-08-30T00:00:00"/>
    <s v=""/>
    <s v=""/>
    <s v=""/>
    <s v=""/>
    <s v=""/>
    <s v=""/>
    <s v=""/>
    <s v=""/>
    <s v=""/>
    <s v=""/>
    <s v=""/>
    <s v=""/>
    <s v=""/>
    <s v=""/>
    <s v=""/>
    <s v=""/>
    <s v=""/>
    <s v=""/>
    <s v=""/>
    <s v=""/>
    <s v=""/>
    <s v=""/>
    <s v=""/>
    <s v=""/>
    <s v="Material"/>
    <s v=""/>
    <s v=""/>
    <s v=""/>
    <s v="1001492400"/>
    <s v="RIO BRAZOS 26-15 UNIT 2 164"/>
    <s v="Upstream"/>
    <s v="1046"/>
    <s v=""/>
    <s v=""/>
    <s v=""/>
    <s v=""/>
    <s v=""/>
    <s v=""/>
    <s v=""/>
    <n v="7"/>
    <s v="each"/>
    <n v="6.43"/>
    <s v=""/>
    <n v="45.01"/>
    <s v="--multiple--"/>
    <s v="708023"/>
    <d v="2025-10-01T14:58:09"/>
    <s v=""/>
    <s v=""/>
    <s v=""/>
    <s v=""/>
  </r>
  <r>
    <s v="6-179078"/>
    <s v="RK Supply"/>
    <x v="2"/>
    <s v="Jesus Rodriguez"/>
    <s v="Justin Rodriguez"/>
    <s v="Oilfield Parts and Supplies"/>
    <s v="5051049"/>
    <s v="Upstream"/>
    <s v=""/>
    <s v="USD"/>
    <n v="1526.25"/>
    <s v="B2B"/>
    <s v="1"/>
    <s v="63853"/>
    <s v="2 IN CV10 SERIES DUMP VALVE ANGLE BODY THRD ENDS RECERSE ACT #35 6-30 CS SPRING W/VITON SEALS 1.25 QUICK OPEN SS TRIM"/>
    <s v=""/>
    <d v="2025-10-04T19:26:19"/>
    <d v="2025-09-24T12:00:00"/>
    <d v="2025-09-24T12:00:00"/>
    <s v=""/>
    <s v="RIO PECOS 27-18SL UNIT 2 272**028**"/>
    <s v=""/>
    <s v=""/>
    <s v=""/>
    <s v=""/>
    <s v=""/>
    <s v=""/>
    <s v=""/>
    <s v=""/>
    <s v=""/>
    <s v=""/>
    <s v=""/>
    <s v=""/>
    <s v=""/>
    <s v=""/>
    <s v=""/>
    <s v=""/>
    <s v=""/>
    <s v=""/>
    <s v=""/>
    <s v=""/>
    <s v=""/>
    <s v=""/>
    <s v="Material"/>
    <s v=""/>
    <s v=""/>
    <s v=""/>
    <s v="1001430200"/>
    <s v="RIO PECOS 27-18SL UNIT 2 272"/>
    <s v="Upstream"/>
    <s v="1046"/>
    <s v=""/>
    <s v=""/>
    <s v=""/>
    <s v=""/>
    <s v=""/>
    <s v=""/>
    <s v=""/>
    <n v="1"/>
    <s v="EA"/>
    <n v="1526.25"/>
    <s v=""/>
    <n v="1526.25"/>
    <s v="--multiple--"/>
    <s v="709232"/>
    <d v="2025-10-09T09:50:42"/>
    <s v=""/>
    <s v=""/>
    <s v=""/>
    <s v=""/>
  </r>
  <r>
    <s v="6-179077"/>
    <s v="RK Supply"/>
    <x v="2"/>
    <s v="Jesus Rodriguez"/>
    <s v="Justin Rodriguez"/>
    <s v="Oilfield Parts and Supplies"/>
    <s v="5051049"/>
    <s v="Upstream"/>
    <s v=""/>
    <s v="USD"/>
    <n v="1526.25"/>
    <s v="B2B"/>
    <s v="1"/>
    <s v="63853"/>
    <s v="2 IN CV10 SERIES DUMP VALVE ANGLE BODY THRD ENDS RECERSE ACT #35 6-30 CS SPRING W/VITON SEALS 1.25 QUICK OPEN SS TRIM"/>
    <s v=""/>
    <d v="2025-10-04T19:26:20"/>
    <d v="2025-09-24T12:00:00"/>
    <d v="2025-09-24T12:00:00"/>
    <s v=""/>
    <s v="RIO PECOS 27-18 SL UNIT 2 262"/>
    <s v=""/>
    <s v=""/>
    <s v=""/>
    <s v=""/>
    <s v=""/>
    <s v=""/>
    <s v=""/>
    <s v=""/>
    <s v=""/>
    <s v=""/>
    <s v=""/>
    <s v=""/>
    <s v=""/>
    <s v=""/>
    <s v=""/>
    <s v=""/>
    <s v=""/>
    <s v=""/>
    <s v=""/>
    <s v=""/>
    <s v=""/>
    <s v=""/>
    <s v="Material"/>
    <s v=""/>
    <s v=""/>
    <s v=""/>
    <s v="1001430100"/>
    <s v="RIO PECOS 27-18SL UNIT 2 262"/>
    <s v="Upstream"/>
    <s v="1046"/>
    <s v=""/>
    <s v=""/>
    <s v=""/>
    <s v=""/>
    <s v=""/>
    <s v=""/>
    <s v=""/>
    <n v="1"/>
    <s v="EA"/>
    <n v="1526.25"/>
    <s v=""/>
    <n v="1526.25"/>
    <s v="--multiple--"/>
    <s v="709232"/>
    <d v="2025-10-09T09:46:44"/>
    <s v=""/>
    <s v=""/>
    <s v=""/>
    <s v=""/>
  </r>
  <r>
    <s v="23756"/>
    <s v="Belloc Energy Services &amp; Transport,LLC"/>
    <x v="2"/>
    <s v="Jesus Rodriguez"/>
    <s v="Justin Rodriguez"/>
    <s v="TOOK PIPE OF 18 INCH AND CUT SOME PIPE AND PICKED UP TRASH"/>
    <s v="5051049"/>
    <s v="Upstream"/>
    <s v=""/>
    <s v="USD"/>
    <n v="1178"/>
    <s v="Direct Entry"/>
    <s v="1"/>
    <s v="Roustabout - 3-Man"/>
    <s v="Roustabout - 3-Man"/>
    <s v=""/>
    <d v="2025-10-06T07:52:53"/>
    <d v="2025-09-26T08:30:00"/>
    <d v="2025-09-26T15:45:00"/>
    <s v=""/>
    <s v="BRYANT RANCH ALLOCATION"/>
    <s v=""/>
    <s v=""/>
    <s v=""/>
    <s v=""/>
    <s v=""/>
    <s v=""/>
    <s v=""/>
    <s v=""/>
    <s v=""/>
    <s v=""/>
    <s v=""/>
    <s v=""/>
    <s v=""/>
    <s v=""/>
    <s v=""/>
    <s v=""/>
    <s v=""/>
    <s v=""/>
    <s v=""/>
    <s v=""/>
    <s v=""/>
    <s v=""/>
    <s v="Labor"/>
    <s v=""/>
    <s v=""/>
    <s v=""/>
    <s v="9100019800"/>
    <s v="FRM RTE-RODRIGUEZ JUSTIN"/>
    <s v="Upstream"/>
    <s v="1046"/>
    <s v=""/>
    <s v=""/>
    <s v=""/>
    <s v=""/>
    <s v=""/>
    <s v=""/>
    <s v=""/>
    <n v="7.25"/>
    <s v="HR"/>
    <n v="128"/>
    <s v=""/>
    <n v="928"/>
    <s v="Pricebook"/>
    <s v="712945"/>
    <d v="2025-10-07T10:11:14"/>
    <s v=""/>
    <s v=""/>
    <s v=""/>
    <s v=""/>
  </r>
  <r>
    <s v="65037"/>
    <s v="Valdez Oil Services, L.L.C."/>
    <x v="10"/>
    <s v="Kenneth Hodges"/>
    <s v="Marco Rodriguez"/>
    <s v="Hauled 120 bbl. of PW from ROGERS 35 to OWENS SWD."/>
    <s v="5051054"/>
    <s v="Upstream"/>
    <s v=""/>
    <s v="USD"/>
    <n v="310"/>
    <s v="Direct Entry"/>
    <s v="1"/>
    <s v="Vacuum Truck"/>
    <s v="Vacuum Truck"/>
    <s v=""/>
    <d v="2025-10-09T12:53:05"/>
    <d v="2025-10-07T06:00:00"/>
    <d v="2025-10-07T08:30:00"/>
    <d v="1899-12-30T02:30:00"/>
    <s v="ROGERS 35"/>
    <s v=""/>
    <s v=""/>
    <s v="PRODUCED WATER"/>
    <s v=""/>
    <s v=""/>
    <s v=""/>
    <s v=""/>
    <n v="9"/>
    <s v=""/>
    <n v="7"/>
    <n v="3"/>
    <s v=""/>
    <s v=""/>
    <s v=""/>
    <s v=""/>
    <s v=""/>
    <s v=""/>
    <s v=""/>
    <s v=""/>
    <s v=""/>
    <n v="120"/>
    <s v="bbl"/>
    <s v=""/>
    <s v=""/>
    <s v=""/>
    <s v=""/>
    <s v="8000323400"/>
    <s v="ROGERS 35 BATTERY"/>
    <s v="Upstream"/>
    <s v="1046"/>
    <s v=""/>
    <s v=""/>
    <s v=""/>
    <s v=""/>
    <s v=""/>
    <s v=""/>
    <s v="Hours Worked"/>
    <n v="2.5"/>
    <s v="hour"/>
    <n v="88"/>
    <s v=""/>
    <n v="220"/>
    <s v="--multiple--"/>
    <s v="712959"/>
    <d v="2025-10-09T12:55:25"/>
    <s v=""/>
    <s v=""/>
    <s v=""/>
    <s v=""/>
  </r>
  <r>
    <s v="ML19663"/>
    <s v="ML POWER LLC"/>
    <x v="8"/>
    <s v="Kyle Jackson"/>
    <s v="Steven Kincheloe"/>
    <s v="Drove to location. Shut off power to the tubing pt. Unterminated the tubing pt. Removed the tubing pt from the top of the lubricator. Assembled the fittings together. Mounted the assembled piece to the side of the lubricator. Terminated the pt and restarted power. Notified the tech and he called it good."/>
    <s v="5051044"/>
    <s v="Upstream"/>
    <s v=""/>
    <s v="USD"/>
    <n v="126.5"/>
    <s v="API"/>
    <s v="1"/>
    <s v="Electrician"/>
    <s v="Electrician"/>
    <s v=""/>
    <d v="2025-10-06T16:32:24"/>
    <d v="2025-09-25T14:30:00"/>
    <d v="2025-09-25T15:00:00"/>
    <s v=""/>
    <s v=""/>
    <s v=""/>
    <s v=""/>
    <s v=""/>
    <s v=""/>
    <s v=""/>
    <s v=""/>
    <s v=""/>
    <s v=""/>
    <s v=""/>
    <s v=""/>
    <s v=""/>
    <s v=""/>
    <s v=""/>
    <s v=""/>
    <s v=""/>
    <s v=""/>
    <s v=""/>
    <s v=""/>
    <s v=""/>
    <s v=""/>
    <s v=""/>
    <s v=""/>
    <s v="Labor"/>
    <s v=""/>
    <s v="595264"/>
    <s v=""/>
    <s v="1001520000"/>
    <s v="RICKER 36-27 241"/>
    <s v="Upstream"/>
    <s v="1046"/>
    <s v=""/>
    <s v=""/>
    <s v=""/>
    <s v=""/>
    <s v=""/>
    <s v=""/>
    <s v=""/>
    <n v="0.5"/>
    <s v="HR"/>
    <n v="66"/>
    <s v=""/>
    <n v="33"/>
    <s v="--multiple--"/>
    <s v="706076"/>
    <d v="2025-10-06T16:33:38"/>
    <s v=""/>
    <s v=""/>
    <s v=""/>
    <s v=""/>
  </r>
  <r>
    <s v="78537"/>
    <s v="Pumping Unit Technologies, LLC"/>
    <x v="9"/>
    <s v="Raymond Sanchez"/>
    <s v="Justin Rodriguez"/>
    <s v="Aligned Unit"/>
    <s v="5051035"/>
    <s v="Upstream"/>
    <s v="165747"/>
    <s v="USD"/>
    <n v="1417.5"/>
    <s v="Direct Entry"/>
    <s v="1"/>
    <s v=""/>
    <s v="Tandem/Crane with Operator and Pumping Unit Work"/>
    <s v=""/>
    <d v="2025-10-07T12:45:24"/>
    <d v="2025-09-24T07:30:00"/>
    <d v="2025-09-24T11:00:00"/>
    <s v=""/>
    <s v="Rio Guadalupe 22-23B 123"/>
    <s v=""/>
    <s v=""/>
    <s v=""/>
    <s v=""/>
    <s v=""/>
    <s v=""/>
    <s v=""/>
    <s v=""/>
    <s v=""/>
    <s v=""/>
    <s v=""/>
    <s v=""/>
    <s v=""/>
    <s v=""/>
    <s v=""/>
    <s v=""/>
    <s v=""/>
    <s v=""/>
    <s v=""/>
    <s v=""/>
    <s v=""/>
    <s v=""/>
    <s v="Labor"/>
    <s v=""/>
    <s v=""/>
    <s v=""/>
    <s v="1001472200"/>
    <s v="RIO GUADALUPE 22-23 B 123"/>
    <s v="Upstream"/>
    <s v="1046"/>
    <s v=""/>
    <s v=""/>
    <s v=""/>
    <s v=""/>
    <s v=""/>
    <s v=""/>
    <s v=""/>
    <n v="3.5"/>
    <s v="HR"/>
    <n v="305"/>
    <s v=""/>
    <n v="1067.5"/>
    <s v="--multiple--"/>
    <s v="712963"/>
    <d v="2025-10-07T12:47:05"/>
    <s v=""/>
    <s v=""/>
    <s v=""/>
    <s v=""/>
  </r>
  <r>
    <s v="78547"/>
    <s v="Pumping Unit Technologies, LLC"/>
    <x v="9"/>
    <s v="Raymond Sanchez"/>
    <s v="Justin Rodriguez"/>
    <s v="Aligned Unit"/>
    <s v="5051035"/>
    <s v="Upstream"/>
    <s v="165747"/>
    <s v="USD"/>
    <n v="2975"/>
    <s v="Direct Entry"/>
    <s v="1"/>
    <s v=""/>
    <s v="Tandem/Crane with Operator and Pumping Unit Work"/>
    <s v=""/>
    <d v="2025-10-07T12:54:56"/>
    <d v="2025-09-26T07:00:00"/>
    <d v="2025-09-26T14:00:00"/>
    <s v=""/>
    <s v="Rio Guadalupe 22-23B 123"/>
    <s v=""/>
    <s v=""/>
    <s v=""/>
    <s v=""/>
    <s v=""/>
    <s v=""/>
    <s v=""/>
    <s v=""/>
    <s v=""/>
    <s v=""/>
    <s v=""/>
    <s v=""/>
    <s v=""/>
    <s v=""/>
    <s v=""/>
    <s v=""/>
    <s v=""/>
    <s v=""/>
    <s v=""/>
    <s v=""/>
    <s v=""/>
    <s v=""/>
    <s v="Labor"/>
    <s v=""/>
    <s v=""/>
    <s v=""/>
    <s v="1001472200"/>
    <s v="RIO GUADALUPE 22-23 B 123"/>
    <s v="Upstream"/>
    <s v="1046"/>
    <s v=""/>
    <s v=""/>
    <s v=""/>
    <s v=""/>
    <s v=""/>
    <s v=""/>
    <s v=""/>
    <n v="7"/>
    <s v="HR"/>
    <n v="305"/>
    <s v=""/>
    <n v="2135"/>
    <s v="--multiple--"/>
    <s v="712963"/>
    <d v="2025-10-07T12:58:33"/>
    <s v=""/>
    <s v=""/>
    <s v=""/>
    <s v=""/>
  </r>
  <r>
    <s v="249071"/>
    <s v="E &amp; A Welding &amp; Oilfield Services Inc."/>
    <x v="9"/>
    <s v="Robert Heater"/>
    <s v="Justin Rodriguez"/>
    <s v="DROVE TO LOCATION &amp; HELD VAC ON TANK WHILE CREW WASHED IT OUT. HAULED 40BBLS TO DISPOSAL &amp; WASHED-OUT TRAILER."/>
    <s v="5051049"/>
    <s v="Upstream"/>
    <s v="1314855"/>
    <s v="USD"/>
    <n v="1140"/>
    <s v="Direct Entry"/>
    <s v="1"/>
    <s v="VT130"/>
    <s v="Vacuum Truck"/>
    <s v="Service"/>
    <d v="2025-10-07T12:46:58"/>
    <d v="2025-09-24T05:30:00"/>
    <d v="2025-09-24T17:30:00"/>
    <d v="1899-12-30T12:00:00"/>
    <s v="RIO LA VACA 17-48 WSL"/>
    <s v="08-251531"/>
    <s v="DUSEK SWD"/>
    <s v="WELL CONTROL"/>
    <s v=""/>
    <s v=""/>
    <s v=""/>
    <s v=""/>
    <s v=""/>
    <s v=""/>
    <s v=""/>
    <s v=""/>
    <s v=""/>
    <s v=""/>
    <s v=""/>
    <s v=""/>
    <s v=""/>
    <s v=""/>
    <s v=""/>
    <s v=""/>
    <s v=""/>
    <n v="40"/>
    <s v="bbl"/>
    <s v=""/>
    <s v=""/>
    <s v=""/>
    <s v=""/>
    <s v="8300146200"/>
    <s v="RIO LAVACA 17-48 WSL BATTERY"/>
    <s v="Upstream"/>
    <s v="1046"/>
    <s v=""/>
    <s v=""/>
    <s v=""/>
    <s v=""/>
    <s v=""/>
    <s v=""/>
    <s v="Other"/>
    <n v="12"/>
    <s v="HR"/>
    <n v="95"/>
    <s v=""/>
    <n v="1140"/>
    <s v="--multiple--"/>
    <s v="706137"/>
    <d v="2025-10-10T09:57:58"/>
    <s v=""/>
    <s v=""/>
    <s v="Electronic Field Ticket Issue"/>
    <s v=""/>
  </r>
  <r>
    <s v="396143"/>
    <s v="Tommy White Supply Company, Inc."/>
    <x v="10"/>
    <s v="Robert Heater"/>
    <s v="Justin Rodriguez"/>
    <s v="PC SWAGE"/>
    <s v="5051049"/>
    <s v="Upstream"/>
    <s v="167564"/>
    <s v="USD"/>
    <n v="368.38"/>
    <s v="Direct Entry"/>
    <s v="1"/>
    <s v="PRODUCT"/>
    <s v="6&quot; X 3&quot; G X T SWAGE PLASTIC COATED"/>
    <s v=""/>
    <d v="2025-10-03T16:03:29"/>
    <d v="2025-09-29T00:00:00"/>
    <d v="2025-09-29T00:00:00"/>
    <s v=""/>
    <s v="WILKINSON RANCH BATTERY"/>
    <s v=""/>
    <s v=""/>
    <s v=""/>
    <s v=""/>
    <s v=""/>
    <s v=""/>
    <s v=""/>
    <s v=""/>
    <s v=""/>
    <s v=""/>
    <s v=""/>
    <s v=""/>
    <s v=""/>
    <s v=""/>
    <s v=""/>
    <s v=""/>
    <s v=""/>
    <s v=""/>
    <s v=""/>
    <s v=""/>
    <s v=""/>
    <s v=""/>
    <s v="Material"/>
    <s v=""/>
    <s v=""/>
    <s v=""/>
    <s v="8000312300"/>
    <s v="WILKINSON RANCH BATTERY"/>
    <s v="Upstream"/>
    <s v="1046"/>
    <s v=""/>
    <s v=""/>
    <s v=""/>
    <s v=""/>
    <s v=""/>
    <s v=""/>
    <s v=""/>
    <n v="1"/>
    <s v="EA"/>
    <n v="368.38"/>
    <s v=""/>
    <n v="368.38"/>
    <s v=""/>
    <s v="706526"/>
    <d v="2025-10-03T16:04:32"/>
    <s v=""/>
    <s v=""/>
    <s v=""/>
    <s v=""/>
  </r>
  <r>
    <s v="53848"/>
    <s v="TCC Sandblasting &amp; Coating"/>
    <x v="9"/>
    <s v="Robert Heater"/>
    <s v="Justin Rodriguez"/>
    <s v="Performed DFT and Holiday Test in preparation for necessary repairs"/>
    <s v="5051049"/>
    <s v="Upstream"/>
    <s v="165983"/>
    <s v="USD"/>
    <n v="678.75"/>
    <s v="Direct Entry"/>
    <s v="1"/>
    <s v="Coating-Novaplate 360"/>
    <s v="Coating-Novaplate 360"/>
    <s v=""/>
    <d v="2025-10-08T12:14:28"/>
    <d v="2025-09-29T07:15:00"/>
    <d v="2025-09-29T09:30:00"/>
    <s v=""/>
    <s v=""/>
    <s v=""/>
    <s v=""/>
    <s v=""/>
    <s v=""/>
    <s v=""/>
    <s v=""/>
    <s v=""/>
    <s v=""/>
    <s v=""/>
    <s v=""/>
    <s v=""/>
    <s v=""/>
    <s v=""/>
    <s v=""/>
    <s v=""/>
    <s v=""/>
    <s v=""/>
    <s v=""/>
    <s v=""/>
    <s v=""/>
    <s v=""/>
    <s v=""/>
    <s v="Material"/>
    <s v=""/>
    <s v=""/>
    <s v=""/>
    <s v="8300147400"/>
    <s v="RIO SAN GABRIEL 28-29 U1 U2 BATTERY"/>
    <s v="Upstream"/>
    <s v="1046"/>
    <s v=""/>
    <s v=""/>
    <s v=""/>
    <s v=""/>
    <s v=""/>
    <s v=""/>
    <s v=""/>
    <n v="1"/>
    <s v="GAL"/>
    <n v="116.25"/>
    <s v=""/>
    <n v="116.25"/>
    <s v="--multiple--"/>
    <s v="704988"/>
    <d v="2025-10-08T13:22:14"/>
    <s v=""/>
    <s v=""/>
    <s v=""/>
    <s v=""/>
  </r>
  <r>
    <s v="212082"/>
    <s v="Basin Trucking LLC"/>
    <x v="2"/>
    <s v="Robert Heater"/>
    <s v="Justin Rodriguez"/>
    <s v="Drove to location and took measurements of the hoses from the compressor."/>
    <s v="5051049"/>
    <s v="Upstream"/>
    <s v="168910"/>
    <s v="USD"/>
    <n v="75"/>
    <s v="Direct Entry"/>
    <s v="1"/>
    <s v="Supervisor"/>
    <s v="Supervisor"/>
    <s v="Roustabout Crew"/>
    <d v="2025-10-07T19:30:53"/>
    <d v="2025-10-01T15:30:00"/>
    <d v="2025-10-01T16:30:00"/>
    <s v=""/>
    <s v="Braun 10"/>
    <s v=""/>
    <s v=""/>
    <s v=""/>
    <s v=""/>
    <s v=""/>
    <s v=""/>
    <s v=""/>
    <s v=""/>
    <s v=""/>
    <s v=""/>
    <s v=""/>
    <s v=""/>
    <s v=""/>
    <s v=""/>
    <s v=""/>
    <s v=""/>
    <s v=""/>
    <s v=""/>
    <s v=""/>
    <s v=""/>
    <s v=""/>
    <s v=""/>
    <s v="Labor"/>
    <s v=""/>
    <s v=""/>
    <s v=""/>
    <s v="8300083600"/>
    <s v="BRAUN 10 BATTERY"/>
    <s v="Upstream"/>
    <s v="1046"/>
    <s v=""/>
    <s v=""/>
    <s v=""/>
    <s v=""/>
    <s v=""/>
    <s v=""/>
    <s v=""/>
    <n v="1"/>
    <s v="HR"/>
    <n v="75"/>
    <s v=""/>
    <n v="75"/>
    <s v="--multiple--"/>
    <s v="703517"/>
    <d v="2025-10-08T05:41:53"/>
    <s v=""/>
    <s v=""/>
    <s v=""/>
    <s v=""/>
  </r>
  <r>
    <s v="213657"/>
    <s v="Basin Trucking LLC"/>
    <x v="12"/>
    <s v="Robert Heater"/>
    <s v="Justin Rodriguez"/>
    <s v="Drove to location we change the pipe and union the exit on the compressor check works no leak."/>
    <s v="5051049"/>
    <s v="Upstream"/>
    <s v="168913"/>
    <s v="USD"/>
    <n v="617.5"/>
    <s v="Direct Entry"/>
    <s v="1"/>
    <s v="3 Man Crew"/>
    <s v="3 Man Crew"/>
    <s v="Roustabout Crew"/>
    <d v="2025-10-10T12:40:00"/>
    <d v="2025-10-05T07:00:00"/>
    <d v="2025-10-05T11:45:00"/>
    <s v=""/>
    <s v="PERRO ROJO 18 TESTER BATTERY"/>
    <s v=""/>
    <s v=""/>
    <s v=""/>
    <s v=""/>
    <s v=""/>
    <s v=""/>
    <s v=""/>
    <s v=""/>
    <s v=""/>
    <s v=""/>
    <s v=""/>
    <s v=""/>
    <s v=""/>
    <s v=""/>
    <s v=""/>
    <s v=""/>
    <s v=""/>
    <s v=""/>
    <s v=""/>
    <s v=""/>
    <s v=""/>
    <s v=""/>
    <s v="Labor"/>
    <s v=""/>
    <s v=""/>
    <s v=""/>
    <s v="8300136100"/>
    <s v="PERRO ROJO 18 BATTERY"/>
    <s v="Upstream"/>
    <s v="1046"/>
    <s v=""/>
    <s v=""/>
    <s v=""/>
    <s v=""/>
    <s v=""/>
    <s v=""/>
    <s v=""/>
    <n v="4.75"/>
    <s v="HR"/>
    <n v="130"/>
    <s v=""/>
    <n v="617.5"/>
    <s v="--multiple--"/>
    <s v="703517"/>
    <d v="2025-10-10T12:41:11"/>
    <s v=""/>
    <s v=""/>
    <s v=""/>
    <s v=""/>
  </r>
  <r>
    <s v="65038"/>
    <s v="Valdez Oil Services, L.L.C."/>
    <x v="10"/>
    <s v="Kenneth Hodges"/>
    <s v="Marco Rodriguez"/>
    <s v="Hauled 120 bbl. of PW from ROGERS 35 to OWENS SWD."/>
    <s v="5051054"/>
    <s v="Upstream"/>
    <s v=""/>
    <s v="USD"/>
    <n v="310"/>
    <s v="Direct Entry"/>
    <s v="1"/>
    <s v="Vacuum Truck"/>
    <s v="Vacuum Truck"/>
    <s v=""/>
    <d v="2025-10-09T12:56:30"/>
    <d v="2025-10-07T08:30:00"/>
    <d v="2025-10-07T11:00:00"/>
    <d v="1899-12-30T02:30:00"/>
    <s v="ROGERS 35"/>
    <s v=""/>
    <s v=""/>
    <s v="PRODUCED WATER"/>
    <s v=""/>
    <s v=""/>
    <s v=""/>
    <s v=""/>
    <n v="7"/>
    <n v="7"/>
    <n v="5"/>
    <n v="10"/>
    <s v=""/>
    <s v=""/>
    <s v=""/>
    <s v=""/>
    <s v=""/>
    <s v=""/>
    <s v=""/>
    <s v=""/>
    <s v=""/>
    <n v="120"/>
    <s v="bbl"/>
    <s v=""/>
    <s v=""/>
    <s v=""/>
    <s v=""/>
    <s v="8000323400"/>
    <s v="ROGERS 35 BATTERY"/>
    <s v="Upstream"/>
    <s v="1046"/>
    <s v=""/>
    <s v=""/>
    <s v=""/>
    <s v=""/>
    <s v=""/>
    <s v=""/>
    <s v="Hours Worked"/>
    <n v="2.5"/>
    <s v="hour"/>
    <n v="88"/>
    <s v=""/>
    <n v="220"/>
    <s v="--multiple--"/>
    <s v="712959"/>
    <d v="2025-10-09T12:58:57"/>
    <s v=""/>
    <s v=""/>
    <s v=""/>
    <s v=""/>
  </r>
  <r>
    <s v="4628-1153003"/>
    <s v="Cain Electric Supply CORP"/>
    <x v="0"/>
    <s v="Ramiro Rangel"/>
    <s v="Lina Flores"/>
    <s v="Electrical Materials"/>
    <s v="8501141"/>
    <s v="AC-AC"/>
    <s v=""/>
    <s v="USD"/>
    <n v="405"/>
    <s v=""/>
    <s v="1"/>
    <s v="FRZ TRS300R"/>
    <s v="300A 600V RK5 TD FUSE"/>
    <s v=""/>
    <d v="2025-10-08T19:04:36"/>
    <d v="2025-10-08T08:00:00"/>
    <d v="2025-10-08T08:00:00"/>
    <s v=""/>
    <s v="UL SITKA 12-37 G3LS"/>
    <s v=""/>
    <s v=""/>
    <s v=""/>
    <s v=""/>
    <s v=""/>
    <s v=""/>
    <s v=""/>
    <s v=""/>
    <s v=""/>
    <s v=""/>
    <s v=""/>
    <s v=""/>
    <s v=""/>
    <s v=""/>
    <s v=""/>
    <s v=""/>
    <s v=""/>
    <s v=""/>
    <s v=""/>
    <s v=""/>
    <s v=""/>
    <s v=""/>
    <s v="Material"/>
    <s v=""/>
    <s v=""/>
    <s v=""/>
    <s v="AC-002132AC"/>
    <s v="UL SITKA 12-37 G 3LS - ESP2RP"/>
    <s v="AC-AC"/>
    <s v="1046"/>
    <s v=""/>
    <s v=""/>
    <s v=""/>
    <s v=""/>
    <s v=""/>
    <s v=""/>
    <s v=""/>
    <n v="3"/>
    <s v="EA"/>
    <n v="135"/>
    <s v=""/>
    <n v="405"/>
    <s v="--multiple--"/>
    <s v="703819"/>
    <d v="2025-10-10T09:29:19"/>
    <s v=""/>
    <s v=""/>
    <s v=""/>
    <s v=""/>
  </r>
  <r>
    <s v="ML19677"/>
    <s v="ML POWER LLC"/>
    <x v="8"/>
    <s v="Kyle Jackson"/>
    <s v="Steven Kincheloe"/>
    <s v="Needed to move the Tubing PT lower, Closed all necessary valves and released the pressure. Unmounted PT and Gauge. Mounted PT and Gauge lower as needed. Opened valves and made sure PT was working correctly. Ricker 36-27 C 231 is good to go!"/>
    <s v="5051044"/>
    <s v="Upstream"/>
    <s v=""/>
    <s v="USD"/>
    <n v="162"/>
    <s v="API"/>
    <s v="1"/>
    <s v="Electrician"/>
    <s v="Electrician"/>
    <s v=""/>
    <d v="2025-10-06T17:21:04"/>
    <d v="2025-09-25T14:30:00"/>
    <d v="2025-09-25T15:30:00"/>
    <s v=""/>
    <s v=""/>
    <s v=""/>
    <s v=""/>
    <s v=""/>
    <s v=""/>
    <s v=""/>
    <s v=""/>
    <s v=""/>
    <s v=""/>
    <s v=""/>
    <s v=""/>
    <s v=""/>
    <s v=""/>
    <s v=""/>
    <s v=""/>
    <s v=""/>
    <s v=""/>
    <s v=""/>
    <s v=""/>
    <s v=""/>
    <s v=""/>
    <s v=""/>
    <s v=""/>
    <s v="Labor"/>
    <s v=""/>
    <s v="595273"/>
    <s v=""/>
    <s v="1001519900"/>
    <s v="RICKER 36-27 231"/>
    <s v="Upstream"/>
    <s v="1046"/>
    <s v=""/>
    <s v=""/>
    <s v=""/>
    <s v=""/>
    <s v=""/>
    <s v=""/>
    <s v=""/>
    <n v="1"/>
    <s v="HR"/>
    <n v="66"/>
    <s v=""/>
    <n v="66"/>
    <s v="--multiple--"/>
    <s v="706076"/>
    <d v="2025-10-06T17:22:36"/>
    <s v=""/>
    <s v=""/>
    <s v=""/>
    <s v=""/>
  </r>
  <r>
    <s v="105077"/>
    <s v="A4 Oilfield Services, LLC"/>
    <x v="2"/>
    <s v="Alex Anez"/>
    <s v="Louis Valencia"/>
    <s v="Drove to location to replace dump valve on water outlet on tester hauled off old dump to metal bin and cut and thread 3&quot; pipe to ft valve onto place"/>
    <s v="5051049"/>
    <s v="Upstream"/>
    <s v="163098"/>
    <s v="USD"/>
    <n v="406.25"/>
    <s v="Direct Entry"/>
    <s v="1"/>
    <s v="ROUSTABOUT - 3 Man"/>
    <s v="ROUSTABOUT - 3 Man"/>
    <s v=""/>
    <d v="2025-10-06T12:46:11"/>
    <d v="2025-09-26T12:00:00"/>
    <d v="2025-09-26T15:15:00"/>
    <s v=""/>
    <s v="Blazer 14 Battery"/>
    <s v=""/>
    <s v=""/>
    <s v=""/>
    <s v=""/>
    <s v=""/>
    <s v=""/>
    <s v=""/>
    <s v=""/>
    <s v=""/>
    <s v=""/>
    <s v=""/>
    <s v=""/>
    <s v=""/>
    <s v=""/>
    <s v=""/>
    <s v=""/>
    <s v=""/>
    <s v=""/>
    <s v=""/>
    <s v=""/>
    <s v=""/>
    <s v=""/>
    <s v="Labor"/>
    <s v=""/>
    <s v=""/>
    <s v=""/>
    <s v="8000020600"/>
    <s v="BLAZER 14 BATTERY"/>
    <s v="Upstream"/>
    <s v="1046"/>
    <s v=""/>
    <s v=""/>
    <s v=""/>
    <s v=""/>
    <s v=""/>
    <s v=""/>
    <s v=""/>
    <n v="3.25"/>
    <s v="HR"/>
    <n v="125"/>
    <s v=""/>
    <n v="406.25"/>
    <s v="--multiple--"/>
    <s v="711551"/>
    <d v="2025-10-06T13:06:21"/>
    <s v=""/>
    <s v=""/>
    <s v=""/>
    <s v=""/>
  </r>
  <r>
    <s v="ML19662"/>
    <s v="ML POWER LLC"/>
    <x v="8"/>
    <s v="Kyle Jackson"/>
    <s v="Steven Kincheloe"/>
    <s v="Trouble call (both tubing and casing pt services were cut) Drove to location. Found the pts on the floor with their services still terminated to the devices, and the opposite ends cut. Notified the tech that I would need to order a few items the following day. Tech approved. Mounted the pts onto the well head, and left the slack ready to be terminated into the plc."/>
    <s v="5051044"/>
    <s v="Upstream"/>
    <s v=""/>
    <s v="USD"/>
    <n v="429"/>
    <s v="API"/>
    <s v="1"/>
    <s v="Electrician-OT"/>
    <s v="Electrician-OT"/>
    <s v=""/>
    <d v="2025-10-06T16:27:55"/>
    <d v="2025-09-25T16:15:00"/>
    <d v="2025-09-25T19:15:00"/>
    <s v=""/>
    <s v=""/>
    <s v=""/>
    <s v=""/>
    <s v=""/>
    <s v=""/>
    <s v=""/>
    <s v=""/>
    <s v=""/>
    <s v=""/>
    <s v=""/>
    <s v=""/>
    <s v=""/>
    <s v=""/>
    <s v=""/>
    <s v=""/>
    <s v=""/>
    <s v=""/>
    <s v=""/>
    <s v=""/>
    <s v=""/>
    <s v=""/>
    <s v=""/>
    <s v=""/>
    <s v="Labor"/>
    <s v=""/>
    <s v="595264"/>
    <s v=""/>
    <s v="1001722600"/>
    <s v="MAGNETO G 1023HL"/>
    <s v="Upstream"/>
    <s v="1046"/>
    <s v=""/>
    <s v=""/>
    <s v=""/>
    <s v=""/>
    <s v=""/>
    <s v=""/>
    <s v=""/>
    <n v="3"/>
    <s v="HR"/>
    <n v="99"/>
    <s v=""/>
    <n v="297"/>
    <s v="--multiple--"/>
    <s v="706076"/>
    <d v="2025-10-06T16:32:51"/>
    <s v=""/>
    <s v=""/>
    <s v=""/>
    <s v=""/>
  </r>
  <r>
    <s v="105083"/>
    <s v="A4 Oilfield Services, LLC"/>
    <x v="8"/>
    <s v="Alex Anez"/>
    <s v="Louis Valencia"/>
    <s v="Drove to supply store for parts than went to location to replace 4&quot; check valve on water transfer pump"/>
    <s v="5051049"/>
    <s v="Upstream"/>
    <s v="168630"/>
    <s v="USD"/>
    <n v="656.25"/>
    <s v="Direct Entry"/>
    <s v="1"/>
    <s v="ROUSTABOUT - 3 Man"/>
    <s v="ROUSTABOUT - 3 Man"/>
    <s v=""/>
    <d v="2025-10-06T12:56:52"/>
    <d v="2025-09-30T15:15:00"/>
    <d v="2025-09-30T20:30:00"/>
    <s v=""/>
    <s v="State Brumby H Battery"/>
    <s v=""/>
    <s v=""/>
    <s v=""/>
    <s v=""/>
    <s v=""/>
    <s v=""/>
    <s v=""/>
    <s v=""/>
    <s v=""/>
    <s v=""/>
    <s v=""/>
    <s v=""/>
    <s v=""/>
    <s v=""/>
    <s v=""/>
    <s v=""/>
    <s v=""/>
    <s v=""/>
    <s v=""/>
    <s v=""/>
    <s v=""/>
    <s v=""/>
    <s v="Labor"/>
    <s v=""/>
    <s v=""/>
    <s v=""/>
    <s v="8000020100"/>
    <s v="STATE BRUMBY H BATTERY"/>
    <s v="Upstream"/>
    <s v="1046"/>
    <s v=""/>
    <s v=""/>
    <s v=""/>
    <s v=""/>
    <s v=""/>
    <s v=""/>
    <s v=""/>
    <n v="5.25"/>
    <s v="HR"/>
    <n v="125"/>
    <s v=""/>
    <n v="656.25"/>
    <s v="--multiple--"/>
    <s v="711551"/>
    <d v="2025-10-06T13:08:53"/>
    <s v=""/>
    <s v=""/>
    <s v=""/>
    <s v=""/>
  </r>
  <r>
    <s v="104294"/>
    <s v="A4 Oilfield Services, LLC"/>
    <x v="2"/>
    <s v="Alex Anez"/>
    <s v="Louis Valencia"/>
    <s v="Drove to location to wait for pumper to close valves and went to lift parts to RK than replace two pressure valves 3 inch and drain water from separator with vacuum and replace 2 control boxes"/>
    <s v="5051049"/>
    <s v="Upstream"/>
    <s v="162633"/>
    <s v="USD"/>
    <n v="1656.25"/>
    <s v="Direct Entry"/>
    <s v="1"/>
    <s v="ROUSTABOUT - 3 Man"/>
    <s v="ROUSTABOUT - 3 Man"/>
    <s v=""/>
    <d v="2025-10-06T12:00:23"/>
    <d v="2025-10-03T06:45:00"/>
    <d v="2025-10-03T20:00:00"/>
    <s v=""/>
    <s v="Bronze 6-15 Battery"/>
    <s v=""/>
    <s v=""/>
    <s v=""/>
    <s v=""/>
    <s v=""/>
    <s v=""/>
    <s v=""/>
    <s v=""/>
    <s v=""/>
    <s v=""/>
    <s v=""/>
    <s v=""/>
    <s v=""/>
    <s v=""/>
    <s v=""/>
    <s v=""/>
    <s v=""/>
    <s v=""/>
    <s v=""/>
    <s v=""/>
    <s v=""/>
    <s v=""/>
    <s v="Labor"/>
    <s v=""/>
    <s v=""/>
    <s v=""/>
    <s v="8000019400"/>
    <s v="BRONZE 6-15 BATTERY"/>
    <s v="Upstream"/>
    <s v="1046"/>
    <s v=""/>
    <s v=""/>
    <s v=""/>
    <s v=""/>
    <s v=""/>
    <s v=""/>
    <s v=""/>
    <n v="13.25"/>
    <s v="HR"/>
    <n v="125"/>
    <s v=""/>
    <n v="1656.25"/>
    <s v="--multiple--"/>
    <s v="711551"/>
    <d v="2025-10-06T12:02:20"/>
    <s v=""/>
    <s v=""/>
    <s v=""/>
    <s v=""/>
  </r>
  <r>
    <s v="16183"/>
    <s v="Oil Spill Clean Up, Inc"/>
    <x v="0"/>
    <s v="Alex Anez"/>
    <s v="Louis Valencia"/>
    <s v="Drove to location. Battery shut-in for repair. Changed out numerous clamps and valves both 3 &amp; 4 inch."/>
    <s v="5051049"/>
    <s v="Upstream"/>
    <s v="168718"/>
    <s v="USD"/>
    <n v="1560"/>
    <s v="B2B"/>
    <s v="1"/>
    <s v="3 Man Gang (D3)"/>
    <s v="3-Men Gang"/>
    <s v="Roustabout"/>
    <d v="2025-10-10T22:11:21"/>
    <d v="2025-10-08T07:00:00"/>
    <d v="2025-10-08T19:00:00"/>
    <s v=""/>
    <s v="State Brumby H Battery"/>
    <s v=""/>
    <s v=""/>
    <s v=""/>
    <s v=""/>
    <s v=""/>
    <s v=""/>
    <s v=""/>
    <s v=""/>
    <s v=""/>
    <s v=""/>
    <s v=""/>
    <s v=""/>
    <s v=""/>
    <s v=""/>
    <s v=""/>
    <s v=""/>
    <s v=""/>
    <s v=""/>
    <s v=""/>
    <s v=""/>
    <s v=""/>
    <s v=""/>
    <s v="Labor"/>
    <s v=""/>
    <s v=""/>
    <s v=""/>
    <s v="8000020100"/>
    <s v="STATE BRUMBY H BATTERY"/>
    <s v="Upstream"/>
    <s v="1046"/>
    <s v=""/>
    <s v=""/>
    <s v=""/>
    <s v=""/>
    <s v=""/>
    <s v=""/>
    <s v="Other"/>
    <n v="12"/>
    <s v="HR"/>
    <n v="130"/>
    <s v=""/>
    <n v="1560"/>
    <s v="--multiple--"/>
    <s v="703239"/>
    <d v="2025-10-13T08:13:15"/>
    <s v=""/>
    <s v=""/>
    <s v=""/>
    <s v=""/>
  </r>
  <r>
    <s v="16179"/>
    <s v="Oil Spill Clean Up, Inc"/>
    <x v="0"/>
    <s v="Alex Anez"/>
    <s v="Louis Valencia"/>
    <s v="Drove to location. Loaded new parts on the trailer and took them to the Rogers 6. Returned to location. Loaded scrap (junk/old equipment) and hauled it to the Rogers 6."/>
    <s v="5051027"/>
    <s v="Upstream"/>
    <s v="158036"/>
    <s v="USD"/>
    <n v="2180"/>
    <s v="B2B"/>
    <s v="1"/>
    <s v="2 Man Gang (D2)"/>
    <s v="2 Men Gang with Truck and Tools"/>
    <s v="Roustabout"/>
    <d v="2025-10-10T01:36:55"/>
    <d v="2025-10-08T07:45:00"/>
    <d v="2025-10-08T16:45:00"/>
    <s v=""/>
    <s v="Little League Battery"/>
    <s v=""/>
    <s v=""/>
    <s v=""/>
    <s v=""/>
    <s v=""/>
    <s v=""/>
    <s v=""/>
    <s v=""/>
    <s v=""/>
    <s v=""/>
    <s v=""/>
    <s v=""/>
    <s v=""/>
    <s v=""/>
    <s v=""/>
    <s v=""/>
    <s v=""/>
    <s v=""/>
    <s v=""/>
    <s v=""/>
    <s v=""/>
    <s v=""/>
    <s v="Labor"/>
    <s v=""/>
    <s v=""/>
    <s v=""/>
    <s v="9000001800"/>
    <s v="REWARD FIELD ALLOCATION"/>
    <s v="Upstream"/>
    <s v="1046"/>
    <s v=""/>
    <s v=""/>
    <s v=""/>
    <s v=""/>
    <s v=""/>
    <s v=""/>
    <s v="Other"/>
    <n v="9"/>
    <s v="HR"/>
    <n v="120"/>
    <s v=""/>
    <n v="1080"/>
    <s v="--multiple--"/>
    <s v="703239"/>
    <d v="2025-10-10T08:28:41"/>
    <s v=""/>
    <s v=""/>
    <s v=""/>
    <s v=""/>
  </r>
  <r>
    <s v="16190"/>
    <s v="Oil Spill Clean Up, Inc"/>
    <x v="0"/>
    <s v="Alex Anez"/>
    <s v="Louis Valencia"/>
    <s v="Hooked up to the dump trailer and drove to the State Brumby H location. Picked up the clamps and junk on site. Hauled everything over to Rogers 6. Drove to the Little League Battery and loaded up junk/scraps and hauled it to the Rogers 6. Loaded (8”) pipe onto the trailer and hauled it to the State Brumby H. Pick up the junk and hauled it back to the Rogers 6."/>
    <s v="5051027"/>
    <s v="Upstream"/>
    <s v="158036"/>
    <s v="USD"/>
    <n v="2880"/>
    <s v="B2B"/>
    <s v="1"/>
    <s v="2 Man Gang (D2)"/>
    <s v="2 Men Gang with Truck and Tools"/>
    <s v="Roustabout"/>
    <d v="2025-10-11T22:09:23"/>
    <d v="2025-10-09T07:15:00"/>
    <d v="2025-10-09T18:45:00"/>
    <s v=""/>
    <s v="Reward Field - State Brumby H and Little League Battery"/>
    <s v=""/>
    <s v=""/>
    <s v=""/>
    <s v=""/>
    <s v=""/>
    <s v=""/>
    <s v=""/>
    <s v=""/>
    <s v=""/>
    <s v=""/>
    <s v=""/>
    <s v=""/>
    <s v=""/>
    <s v=""/>
    <s v=""/>
    <s v=""/>
    <s v=""/>
    <s v=""/>
    <s v=""/>
    <s v=""/>
    <s v=""/>
    <s v=""/>
    <s v="Labor"/>
    <s v=""/>
    <s v=""/>
    <s v=""/>
    <s v="9000001800"/>
    <s v="REWARD FIELD ALLOCATION"/>
    <s v="Upstream"/>
    <s v="1046"/>
    <s v=""/>
    <s v=""/>
    <s v=""/>
    <s v=""/>
    <s v=""/>
    <s v=""/>
    <s v="Other"/>
    <n v="11.5"/>
    <s v="HR"/>
    <n v="120"/>
    <s v=""/>
    <n v="1380"/>
    <s v="--multiple--"/>
    <s v="703239"/>
    <d v="2025-10-13T08:41:44"/>
    <s v=""/>
    <s v=""/>
    <s v=""/>
    <s v=""/>
  </r>
  <r>
    <s v="16186"/>
    <s v="Oil Spill Clean Up, Inc"/>
    <x v="0"/>
    <s v="Alex Anez"/>
    <s v="Louis Valencia"/>
    <s v="Drove to location. Battery shut-in for repair. Changed out numerous clamps and valves both 3 &amp; 4 inch. Change out 6” clamps around battery."/>
    <s v="5051049"/>
    <s v="Upstream"/>
    <s v="168718"/>
    <s v="USD"/>
    <n v="1365"/>
    <s v="B2B"/>
    <s v="1"/>
    <s v="3 Man Gang (D3)"/>
    <s v="3-Men Gang"/>
    <s v="Roustabout"/>
    <d v="2025-10-10T22:25:46"/>
    <d v="2025-10-09T09:30:00"/>
    <d v="2025-10-09T20:00:00"/>
    <s v=""/>
    <s v="State Brumby H Battery"/>
    <s v=""/>
    <s v=""/>
    <s v=""/>
    <s v=""/>
    <s v=""/>
    <s v=""/>
    <s v=""/>
    <s v=""/>
    <s v=""/>
    <s v=""/>
    <s v=""/>
    <s v=""/>
    <s v=""/>
    <s v=""/>
    <s v=""/>
    <s v=""/>
    <s v=""/>
    <s v=""/>
    <s v=""/>
    <s v=""/>
    <s v=""/>
    <s v=""/>
    <s v="Labor"/>
    <s v=""/>
    <s v=""/>
    <s v=""/>
    <s v="8000020100"/>
    <s v="STATE BRUMBY H BATTERY"/>
    <s v="Upstream"/>
    <s v="1046"/>
    <s v=""/>
    <s v=""/>
    <s v=""/>
    <s v=""/>
    <s v=""/>
    <s v=""/>
    <s v="Other"/>
    <n v="10.5"/>
    <s v="HR"/>
    <n v="130"/>
    <s v=""/>
    <n v="1365"/>
    <s v="--multiple--"/>
    <s v="703239"/>
    <d v="2025-10-13T08:36:17"/>
    <s v=""/>
    <s v=""/>
    <s v=""/>
    <s v=""/>
  </r>
  <r>
    <s v="16188"/>
    <s v="Oil Spill Clean Up, Inc"/>
    <x v="0"/>
    <s v="Alex Anez"/>
    <s v="Louis Valencia"/>
    <s v="Drove to location. Battery shut in for repairs. Assisted with changing out various clamps and valves around location."/>
    <s v="5051049"/>
    <s v="Upstream"/>
    <s v="168718"/>
    <s v="USD"/>
    <n v="895"/>
    <s v="B2B"/>
    <s v="1"/>
    <s v="3 Man Gang (D3)"/>
    <s v="3-Men Gang"/>
    <s v="Roustabout"/>
    <d v="2025-10-11T22:52:42"/>
    <d v="2025-10-09T13:30:00"/>
    <d v="2025-10-09T20:00:00"/>
    <s v=""/>
    <s v="State Brumby H Battery"/>
    <s v=""/>
    <s v=""/>
    <s v=""/>
    <s v=""/>
    <s v=""/>
    <s v=""/>
    <s v=""/>
    <s v=""/>
    <s v=""/>
    <s v=""/>
    <s v=""/>
    <s v=""/>
    <s v=""/>
    <s v=""/>
    <s v=""/>
    <s v=""/>
    <s v=""/>
    <s v=""/>
    <s v=""/>
    <s v=""/>
    <s v=""/>
    <s v=""/>
    <s v="Labor"/>
    <s v=""/>
    <s v=""/>
    <s v=""/>
    <s v="8000020100"/>
    <s v="STATE BRUMBY H BATTERY"/>
    <s v="Upstream"/>
    <s v="1046"/>
    <s v=""/>
    <s v=""/>
    <s v=""/>
    <s v=""/>
    <s v=""/>
    <s v=""/>
    <s v="Other"/>
    <n v="6.5"/>
    <s v="HR"/>
    <n v="130"/>
    <s v=""/>
    <n v="845"/>
    <s v="--multiple--"/>
    <s v="703239"/>
    <d v="2025-10-13T08:38:29"/>
    <s v=""/>
    <s v=""/>
    <s v=""/>
    <s v=""/>
  </r>
  <r>
    <s v="65040"/>
    <s v="Valdez Oil Services, L.L.C."/>
    <x v="10"/>
    <s v="Kenneth Hodges"/>
    <s v="Marco Rodriguez"/>
    <s v="Hauled 120 bbl. of PW from ROGERS 35 to OWENS SWD."/>
    <s v="5051054"/>
    <s v="Upstream"/>
    <s v=""/>
    <s v="USD"/>
    <n v="310"/>
    <s v="Direct Entry"/>
    <s v="1"/>
    <s v="Vacuum Truck"/>
    <s v="Vacuum Truck"/>
    <s v=""/>
    <d v="2025-10-09T13:08:20"/>
    <d v="2025-10-07T13:30:00"/>
    <d v="2025-10-07T16:00:00"/>
    <d v="1899-12-30T02:30:00"/>
    <s v="ROGERS 35"/>
    <s v=""/>
    <s v=""/>
    <s v="PRODUCED WATER"/>
    <s v=""/>
    <s v=""/>
    <s v=""/>
    <s v=""/>
    <n v="6"/>
    <n v="9"/>
    <n v="5"/>
    <s v=""/>
    <s v=""/>
    <s v=""/>
    <s v=""/>
    <s v=""/>
    <s v=""/>
    <s v=""/>
    <s v=""/>
    <s v=""/>
    <s v=""/>
    <n v="120"/>
    <s v="bbl"/>
    <s v=""/>
    <s v=""/>
    <s v=""/>
    <s v=""/>
    <s v="8000323400"/>
    <s v="ROGERS 35 BATTERY"/>
    <s v="Upstream"/>
    <s v="1046"/>
    <s v=""/>
    <s v=""/>
    <s v=""/>
    <s v=""/>
    <s v=""/>
    <s v=""/>
    <s v="Hours Worked"/>
    <n v="2.5"/>
    <s v="hour"/>
    <n v="88"/>
    <s v=""/>
    <n v="220"/>
    <s v="--multiple--"/>
    <s v="712959"/>
    <d v="2025-10-09T13:10:58"/>
    <s v=""/>
    <s v=""/>
    <s v=""/>
    <s v=""/>
  </r>
  <r>
    <s v="64631"/>
    <s v="Valdez Oil Services, L.L.C."/>
    <x v="9"/>
    <s v="Kenneth Hodges"/>
    <s v="Marco Rodriguez"/>
    <s v="Picked up 110 bbl. of FW from OASIS to use on the DRAGO BATTERY"/>
    <s v="5051054"/>
    <s v="Upstream"/>
    <s v=""/>
    <s v="USD"/>
    <n v="1160.5"/>
    <s v="Direct Entry"/>
    <s v="1"/>
    <s v="Vacuum Truck"/>
    <s v="Vacuum Truck"/>
    <s v=""/>
    <d v="2025-10-10T12:27:22"/>
    <d v="2025-10-08T05:45:00"/>
    <d v="2025-10-08T18:00:00"/>
    <d v="1899-12-30T12:15:00"/>
    <s v="DRAGO BATTERY"/>
    <s v=""/>
    <s v=""/>
    <s v="FRESH WATER"/>
    <s v=""/>
    <s v=""/>
    <s v=""/>
    <s v=""/>
    <s v=""/>
    <s v=""/>
    <s v=""/>
    <s v=""/>
    <s v=""/>
    <s v=""/>
    <s v=""/>
    <s v=""/>
    <s v=""/>
    <s v=""/>
    <s v=""/>
    <s v=""/>
    <s v=""/>
    <n v="110"/>
    <s v="bbl"/>
    <s v=""/>
    <s v=""/>
    <s v=""/>
    <s v=""/>
    <s v="8000314800"/>
    <s v="DRAGO BATTERY"/>
    <s v="Upstream"/>
    <s v="1046"/>
    <s v=""/>
    <s v=""/>
    <s v=""/>
    <s v=""/>
    <s v=""/>
    <s v=""/>
    <s v="Hours Worked"/>
    <n v="12.25"/>
    <s v="hour"/>
    <n v="88"/>
    <s v=""/>
    <n v="1078"/>
    <s v="--multiple--"/>
    <s v="712959"/>
    <d v="2025-10-10T12:30:44"/>
    <s v=""/>
    <s v=""/>
    <s v=""/>
    <s v=""/>
  </r>
  <r>
    <s v="64682"/>
    <s v="Valdez Oil Services, L.L.C."/>
    <x v="9"/>
    <s v="Kenneth Hodges"/>
    <s v="Marco Rodriguez"/>
    <s v="Hauled 70 bbl. of PW from DRAGO to OWENS SWD."/>
    <s v="5051054"/>
    <s v="Upstream"/>
    <s v=""/>
    <s v="USD"/>
    <n v="1064.5"/>
    <s v="Direct Entry"/>
    <s v="1"/>
    <s v="Vacuum Truck"/>
    <s v="Vacuum Truck"/>
    <s v=""/>
    <d v="2025-10-10T12:35:55"/>
    <d v="2025-10-08T07:30:00"/>
    <d v="2025-10-08T19:00:00"/>
    <d v="1899-12-30T11:30:00"/>
    <s v="DRAGO BATTERY"/>
    <s v=""/>
    <s v=""/>
    <s v="PRODUCED WATER"/>
    <s v=""/>
    <s v=""/>
    <s v=""/>
    <s v=""/>
    <s v=""/>
    <s v=""/>
    <s v=""/>
    <s v=""/>
    <s v=""/>
    <s v=""/>
    <s v=""/>
    <s v=""/>
    <s v=""/>
    <s v=""/>
    <s v=""/>
    <s v=""/>
    <s v=""/>
    <n v="70"/>
    <s v="bbl"/>
    <s v=""/>
    <s v=""/>
    <s v=""/>
    <s v=""/>
    <s v="8000314800"/>
    <s v="DRAGO BATTERY"/>
    <s v="Upstream"/>
    <s v="1046"/>
    <s v=""/>
    <s v=""/>
    <s v=""/>
    <s v=""/>
    <s v=""/>
    <s v=""/>
    <s v="Hours Worked"/>
    <n v="11.5"/>
    <s v="hour"/>
    <n v="88"/>
    <s v=""/>
    <n v="1012"/>
    <s v="--multiple--"/>
    <s v="712959"/>
    <d v="2025-10-10T12:41:44"/>
    <s v=""/>
    <s v=""/>
    <s v=""/>
    <s v=""/>
  </r>
  <r>
    <s v="65043"/>
    <s v="Valdez Oil Services, L.L.C."/>
    <x v="9"/>
    <s v="Kenneth Hodges"/>
    <s v="Marco Rodriguez"/>
    <s v="Hauled 120 bbl. of PW from ROGERS 35 to OWENS SWD."/>
    <s v="5051054"/>
    <s v="Upstream"/>
    <s v=""/>
    <s v="USD"/>
    <n v="310"/>
    <s v="Direct Entry"/>
    <s v="1"/>
    <s v="Vacuum Truck"/>
    <s v="Vacuum Truck"/>
    <s v=""/>
    <d v="2025-10-10T12:48:51"/>
    <d v="2025-10-08T09:30:00"/>
    <d v="2025-10-08T12:00:00"/>
    <d v="1899-12-30T02:30:00"/>
    <s v="ROGERS 35"/>
    <s v=""/>
    <s v=""/>
    <s v="PRODUCED WATER"/>
    <s v=""/>
    <s v=""/>
    <s v=""/>
    <s v=""/>
    <n v="9"/>
    <n v="7"/>
    <n v="7"/>
    <n v="10"/>
    <s v=""/>
    <s v=""/>
    <s v=""/>
    <s v=""/>
    <s v=""/>
    <s v=""/>
    <s v=""/>
    <s v=""/>
    <s v=""/>
    <n v="120"/>
    <s v="bbl"/>
    <s v=""/>
    <s v=""/>
    <s v=""/>
    <s v=""/>
    <s v="8000323400"/>
    <s v="ROGERS 35 BATTERY"/>
    <s v="Upstream"/>
    <s v="1046"/>
    <s v=""/>
    <s v=""/>
    <s v=""/>
    <s v=""/>
    <s v=""/>
    <s v=""/>
    <s v="Hours Worked"/>
    <n v="2.5"/>
    <s v="hour"/>
    <n v="88"/>
    <s v=""/>
    <n v="220"/>
    <s v="--multiple--"/>
    <s v="712959"/>
    <d v="2025-10-10T12:51:13"/>
    <s v=""/>
    <s v=""/>
    <s v=""/>
    <s v=""/>
  </r>
  <r>
    <s v="64725"/>
    <s v="Valdez Oil Services, L.L.C."/>
    <x v="9"/>
    <s v="Kenneth Hodges"/>
    <s v="Marco Rodriguez"/>
    <s v="Hauled 120 bbl. of PW from OWENS A to Pinnergy SWD."/>
    <s v="5051054"/>
    <s v="Upstream"/>
    <s v=""/>
    <s v="USD"/>
    <n v="398"/>
    <s v="Direct Entry"/>
    <s v="1"/>
    <s v="Vacuum Truck"/>
    <s v="Vacuum Truck"/>
    <s v=""/>
    <d v="2025-10-10T11:52:31"/>
    <d v="2025-10-08T10:45:00"/>
    <d v="2025-10-08T14:15:00"/>
    <d v="1899-12-30T03:30:00"/>
    <s v="OWENS A"/>
    <s v=""/>
    <s v=""/>
    <s v="PRODUCED WATER"/>
    <s v=""/>
    <s v=""/>
    <s v=""/>
    <s v=""/>
    <n v="6"/>
    <n v="1"/>
    <n v="2"/>
    <n v="8"/>
    <s v=""/>
    <s v=""/>
    <s v=""/>
    <s v=""/>
    <s v=""/>
    <s v=""/>
    <s v=""/>
    <s v=""/>
    <s v=""/>
    <n v="120"/>
    <s v="bbl"/>
    <s v=""/>
    <s v=""/>
    <s v=""/>
    <s v=""/>
    <s v="8300132200"/>
    <s v="OWENS A 1 BATTERY"/>
    <s v="Upstream"/>
    <s v="1046"/>
    <s v=""/>
    <s v=""/>
    <s v=""/>
    <s v=""/>
    <s v=""/>
    <s v=""/>
    <s v="Hours Worked"/>
    <n v="3.5"/>
    <s v="hour"/>
    <n v="88"/>
    <s v=""/>
    <n v="308"/>
    <s v="--multiple--"/>
    <s v="712959"/>
    <d v="2025-10-10T11:54:41"/>
    <s v=""/>
    <s v=""/>
    <s v=""/>
    <s v=""/>
  </r>
  <r>
    <s v="ML19681"/>
    <s v="ML POWER LLC"/>
    <x v="8"/>
    <s v="Kyle Jackson"/>
    <s v="Steven Kincheloe"/>
    <s v="Drove to the yard to pick up material. Drove to location. Ran the tubing and casing into a fitting. Ran the 2pr from the plc into the fitting as well. Terminated pair one with the tubing, and pair two with the casing. Zip tied all loose slack. Plugged the fuses into the plc. Both devices came on and worked properly. Notified the tech and he called it good."/>
    <s v="5051044"/>
    <s v="Upstream"/>
    <s v=""/>
    <s v="USD"/>
    <n v="220"/>
    <s v="API"/>
    <s v="1"/>
    <s v="Electrician"/>
    <s v="Electrician"/>
    <s v=""/>
    <d v="2025-10-06T17:44:52"/>
    <d v="2025-09-26T08:15:00"/>
    <d v="2025-09-26T10:15:00"/>
    <s v=""/>
    <s v=""/>
    <s v=""/>
    <s v=""/>
    <s v=""/>
    <s v=""/>
    <s v=""/>
    <s v=""/>
    <s v=""/>
    <s v=""/>
    <s v=""/>
    <s v=""/>
    <s v=""/>
    <s v=""/>
    <s v=""/>
    <s v=""/>
    <s v=""/>
    <s v=""/>
    <s v=""/>
    <s v=""/>
    <s v=""/>
    <s v=""/>
    <s v=""/>
    <s v=""/>
    <s v="Labor"/>
    <s v=""/>
    <s v="595264"/>
    <s v=""/>
    <s v="1001722600"/>
    <s v="MAGNETO G 1023HL"/>
    <s v="Upstream"/>
    <s v="1046"/>
    <s v=""/>
    <s v=""/>
    <s v=""/>
    <s v=""/>
    <s v=""/>
    <s v=""/>
    <s v=""/>
    <n v="2"/>
    <s v="HR"/>
    <n v="66"/>
    <s v=""/>
    <n v="132"/>
    <s v="--multiple--"/>
    <s v="706076"/>
    <d v="2025-10-06T17:45:43"/>
    <s v=""/>
    <s v=""/>
    <s v=""/>
    <s v=""/>
  </r>
  <r>
    <s v="F06646"/>
    <s v="Warrior Technologies, LLC"/>
    <x v="10"/>
    <s v="Kyle Jordan"/>
    <s v="Britt Gunnels"/>
    <s v="ROUSTABOUT WORK -DROVE TO LOCATION, LOTO VALVE, BLED OFF GAS PRESSURE, PULLED FLUIDS FROM HEATER WITH VAC TRUCK, REMOVED LOWER PLATE, USED PRESSURE WASHER TO CLEAN INSIDE, PUT ON NEW ANODES, GASKETS AND HARDWARE, OPENED VALVES."/>
    <s v="5051052"/>
    <s v="Upstream"/>
    <s v="147215"/>
    <s v="USD"/>
    <n v="2000"/>
    <s v="B2B"/>
    <s v="1"/>
    <s v="1400099"/>
    <s v="Anode Crew [CT:labor][UOM:hr]"/>
    <s v=""/>
    <d v="2025-09-30T11:44:39"/>
    <d v="2025-09-08T16:30:00"/>
    <d v="2025-09-08T21:00:00"/>
    <s v=""/>
    <s v="JO BIGBY 10 TB"/>
    <s v=""/>
    <s v=""/>
    <s v=""/>
    <s v=""/>
    <s v=""/>
    <s v=""/>
    <s v=""/>
    <s v=""/>
    <s v=""/>
    <s v=""/>
    <s v=""/>
    <s v=""/>
    <s v=""/>
    <s v=""/>
    <s v=""/>
    <s v=""/>
    <s v=""/>
    <s v=""/>
    <s v=""/>
    <s v=""/>
    <s v=""/>
    <s v=""/>
    <s v="Material"/>
    <s v=""/>
    <s v=""/>
    <s v=""/>
    <s v="8300114100"/>
    <s v="JO BIGBY 10 BATTERY"/>
    <s v="Upstream"/>
    <s v="1046"/>
    <s v=""/>
    <s v=""/>
    <s v=""/>
    <s v=""/>
    <s v=""/>
    <s v=""/>
    <s v=""/>
    <n v="1"/>
    <s v="EA"/>
    <n v="2000"/>
    <s v=""/>
    <n v="2000"/>
    <s v="Pricebook"/>
    <s v="712996"/>
    <d v="2025-10-03T13:09:50"/>
    <s v=""/>
    <s v=""/>
    <s v=""/>
    <s v=""/>
  </r>
  <r>
    <s v="65044"/>
    <s v="Valdez Oil Services, L.L.C."/>
    <x v="9"/>
    <s v="Kenneth Hodges"/>
    <s v="Marco Rodriguez"/>
    <s v="Hauled 120 bbl. of PW from ROGERS 35 to OWENS SWD."/>
    <s v="5051054"/>
    <s v="Upstream"/>
    <s v=""/>
    <s v="USD"/>
    <n v="310"/>
    <s v="Direct Entry"/>
    <s v="1"/>
    <s v="Vacuum Truck"/>
    <s v="Vacuum Truck"/>
    <s v=""/>
    <d v="2025-10-10T12:52:05"/>
    <d v="2025-10-08T12:00:00"/>
    <d v="2025-10-08T14:30:00"/>
    <d v="1899-12-30T02:30:00"/>
    <s v="ROGERS 35"/>
    <s v=""/>
    <s v=""/>
    <s v="PRODUCED WATER"/>
    <s v=""/>
    <s v=""/>
    <s v=""/>
    <s v=""/>
    <n v="8"/>
    <n v="3"/>
    <n v="6"/>
    <n v="6"/>
    <s v=""/>
    <s v=""/>
    <s v=""/>
    <s v=""/>
    <s v=""/>
    <s v=""/>
    <s v=""/>
    <s v=""/>
    <s v=""/>
    <n v="120"/>
    <s v="bbl"/>
    <s v=""/>
    <s v=""/>
    <s v=""/>
    <s v=""/>
    <s v="8000323400"/>
    <s v="ROGERS 35 BATTERY"/>
    <s v="Upstream"/>
    <s v="1046"/>
    <s v=""/>
    <s v=""/>
    <s v=""/>
    <s v=""/>
    <s v=""/>
    <s v=""/>
    <s v="Hours Worked"/>
    <n v="2.5"/>
    <s v="hour"/>
    <n v="88"/>
    <s v=""/>
    <n v="220"/>
    <s v="--multiple--"/>
    <s v="712959"/>
    <d v="2025-10-10T12:58:36"/>
    <s v=""/>
    <s v=""/>
    <s v=""/>
    <s v=""/>
  </r>
  <r>
    <s v="65045"/>
    <s v="Valdez Oil Services, L.L.C."/>
    <x v="9"/>
    <s v="Kenneth Hodges"/>
    <s v="Marco Rodriguez"/>
    <s v="Hauled 120 bbl. of PW from HANGAR 7401H to OWENS SWD."/>
    <s v="5051054"/>
    <s v="Upstream"/>
    <s v=""/>
    <s v="USD"/>
    <n v="354"/>
    <s v="Direct Entry"/>
    <s v="1"/>
    <s v="Vacuum Truck"/>
    <s v="Vacuum Truck"/>
    <s v=""/>
    <d v="2025-10-10T13:00:14"/>
    <d v="2025-10-08T14:30:00"/>
    <d v="2025-10-08T17:30:00"/>
    <d v="1899-12-30T03:00:00"/>
    <s v="HANGAR 7401H"/>
    <s v=""/>
    <s v=""/>
    <s v="PRODUCED WATER"/>
    <s v=""/>
    <s v=""/>
    <s v=""/>
    <s v=""/>
    <n v="10"/>
    <n v="7"/>
    <n v="6"/>
    <n v="5"/>
    <s v=""/>
    <s v=""/>
    <s v=""/>
    <s v=""/>
    <s v=""/>
    <s v=""/>
    <s v=""/>
    <s v=""/>
    <s v=""/>
    <n v="120"/>
    <s v="bbl"/>
    <s v=""/>
    <s v=""/>
    <s v=""/>
    <s v=""/>
    <s v="8300105900"/>
    <s v="HANGAR BATTERY"/>
    <s v="Upstream"/>
    <s v="1046"/>
    <s v=""/>
    <s v=""/>
    <s v=""/>
    <s v=""/>
    <s v=""/>
    <s v=""/>
    <s v="Hours Worked"/>
    <n v="3"/>
    <s v="hour"/>
    <n v="88"/>
    <s v=""/>
    <n v="264"/>
    <s v="--multiple--"/>
    <s v="712959"/>
    <d v="2025-10-10T16:05:10"/>
    <s v=""/>
    <s v=""/>
    <s v=""/>
    <s v=""/>
  </r>
  <r>
    <s v="10048"/>
    <s v="Backhoes Plus, LLC"/>
    <x v="10"/>
    <s v="Callen Elliott"/>
    <s v="Marco Rodriguez"/>
    <s v="MAGNETO C 1025HL_x000a_PARAFFIN CUTTING_x000a_MARCO RODRIGUEZ_x000a_JACK LAU"/>
    <s v="5051031"/>
    <s v="Upstream"/>
    <s v=""/>
    <s v="USD"/>
    <n v="628"/>
    <s v="Direct Entry"/>
    <s v="1"/>
    <s v="Slickline Truck"/>
    <s v="Slickline Truck"/>
    <s v="Slickline Truck Diamondback"/>
    <d v="2025-10-06T11:30:05"/>
    <d v="2025-10-03T07:00:00"/>
    <d v="2025-10-03T10:00:00"/>
    <s v=""/>
    <s v="MAGNETO C 1025HL"/>
    <s v=""/>
    <s v=""/>
    <s v=""/>
    <s v=""/>
    <s v=""/>
    <s v=""/>
    <s v=""/>
    <s v=""/>
    <s v=""/>
    <s v=""/>
    <s v=""/>
    <s v=""/>
    <s v=""/>
    <s v=""/>
    <s v=""/>
    <s v=""/>
    <s v=""/>
    <s v=""/>
    <s v=""/>
    <s v=""/>
    <s v=""/>
    <s v=""/>
    <s v="Equipment"/>
    <s v=""/>
    <s v=""/>
    <s v=""/>
    <s v="1001732100"/>
    <s v="MAGNETO C 1025HL"/>
    <s v="Upstream"/>
    <s v="1046"/>
    <s v=""/>
    <s v=""/>
    <s v=""/>
    <s v=""/>
    <s v=""/>
    <s v=""/>
    <s v=""/>
    <n v="3"/>
    <s v="HR"/>
    <n v="145"/>
    <s v=""/>
    <n v="435"/>
    <s v=""/>
    <s v="713700"/>
    <d v="2025-10-06T11:37:24"/>
    <s v=""/>
    <s v=""/>
    <s v=""/>
    <s v=""/>
  </r>
  <r>
    <s v="65046"/>
    <s v="Valdez Oil Services, L.L.C."/>
    <x v="9"/>
    <s v="Kenneth Hodges"/>
    <s v="Marco Rodriguez"/>
    <s v="Hauled 120 bbl. of PW from ROGERS 35 to OWENS SWD."/>
    <s v="5051054"/>
    <s v="Upstream"/>
    <s v=""/>
    <s v="USD"/>
    <n v="310"/>
    <s v="Direct Entry"/>
    <s v="1"/>
    <s v="Vacuum Truck"/>
    <s v="Vacuum Truck"/>
    <s v=""/>
    <d v="2025-10-10T13:07:20"/>
    <d v="2025-10-08T17:30:00"/>
    <d v="2025-10-08T20:00:00"/>
    <d v="1899-12-30T02:30:00"/>
    <s v="ROGERS 35"/>
    <s v=""/>
    <s v=""/>
    <s v="PRODUCED WATER"/>
    <s v=""/>
    <s v=""/>
    <s v=""/>
    <s v=""/>
    <n v="7"/>
    <n v="9"/>
    <n v="6"/>
    <s v=""/>
    <s v=""/>
    <s v=""/>
    <s v=""/>
    <s v=""/>
    <s v=""/>
    <s v=""/>
    <s v=""/>
    <s v=""/>
    <s v=""/>
    <n v="120"/>
    <s v="bbl"/>
    <s v=""/>
    <s v=""/>
    <s v=""/>
    <s v=""/>
    <s v="8000323400"/>
    <s v="ROGERS 35 BATTERY"/>
    <s v="Upstream"/>
    <s v="1046"/>
    <s v=""/>
    <s v=""/>
    <s v=""/>
    <s v=""/>
    <s v=""/>
    <s v=""/>
    <s v="Hours Worked"/>
    <n v="2.5"/>
    <s v="hour"/>
    <n v="88"/>
    <s v=""/>
    <n v="220"/>
    <s v="--multiple--"/>
    <s v="712959"/>
    <d v="2025-10-10T13:10:07"/>
    <s v=""/>
    <s v=""/>
    <s v=""/>
    <s v=""/>
  </r>
  <r>
    <s v="10049"/>
    <s v="Backhoes Plus, LLC"/>
    <x v="10"/>
    <s v="Callen Elliott"/>
    <s v="Marco Rodriguez"/>
    <s v="MAGNETO E 1024HL_x000a_PARAFFIN CUTTING_x000a_MARCO RODRIGUEZ_x000a_JACK LAU"/>
    <s v="5051031"/>
    <s v="Upstream"/>
    <s v=""/>
    <s v="USD"/>
    <n v="438"/>
    <s v="Direct Entry"/>
    <s v="1"/>
    <s v="Slickline Truck"/>
    <s v="Slickline Truck"/>
    <s v="Slickline Truck Diamondback"/>
    <d v="2025-10-06T12:25:02"/>
    <d v="2025-10-03T10:00:00"/>
    <d v="2025-10-03T12:00:00"/>
    <s v=""/>
    <s v="MAGNETO E 1024HL"/>
    <s v=""/>
    <s v=""/>
    <s v=""/>
    <s v=""/>
    <s v=""/>
    <s v=""/>
    <s v=""/>
    <s v=""/>
    <s v=""/>
    <s v=""/>
    <s v=""/>
    <s v=""/>
    <s v=""/>
    <s v=""/>
    <s v=""/>
    <s v=""/>
    <s v=""/>
    <s v=""/>
    <s v=""/>
    <s v=""/>
    <s v=""/>
    <s v=""/>
    <s v="Equipment"/>
    <s v=""/>
    <s v=""/>
    <s v=""/>
    <s v="1001732300"/>
    <s v="MAGNETO E 1024HL"/>
    <s v="Upstream"/>
    <s v="1046"/>
    <s v=""/>
    <s v=""/>
    <s v=""/>
    <s v=""/>
    <s v=""/>
    <s v=""/>
    <s v=""/>
    <n v="2"/>
    <s v="HR"/>
    <n v="145"/>
    <s v=""/>
    <n v="290"/>
    <s v=""/>
    <s v="713700"/>
    <d v="2025-10-06T12:28:05"/>
    <s v=""/>
    <s v=""/>
    <s v=""/>
    <s v=""/>
  </r>
  <r>
    <s v="10054"/>
    <s v="Backhoes Plus, LLC"/>
    <x v="10"/>
    <s v="Callen Elliott"/>
    <s v="Marco Rodriguez"/>
    <s v="SKELETOR C 5324HL_x000a_PARAFFIN CUTTING_x000a_MARCO RODRIGUEZ_x000a_JACK LAU"/>
    <s v="5051031"/>
    <s v="Upstream"/>
    <s v=""/>
    <s v="USD"/>
    <n v="533"/>
    <s v="Direct Entry"/>
    <s v="1"/>
    <s v="Slickline Truck"/>
    <s v="Slickline Truck"/>
    <s v="Slickline Truck Diamondback"/>
    <d v="2025-10-07T12:44:33"/>
    <d v="2025-10-06T14:00:00"/>
    <d v="2025-10-06T16:30:00"/>
    <s v=""/>
    <s v="SKELETOR C 5324HL"/>
    <s v=""/>
    <s v=""/>
    <s v=""/>
    <s v=""/>
    <s v=""/>
    <s v=""/>
    <s v=""/>
    <s v=""/>
    <s v=""/>
    <s v=""/>
    <s v=""/>
    <s v=""/>
    <s v=""/>
    <s v=""/>
    <s v=""/>
    <s v=""/>
    <s v=""/>
    <s v=""/>
    <s v=""/>
    <s v=""/>
    <s v=""/>
    <s v=""/>
    <s v="Equipment"/>
    <s v=""/>
    <s v=""/>
    <s v=""/>
    <s v="1001717000"/>
    <s v="SKELETOR C 5324HL"/>
    <s v="Upstream"/>
    <s v="1046"/>
    <s v=""/>
    <s v=""/>
    <s v=""/>
    <s v=""/>
    <s v=""/>
    <s v=""/>
    <s v=""/>
    <n v="2.5"/>
    <s v="HR"/>
    <n v="145"/>
    <s v=""/>
    <n v="362.5"/>
    <s v=""/>
    <s v="713700"/>
    <d v="2025-10-07T12:47:28"/>
    <s v=""/>
    <s v=""/>
    <s v=""/>
    <s v=""/>
  </r>
  <r>
    <s v="10056"/>
    <s v="Backhoes Plus, LLC"/>
    <x v="10"/>
    <s v="Callen Elliott"/>
    <s v="Marco Rodriguez"/>
    <s v="SKELETOR D 5313HU_x000a_PARAFFIN CUTTING_x000a_MARCO RODRIGUEZ_x000a_JACK LAU"/>
    <s v="5051031"/>
    <s v="Upstream"/>
    <s v=""/>
    <s v="USD"/>
    <n v="628"/>
    <s v="Direct Entry"/>
    <s v="1"/>
    <s v="Slickline Truck"/>
    <s v="Slickline Truck"/>
    <s v="Slickline Truck Diamondback"/>
    <d v="2025-10-07T12:48:35"/>
    <d v="2025-10-06T16:30:00"/>
    <d v="2025-10-06T19:30:00"/>
    <s v=""/>
    <s v="SKELETOR D 5313HU"/>
    <s v=""/>
    <s v=""/>
    <s v=""/>
    <s v=""/>
    <s v=""/>
    <s v=""/>
    <s v=""/>
    <s v=""/>
    <s v=""/>
    <s v=""/>
    <s v=""/>
    <s v=""/>
    <s v=""/>
    <s v=""/>
    <s v=""/>
    <s v=""/>
    <s v=""/>
    <s v=""/>
    <s v=""/>
    <s v=""/>
    <s v=""/>
    <s v=""/>
    <s v="Equipment"/>
    <s v=""/>
    <s v=""/>
    <s v=""/>
    <s v="1001723600"/>
    <s v="SKELETOR D 5313HU"/>
    <s v="Upstream"/>
    <s v="1046"/>
    <s v=""/>
    <s v=""/>
    <s v=""/>
    <s v=""/>
    <s v=""/>
    <s v=""/>
    <s v=""/>
    <n v="3"/>
    <s v="HR"/>
    <n v="145"/>
    <s v=""/>
    <n v="435"/>
    <s v=""/>
    <s v="713700"/>
    <d v="2025-10-07T12:50:05"/>
    <s v=""/>
    <s v=""/>
    <s v=""/>
    <s v=""/>
  </r>
  <r>
    <s v="10062"/>
    <s v="Backhoes Plus, LLC"/>
    <x v="10"/>
    <s v="Callen Elliott"/>
    <s v="Marco Rodriguez"/>
    <s v="DRAGO G 0802HA_x000a_PARAFFIN CUTTING_x000a_MARCO RODRIGUEZ_x000a_JACK LAU"/>
    <s v="5051031"/>
    <s v="Upstream"/>
    <s v=""/>
    <s v="USD"/>
    <n v="628"/>
    <s v="Direct Entry"/>
    <s v="1"/>
    <s v="Slickline Truck"/>
    <s v="Slickline Truck"/>
    <s v="Slickline Truck Diamondback"/>
    <d v="2025-10-09T14:48:46"/>
    <d v="2025-10-08T10:00:00"/>
    <d v="2025-10-08T13:00:00"/>
    <s v=""/>
    <s v="DRAGO G 0802HA"/>
    <s v=""/>
    <s v=""/>
    <s v=""/>
    <s v=""/>
    <s v=""/>
    <s v=""/>
    <s v=""/>
    <s v=""/>
    <s v=""/>
    <s v=""/>
    <s v=""/>
    <s v=""/>
    <s v=""/>
    <s v=""/>
    <s v=""/>
    <s v=""/>
    <s v=""/>
    <s v=""/>
    <s v=""/>
    <s v=""/>
    <s v=""/>
    <s v=""/>
    <s v="Equipment"/>
    <s v=""/>
    <s v=""/>
    <s v=""/>
    <s v="1001730700"/>
    <s v="DRAGO G 0802HA"/>
    <s v="Upstream"/>
    <s v="1046"/>
    <s v=""/>
    <s v=""/>
    <s v=""/>
    <s v=""/>
    <s v=""/>
    <s v=""/>
    <s v=""/>
    <n v="3"/>
    <s v="HR"/>
    <n v="145"/>
    <s v=""/>
    <n v="435"/>
    <s v=""/>
    <s v="713700"/>
    <d v="2025-10-09T14:50:40"/>
    <s v=""/>
    <s v=""/>
    <s v=""/>
    <s v=""/>
  </r>
  <r>
    <s v="10063"/>
    <s v="Backhoes Plus, LLC"/>
    <x v="10"/>
    <s v="Callen Elliott"/>
    <s v="Marco Rodriguez"/>
    <s v="DRAGO H 0811HU_x000a_PARAFFIN CUTTING_x000a_MARCO RODRIGUEZ_x000a_JACK LAU"/>
    <s v="5051031"/>
    <s v="Upstream"/>
    <s v=""/>
    <s v="USD"/>
    <n v="438"/>
    <s v="Direct Entry"/>
    <s v="1"/>
    <s v="Slickline Truck"/>
    <s v="Slickline Truck"/>
    <s v="Slickline Truck Diamondback"/>
    <d v="2025-10-09T14:52:00"/>
    <d v="2025-10-08T13:00:00"/>
    <d v="2025-10-08T15:00:00"/>
    <s v=""/>
    <s v="DRAGO H 0811HU"/>
    <s v=""/>
    <s v=""/>
    <s v=""/>
    <s v=""/>
    <s v=""/>
    <s v=""/>
    <s v=""/>
    <s v=""/>
    <s v=""/>
    <s v=""/>
    <s v=""/>
    <s v=""/>
    <s v=""/>
    <s v=""/>
    <s v=""/>
    <s v=""/>
    <s v=""/>
    <s v=""/>
    <s v=""/>
    <s v=""/>
    <s v=""/>
    <s v=""/>
    <s v="Equipment"/>
    <s v=""/>
    <s v=""/>
    <s v=""/>
    <s v="1001720200"/>
    <s v="DRAGO H 0811HU"/>
    <s v="Upstream"/>
    <s v="1046"/>
    <s v=""/>
    <s v=""/>
    <s v=""/>
    <s v=""/>
    <s v=""/>
    <s v=""/>
    <s v=""/>
    <n v="2"/>
    <s v="HR"/>
    <n v="145"/>
    <s v=""/>
    <n v="290"/>
    <s v=""/>
    <s v="713700"/>
    <d v="2025-10-09T14:53:43"/>
    <s v=""/>
    <s v=""/>
    <s v=""/>
    <s v=""/>
  </r>
  <r>
    <s v="10064"/>
    <s v="Backhoes Plus, LLC"/>
    <x v="10"/>
    <s v="Callen Elliott"/>
    <s v="Marco Rodriguez"/>
    <s v="DRAGO I 0801HA_x000a_PARAFFIN CUTTING_x000a_MARCO RODRIGUEZ_x000a_JACK LAU"/>
    <s v="5051031"/>
    <s v="Upstream"/>
    <s v=""/>
    <s v="USD"/>
    <n v="628"/>
    <s v="Direct Entry"/>
    <s v="1"/>
    <s v="Slickline Truck"/>
    <s v="Slickline Truck"/>
    <s v="Slickline Truck Diamondback"/>
    <d v="2025-10-09T14:55:01"/>
    <d v="2025-10-08T15:00:00"/>
    <d v="2025-10-08T18:00:00"/>
    <s v=""/>
    <s v="DRAGO I 0801HA"/>
    <s v=""/>
    <s v=""/>
    <s v=""/>
    <s v=""/>
    <s v=""/>
    <s v=""/>
    <s v=""/>
    <s v=""/>
    <s v=""/>
    <s v=""/>
    <s v=""/>
    <s v=""/>
    <s v=""/>
    <s v=""/>
    <s v=""/>
    <s v=""/>
    <s v=""/>
    <s v=""/>
    <s v=""/>
    <s v=""/>
    <s v=""/>
    <s v=""/>
    <s v="Equipment"/>
    <s v=""/>
    <s v=""/>
    <s v=""/>
    <s v="1001715400"/>
    <s v="DRAGO I 0801HA"/>
    <s v="Upstream"/>
    <s v="1046"/>
    <s v=""/>
    <s v=""/>
    <s v=""/>
    <s v=""/>
    <s v=""/>
    <s v=""/>
    <s v=""/>
    <n v="3"/>
    <s v="HR"/>
    <n v="145"/>
    <s v=""/>
    <n v="435"/>
    <s v=""/>
    <s v="713700"/>
    <d v="2025-10-09T16:25:54"/>
    <s v=""/>
    <s v=""/>
    <s v=""/>
    <s v=""/>
  </r>
  <r>
    <s v="10065"/>
    <s v="Backhoes Plus, LLC"/>
    <x v="10"/>
    <s v="Callen Elliott"/>
    <s v="Marco Rodriguez"/>
    <s v="BRUCE C 4912HU_x000a_PARAFFIN CUTTING_x000a_MARCO RODRIGUEZ_x000a_JACK LAU"/>
    <s v="5051031"/>
    <s v="Upstream"/>
    <s v=""/>
    <s v="USD"/>
    <n v="628"/>
    <s v="Direct Entry"/>
    <s v="1"/>
    <s v="Slickline Truck"/>
    <s v="Slickline Truck"/>
    <s v="Slickline Truck Diamondback"/>
    <d v="2025-10-10T12:38:51"/>
    <d v="2025-10-09T07:00:00"/>
    <d v="2025-10-09T10:00:00"/>
    <s v=""/>
    <s v="BRUCE C 4912HU"/>
    <s v=""/>
    <s v=""/>
    <s v=""/>
    <s v=""/>
    <s v=""/>
    <s v=""/>
    <s v=""/>
    <s v=""/>
    <s v=""/>
    <s v=""/>
    <s v=""/>
    <s v=""/>
    <s v=""/>
    <s v=""/>
    <s v=""/>
    <s v=""/>
    <s v=""/>
    <s v=""/>
    <s v=""/>
    <s v=""/>
    <s v=""/>
    <s v=""/>
    <s v="Equipment"/>
    <s v=""/>
    <s v=""/>
    <s v=""/>
    <s v="1001734500"/>
    <s v="BRUCE C 4912HU"/>
    <s v="Upstream"/>
    <s v="1046"/>
    <s v=""/>
    <s v=""/>
    <s v=""/>
    <s v=""/>
    <s v=""/>
    <s v=""/>
    <s v=""/>
    <n v="3"/>
    <s v="HR"/>
    <n v="145"/>
    <s v=""/>
    <n v="435"/>
    <s v=""/>
    <s v="713700"/>
    <d v="2025-10-10T12:41:02"/>
    <s v=""/>
    <s v=""/>
    <s v=""/>
    <s v=""/>
  </r>
  <r>
    <s v="10066"/>
    <s v="Backhoes Plus, LLC"/>
    <x v="10"/>
    <s v="Callen Elliott"/>
    <s v="Marco Rodriguez"/>
    <s v="BRUCE D 4901HA_x000a_PARAFFIN CUTTING_x000a_MARCO RODRIGUEZ_x000a_JACK LAU"/>
    <s v="5051031"/>
    <s v="Upstream"/>
    <s v=""/>
    <s v="USD"/>
    <n v="438"/>
    <s v="Direct Entry"/>
    <s v="1"/>
    <s v="Slickline Truck"/>
    <s v="Slickline Truck"/>
    <s v="Slickline Truck Diamondback"/>
    <d v="2025-10-10T12:42:40"/>
    <d v="2025-10-09T10:00:00"/>
    <d v="2025-10-09T12:00:00"/>
    <s v=""/>
    <s v="BRUCE D 4901HA"/>
    <s v=""/>
    <s v=""/>
    <s v=""/>
    <s v=""/>
    <s v=""/>
    <s v=""/>
    <s v=""/>
    <s v=""/>
    <s v=""/>
    <s v=""/>
    <s v=""/>
    <s v=""/>
    <s v=""/>
    <s v=""/>
    <s v=""/>
    <s v=""/>
    <s v=""/>
    <s v=""/>
    <s v=""/>
    <s v=""/>
    <s v=""/>
    <s v=""/>
    <s v="Equipment"/>
    <s v=""/>
    <s v=""/>
    <s v=""/>
    <s v="1001734700"/>
    <s v="BRUCE D 4901HA"/>
    <s v="Upstream"/>
    <s v="1046"/>
    <s v=""/>
    <s v=""/>
    <s v=""/>
    <s v=""/>
    <s v=""/>
    <s v=""/>
    <s v=""/>
    <n v="2"/>
    <s v="HR"/>
    <n v="145"/>
    <s v=""/>
    <n v="290"/>
    <s v=""/>
    <s v="713700"/>
    <d v="2025-10-10T12:45:34"/>
    <s v=""/>
    <s v=""/>
    <s v=""/>
    <s v=""/>
  </r>
  <r>
    <s v="10067"/>
    <s v="Backhoes Plus, LLC"/>
    <x v="10"/>
    <s v="Callen Elliott"/>
    <s v="Marco Rodriguez"/>
    <s v="BRUCE D 4921HL_x000a_PARAFFIN CUTTING_x000a_MARCO RODRIGUEZ_x000a_JACK LAU"/>
    <s v="5051031"/>
    <s v="Upstream"/>
    <s v=""/>
    <s v="USD"/>
    <n v="438"/>
    <s v="Direct Entry"/>
    <s v="1"/>
    <s v="Slickline Truck"/>
    <s v="Slickline Truck"/>
    <s v="Slickline Truck Diamondback"/>
    <d v="2025-10-10T12:46:59"/>
    <d v="2025-10-09T12:00:00"/>
    <d v="2025-10-09T14:00:00"/>
    <s v=""/>
    <s v="BRUCE D 4921HL"/>
    <s v=""/>
    <s v=""/>
    <s v=""/>
    <s v=""/>
    <s v=""/>
    <s v=""/>
    <s v=""/>
    <s v=""/>
    <s v=""/>
    <s v=""/>
    <s v=""/>
    <s v=""/>
    <s v=""/>
    <s v=""/>
    <s v=""/>
    <s v=""/>
    <s v=""/>
    <s v=""/>
    <s v=""/>
    <s v=""/>
    <s v=""/>
    <s v=""/>
    <s v="Equipment"/>
    <s v=""/>
    <s v=""/>
    <s v=""/>
    <s v="1001734300"/>
    <s v="BRUCE D 4921HL"/>
    <s v="Upstream"/>
    <s v="1046"/>
    <s v=""/>
    <s v=""/>
    <s v=""/>
    <s v=""/>
    <s v=""/>
    <s v=""/>
    <s v=""/>
    <n v="2"/>
    <s v="HR"/>
    <n v="145"/>
    <s v=""/>
    <n v="290"/>
    <s v=""/>
    <s v="713700"/>
    <d v="2025-10-10T12:48:46"/>
    <s v=""/>
    <s v=""/>
    <s v=""/>
    <s v=""/>
  </r>
  <r>
    <s v="10216"/>
    <s v="Backhoes Plus, LLC"/>
    <x v="10"/>
    <s v="Callen Elliott"/>
    <s v="Marco Rodriguez"/>
    <s v="BRUCE A 4913HU_x000a_PARAFFIN CUTTING_x000a_MARCO RODRIGUEZ_x000a_JACK LAU"/>
    <s v="5051031"/>
    <s v="Upstream"/>
    <s v=""/>
    <s v="USD"/>
    <n v="570"/>
    <s v="Direct Entry"/>
    <s v="1"/>
    <s v="Slickline Truck"/>
    <s v="Slickline Truck"/>
    <s v="Slickline Truck Diamondback"/>
    <d v="2025-10-10T12:55:53"/>
    <d v="2025-10-09T13:30:00"/>
    <d v="2025-10-09T16:30:00"/>
    <s v=""/>
    <s v="BRUCE A 4913HU"/>
    <s v=""/>
    <s v=""/>
    <s v=""/>
    <s v=""/>
    <s v=""/>
    <s v=""/>
    <s v=""/>
    <s v=""/>
    <s v=""/>
    <s v=""/>
    <s v=""/>
    <s v=""/>
    <s v=""/>
    <s v=""/>
    <s v=""/>
    <s v=""/>
    <s v=""/>
    <s v=""/>
    <s v=""/>
    <s v=""/>
    <s v=""/>
    <s v=""/>
    <s v="Equipment"/>
    <s v=""/>
    <s v=""/>
    <s v=""/>
    <s v="1001734400"/>
    <s v="BRUCE A 4913HU"/>
    <s v="Upstream"/>
    <s v="1046"/>
    <s v=""/>
    <s v=""/>
    <s v=""/>
    <s v=""/>
    <s v=""/>
    <s v=""/>
    <s v=""/>
    <n v="3"/>
    <s v="HR"/>
    <n v="145"/>
    <s v=""/>
    <n v="435"/>
    <s v=""/>
    <s v="713700"/>
    <d v="2025-10-10T12:58:23"/>
    <s v=""/>
    <s v=""/>
    <s v=""/>
    <s v=""/>
  </r>
  <r>
    <s v="10068"/>
    <s v="Backhoes Plus, LLC"/>
    <x v="10"/>
    <s v="Callen Elliott"/>
    <s v="Marco Rodriguez"/>
    <s v="BRUCE E 4911HU_x000a_PARAFFIN CUTTING_x000a_MARCO RODRIGUEZ_x000a_JACK LAU"/>
    <s v="5051031"/>
    <s v="Upstream"/>
    <s v=""/>
    <s v="USD"/>
    <n v="628"/>
    <s v="Direct Entry"/>
    <s v="1"/>
    <s v="Slickline Truck"/>
    <s v="Slickline Truck"/>
    <s v="Slickline Truck Diamondback"/>
    <d v="2025-10-10T12:50:12"/>
    <d v="2025-10-09T14:00:00"/>
    <d v="2025-10-09T17:00:00"/>
    <s v=""/>
    <s v="BRUCE E 4911HU"/>
    <s v=""/>
    <s v=""/>
    <s v=""/>
    <s v=""/>
    <s v=""/>
    <s v=""/>
    <s v=""/>
    <s v=""/>
    <s v=""/>
    <s v=""/>
    <s v=""/>
    <s v=""/>
    <s v=""/>
    <s v=""/>
    <s v=""/>
    <s v=""/>
    <s v=""/>
    <s v=""/>
    <s v=""/>
    <s v=""/>
    <s v=""/>
    <s v=""/>
    <s v="Equipment"/>
    <s v=""/>
    <s v=""/>
    <s v=""/>
    <s v="1001734200"/>
    <s v="BRUCE E 4911HU"/>
    <s v="Upstream"/>
    <s v="1046"/>
    <s v=""/>
    <s v=""/>
    <s v=""/>
    <s v=""/>
    <s v=""/>
    <s v=""/>
    <s v=""/>
    <n v="3"/>
    <s v="HR"/>
    <n v="145"/>
    <s v=""/>
    <n v="435"/>
    <s v=""/>
    <s v="713700"/>
    <d v="2025-10-10T12:52:31"/>
    <s v=""/>
    <s v=""/>
    <s v=""/>
    <s v=""/>
  </r>
  <r>
    <s v="10146"/>
    <s v="Backhoes Plus, LLC"/>
    <x v="10"/>
    <s v="Callen Elliott"/>
    <s v="Marco Rodriguez"/>
    <s v="DRAGO A 4925HL_x000a_PARAFFIN CUTTING_x000a_MARCO RODRIGUEZ _x000a_JACK LAU_x000a_EMAILED GPS TEAM 10/13/2025 DUE TO GPS BEING DOWN 10/10/2025"/>
    <s v="5051031"/>
    <s v="Upstream"/>
    <s v=""/>
    <s v="USD"/>
    <n v="628"/>
    <s v="Direct Entry"/>
    <s v="1"/>
    <s v="Slickline Truck"/>
    <s v="Slickline Truck"/>
    <s v="Slickline Truck Diamondback"/>
    <d v="2025-10-13T14:10:33"/>
    <d v="2025-10-10T07:00:00"/>
    <d v="2025-10-10T10:00:00"/>
    <s v=""/>
    <s v="DRAGO A 4925HL"/>
    <s v=""/>
    <s v=""/>
    <s v=""/>
    <s v=""/>
    <s v=""/>
    <s v=""/>
    <s v=""/>
    <s v=""/>
    <s v=""/>
    <s v=""/>
    <s v=""/>
    <s v=""/>
    <s v=""/>
    <s v=""/>
    <s v=""/>
    <s v=""/>
    <s v=""/>
    <s v=""/>
    <s v=""/>
    <s v=""/>
    <s v=""/>
    <s v=""/>
    <s v="Equipment"/>
    <s v=""/>
    <s v=""/>
    <s v=""/>
    <s v="1001719300"/>
    <s v="DRAGO A 4925HL"/>
    <s v="Upstream"/>
    <s v="1046"/>
    <s v=""/>
    <s v=""/>
    <s v=""/>
    <s v=""/>
    <s v=""/>
    <s v=""/>
    <s v=""/>
    <n v="3"/>
    <s v="HR"/>
    <n v="145"/>
    <s v=""/>
    <n v="435"/>
    <s v=""/>
    <s v="713700"/>
    <d v="2025-10-13T14:20:31"/>
    <s v=""/>
    <s v=""/>
    <s v=""/>
    <s v=""/>
  </r>
  <r>
    <s v="10217"/>
    <s v="Backhoes Plus, LLC"/>
    <x v="10"/>
    <s v="Callen Elliott"/>
    <s v="Marco Rodriguez"/>
    <s v="BRUCE B 4902HA_x000a_PARAFFIN CUTTING_x000a_MARCO RODRIGUEZ_x000a_JACK LAU"/>
    <s v="5051031"/>
    <s v="Upstream"/>
    <s v=""/>
    <s v="USD"/>
    <n v="570"/>
    <s v="Direct Entry"/>
    <s v="1"/>
    <s v="Slickline Truck"/>
    <s v="Slickline Truck"/>
    <s v="Slickline Truck Diamondback"/>
    <d v="2025-10-13T14:48:14"/>
    <d v="2025-10-10T07:00:00"/>
    <d v="2025-10-10T10:00:00"/>
    <s v=""/>
    <s v="BRUCE B 4902HA"/>
    <s v=""/>
    <s v=""/>
    <s v=""/>
    <s v=""/>
    <s v=""/>
    <s v=""/>
    <s v=""/>
    <s v=""/>
    <s v=""/>
    <s v=""/>
    <s v=""/>
    <s v=""/>
    <s v=""/>
    <s v=""/>
    <s v=""/>
    <s v=""/>
    <s v=""/>
    <s v=""/>
    <s v=""/>
    <s v=""/>
    <s v=""/>
    <s v=""/>
    <s v="Equipment"/>
    <s v=""/>
    <s v=""/>
    <s v=""/>
    <s v="1001734800"/>
    <s v="BRUCE B 4902HA"/>
    <s v="Upstream"/>
    <s v="1046"/>
    <s v=""/>
    <s v=""/>
    <s v=""/>
    <s v=""/>
    <s v=""/>
    <s v=""/>
    <s v=""/>
    <n v="3"/>
    <s v="HR"/>
    <n v="145"/>
    <s v=""/>
    <n v="435"/>
    <s v=""/>
    <s v="713700"/>
    <d v="2025-10-13T15:01:36"/>
    <s v=""/>
    <s v=""/>
    <s v=""/>
    <s v=""/>
  </r>
  <r>
    <s v="10147"/>
    <s v="Backhoes Plus, LLC"/>
    <x v="10"/>
    <s v="Callen Elliott"/>
    <s v="Marco Rodriguez"/>
    <s v="DRAGO A 4905HA_x000a_PARAFFIN CUTTING_x000a_MARCO RODRIGUEZ_x000a_JACK LAU_x000a_EMAILED GPS TEAM 10/13/2025 DUE TO GPS BEING DOWN 10/10/2025"/>
    <s v="5051031"/>
    <s v="Upstream"/>
    <s v=""/>
    <s v="USD"/>
    <n v="438"/>
    <s v="Direct Entry"/>
    <s v="1"/>
    <s v="Slickline Truck"/>
    <s v="Slickline Truck"/>
    <s v="Slickline Truck Diamondback"/>
    <d v="2025-10-13T14:24:00"/>
    <d v="2025-10-10T10:00:00"/>
    <d v="2025-10-10T12:00:00"/>
    <s v=""/>
    <s v="DRAGO A 4905HA"/>
    <s v=""/>
    <s v=""/>
    <s v=""/>
    <s v=""/>
    <s v=""/>
    <s v=""/>
    <s v=""/>
    <s v=""/>
    <s v=""/>
    <s v=""/>
    <s v=""/>
    <s v=""/>
    <s v=""/>
    <s v=""/>
    <s v=""/>
    <s v=""/>
    <s v=""/>
    <s v=""/>
    <s v=""/>
    <s v=""/>
    <s v=""/>
    <s v=""/>
    <s v="Equipment"/>
    <s v=""/>
    <s v=""/>
    <s v=""/>
    <s v="1001717800"/>
    <s v="DRAGO A 4905HA"/>
    <s v="Upstream"/>
    <s v="1046"/>
    <s v=""/>
    <s v=""/>
    <s v=""/>
    <s v=""/>
    <s v=""/>
    <s v=""/>
    <s v=""/>
    <n v="2"/>
    <s v="HR"/>
    <n v="145"/>
    <s v=""/>
    <n v="290"/>
    <s v=""/>
    <s v="713700"/>
    <d v="2025-10-13T14:32:03"/>
    <s v=""/>
    <s v=""/>
    <s v=""/>
    <s v=""/>
  </r>
  <r>
    <s v="10218"/>
    <s v="Backhoes Plus, LLC"/>
    <x v="10"/>
    <s v="Callen Elliott"/>
    <s v="Marco Rodriguez"/>
    <s v="BRUCE B 4922HL_x000a_PARAFFIN CUTTING_x000a_MARCO RODRIGUEZ_x000a_JACK LAU"/>
    <s v="5051031"/>
    <s v="Upstream"/>
    <s v=""/>
    <s v="USD"/>
    <n v="380"/>
    <s v="Direct Entry"/>
    <s v="1"/>
    <s v="Slickline Truck"/>
    <s v="Slickline Truck"/>
    <s v="Slickline Truck Diamondback"/>
    <d v="2025-10-13T15:00:11"/>
    <d v="2025-10-10T10:00:00"/>
    <d v="2025-10-10T12:00:00"/>
    <s v=""/>
    <s v="BRUCE B 4922HL"/>
    <s v=""/>
    <s v=""/>
    <s v=""/>
    <s v=""/>
    <s v=""/>
    <s v=""/>
    <s v=""/>
    <s v=""/>
    <s v=""/>
    <s v=""/>
    <s v=""/>
    <s v=""/>
    <s v=""/>
    <s v=""/>
    <s v=""/>
    <s v=""/>
    <s v=""/>
    <s v=""/>
    <s v=""/>
    <s v=""/>
    <s v=""/>
    <s v=""/>
    <s v="Equipment"/>
    <s v=""/>
    <s v=""/>
    <s v=""/>
    <s v="1001734600"/>
    <s v="BRUCE B 4922HL"/>
    <s v="Upstream"/>
    <s v="1046"/>
    <s v=""/>
    <s v=""/>
    <s v=""/>
    <s v=""/>
    <s v=""/>
    <s v=""/>
    <s v=""/>
    <n v="2"/>
    <s v="HR"/>
    <n v="145"/>
    <s v=""/>
    <n v="290"/>
    <s v=""/>
    <s v="713700"/>
    <d v="2025-10-13T15:02:57"/>
    <s v=""/>
    <s v=""/>
    <s v=""/>
    <s v=""/>
  </r>
  <r>
    <s v="10148"/>
    <s v="Backhoes Plus, LLC"/>
    <x v="10"/>
    <s v="Callen Elliott"/>
    <s v="Marco Rodriguez"/>
    <s v="DRAGO B 4914HU_x000a_PARAFFIN CUTTING_x000a_MARCO RODRIGUEZ_x000a_JACK LAU_x000a_EMAILED GPS TEAM 10/13/2025 DUE TO GPS BEING DOWN 10/10/2025"/>
    <s v="5051031"/>
    <s v="Upstream"/>
    <s v=""/>
    <s v="USD"/>
    <n v="438"/>
    <s v="Direct Entry"/>
    <s v="1"/>
    <s v="Slickline Truck"/>
    <s v="Slickline Truck"/>
    <s v="Slickline Truck Diamondback"/>
    <d v="2025-10-13T14:33:11"/>
    <d v="2025-10-10T12:00:00"/>
    <d v="2025-10-10T14:00:00"/>
    <s v=""/>
    <s v="DRAGO B 4914HU"/>
    <s v=""/>
    <s v=""/>
    <s v=""/>
    <s v=""/>
    <s v=""/>
    <s v=""/>
    <s v=""/>
    <s v=""/>
    <s v=""/>
    <s v=""/>
    <s v=""/>
    <s v=""/>
    <s v=""/>
    <s v=""/>
    <s v=""/>
    <s v=""/>
    <s v=""/>
    <s v=""/>
    <s v=""/>
    <s v=""/>
    <s v=""/>
    <s v=""/>
    <s v="Equipment"/>
    <s v=""/>
    <s v=""/>
    <s v=""/>
    <s v="1001718400"/>
    <s v="DRAGO B 4914HU"/>
    <s v="Upstream"/>
    <s v="1046"/>
    <s v=""/>
    <s v=""/>
    <s v=""/>
    <s v=""/>
    <s v=""/>
    <s v=""/>
    <s v=""/>
    <n v="2"/>
    <s v="HR"/>
    <n v="145"/>
    <s v=""/>
    <n v="290"/>
    <s v=""/>
    <s v="713700"/>
    <d v="2025-10-13T14:35:27"/>
    <s v=""/>
    <s v=""/>
    <s v=""/>
    <s v=""/>
  </r>
  <r>
    <s v="10219"/>
    <s v="Backhoes Plus, LLC"/>
    <x v="10"/>
    <s v="Callen Elliott"/>
    <s v="Marco Rodriguez"/>
    <s v="DRAGO D 4913HU_x000a_PARAFFIN CUTTING_x000a_MARCO RODRIGUEZ_x000a_JACK LAU"/>
    <s v="5051031"/>
    <s v="Upstream"/>
    <s v=""/>
    <s v="USD"/>
    <n v="570"/>
    <s v="Direct Entry"/>
    <s v="1"/>
    <s v="Slickline Truck"/>
    <s v="Slickline Truck"/>
    <s v="Slickline Truck Diamondback"/>
    <d v="2025-10-13T15:04:11"/>
    <d v="2025-10-10T12:00:00"/>
    <d v="2025-10-10T15:00:00"/>
    <s v=""/>
    <s v="DRAGO D 4913HU"/>
    <s v=""/>
    <s v=""/>
    <s v=""/>
    <s v=""/>
    <s v=""/>
    <s v=""/>
    <s v=""/>
    <s v=""/>
    <s v=""/>
    <s v=""/>
    <s v=""/>
    <s v=""/>
    <s v=""/>
    <s v=""/>
    <s v=""/>
    <s v=""/>
    <s v=""/>
    <s v=""/>
    <s v=""/>
    <s v=""/>
    <s v=""/>
    <s v=""/>
    <s v="Equipment"/>
    <s v=""/>
    <s v=""/>
    <s v=""/>
    <s v="1001721300"/>
    <s v="DRAGO D 4913HU"/>
    <s v="Upstream"/>
    <s v="1046"/>
    <s v=""/>
    <s v=""/>
    <s v=""/>
    <s v=""/>
    <s v=""/>
    <s v=""/>
    <s v=""/>
    <n v="3"/>
    <s v="HR"/>
    <n v="145"/>
    <s v=""/>
    <n v="435"/>
    <s v=""/>
    <s v="713700"/>
    <d v="2025-10-13T15:06:25"/>
    <s v=""/>
    <s v=""/>
    <s v=""/>
    <s v=""/>
  </r>
  <r>
    <s v="10149"/>
    <s v="Backhoes Plus, LLC"/>
    <x v="10"/>
    <s v="Callen Elliott"/>
    <s v="Marco Rodriguez"/>
    <s v="DRAGO C 4924HL_x000a_PARAFFIN CUTTING_x000a_MARCO RODRIGUEZ_x000a_JACK LAU_x000a_EMAILED GPS TEAM 10/13/2025 DUE TO GPS BEING DOWN 10/10/2025"/>
    <s v="5051031"/>
    <s v="Upstream"/>
    <s v=""/>
    <s v="USD"/>
    <n v="628"/>
    <s v="Direct Entry"/>
    <s v="1"/>
    <s v="Slickline Truck"/>
    <s v="Slickline Truck"/>
    <s v="Slickline Truck Diamondback"/>
    <d v="2025-10-13T14:37:20"/>
    <d v="2025-10-10T14:00:00"/>
    <d v="2025-10-10T17:00:00"/>
    <s v=""/>
    <s v="DRAGO C 4924HL"/>
    <s v=""/>
    <s v=""/>
    <s v=""/>
    <s v=""/>
    <s v=""/>
    <s v=""/>
    <s v=""/>
    <s v=""/>
    <s v=""/>
    <s v=""/>
    <s v=""/>
    <s v=""/>
    <s v=""/>
    <s v=""/>
    <s v=""/>
    <s v=""/>
    <s v=""/>
    <s v=""/>
    <s v=""/>
    <s v=""/>
    <s v=""/>
    <s v=""/>
    <s v="Equipment"/>
    <s v=""/>
    <s v=""/>
    <s v=""/>
    <s v="1001720500"/>
    <s v="DRAGO C 4924HL"/>
    <s v="Upstream"/>
    <s v="1046"/>
    <s v=""/>
    <s v=""/>
    <s v=""/>
    <s v=""/>
    <s v=""/>
    <s v=""/>
    <s v=""/>
    <n v="3"/>
    <s v="HR"/>
    <n v="145"/>
    <s v=""/>
    <n v="435"/>
    <s v=""/>
    <s v="713700"/>
    <d v="2025-10-13T14:38:59"/>
    <s v=""/>
    <s v=""/>
    <s v=""/>
    <s v=""/>
  </r>
  <r>
    <s v="G5829268"/>
    <s v="Premier Energy Services, LLC"/>
    <x v="12"/>
    <s v="Fernando DeHoyos"/>
    <s v="Marco Rodriguez"/>
    <s v="Production-3 man crew, _x000a_WE DROVE TO LOCATION, WE PREPPED TOOLS, WE CONTINUED PICK UP TRASH AND FILLING UP TRASH TRAILER, ONCE TRASH TRAILER WAS FULL WE WERE HEADED TO LANDFILL TO EMPTY OUT, WHEN WE GOT CALL BOUT A LEAK SO WE DROVE TRAILER BACK TO YARD AND DROPPED OFF"/>
    <s v="5051027"/>
    <s v="Upstream"/>
    <s v="167137"/>
    <s v="USD"/>
    <n v="466.25"/>
    <s v="API"/>
    <s v="1"/>
    <s v="Pusher and 2 Hands"/>
    <s v="Production-3 man crew"/>
    <s v=""/>
    <d v="2025-10-01T08:21:32"/>
    <d v="2025-09-29T05:50:00"/>
    <d v="2025-09-29T09:35:00"/>
    <s v=""/>
    <s v="FIVESTONE WEST YARD"/>
    <s v=""/>
    <s v="DANIEL -28- (158) BATTERY"/>
    <s v=""/>
    <s v=""/>
    <s v=""/>
    <s v=""/>
    <s v=""/>
    <s v=""/>
    <s v=""/>
    <s v=""/>
    <s v=""/>
    <s v=""/>
    <s v=""/>
    <s v=""/>
    <s v=""/>
    <s v=""/>
    <s v=""/>
    <s v=""/>
    <s v=""/>
    <s v=""/>
    <s v=""/>
    <s v=""/>
    <s v="Labor"/>
    <s v="RUBIO, JOE"/>
    <s v="118088"/>
    <s v=""/>
    <s v="9000002400"/>
    <s v="SOUTH MIDLAND BASIN"/>
    <s v="Upstream"/>
    <s v="1046"/>
    <s v=""/>
    <s v=""/>
    <s v=""/>
    <s v=""/>
    <s v=""/>
    <s v=""/>
    <s v=""/>
    <n v="3.73"/>
    <s v="HR"/>
    <n v="125"/>
    <s v=""/>
    <n v="466.25"/>
    <s v="--multiple--"/>
    <s v="702081"/>
    <d v="2025-10-02T07:24:47"/>
    <s v=""/>
    <s v=""/>
    <s v=""/>
    <s v=""/>
  </r>
  <r>
    <s v="25092818"/>
    <s v="Lone Star Instrumentation &amp; Electric Corp"/>
    <x v="5"/>
    <s v="Harold Ott"/>
    <s v="Marco Rodriguez"/>
    <s v="WORK DESCRIPTION: Drove to location and set up truck. Began to de energize main disconnect feeding well and set brake on unit to begin installing equipment. Broke loose bolts for rpm and crank brackets and mounted them to unit. Next drilled holes in unit for straps and for j box and mounted all to unit. Next we strung out sensors and pulled tubes through service and installed both sensors and magnets to unit. Once mounted we strapped down both sensors going to j box and pulled in services, mounted support kit to unit and sized and mounted load cell cable. Strapped down service and pulled into j box. Next set pole for poc and mounted poc to pole, drilled and knocked out holes in controller and panel and installed fittings to both, ran all flex and pulled all wires through flex for controls and communications. Began to strip back and terminate j box, panel, and controller, found missing relays in controller so we went to gather material for location and drove back and installed relays and strips to controller. Extended radio pole and mounted pole to controller and plugged in cable. Energized and tested operations and found all kills and controller working correctly, left unit on hand per request and closed up all equipment and cleaned up trash."/>
    <s v="5051049"/>
    <s v="Upstream"/>
    <s v="154423"/>
    <s v="USD"/>
    <n v="2062"/>
    <s v="B2B"/>
    <s v="1"/>
    <s v=""/>
    <s v="TECHNICIAN III"/>
    <s v=""/>
    <d v="2025-09-10T08:53:46"/>
    <d v="2025-08-27T07:00:00"/>
    <d v="2025-08-27T18:00:00"/>
    <s v=""/>
    <s v="NEWMONT A 1"/>
    <s v=""/>
    <s v=""/>
    <s v=""/>
    <s v=""/>
    <s v=""/>
    <s v=""/>
    <s v=""/>
    <s v=""/>
    <s v=""/>
    <s v=""/>
    <s v=""/>
    <s v=""/>
    <s v=""/>
    <s v=""/>
    <s v=""/>
    <s v=""/>
    <s v=""/>
    <s v=""/>
    <s v=""/>
    <s v=""/>
    <s v=""/>
    <s v=""/>
    <s v="Labor"/>
    <s v=""/>
    <s v=""/>
    <s v=""/>
    <s v="1001239700"/>
    <s v="NEWMONT A"/>
    <s v="Upstream"/>
    <s v="1046"/>
    <s v=""/>
    <s v=""/>
    <s v=""/>
    <s v=""/>
    <s v=""/>
    <s v=""/>
    <s v=""/>
    <n v="8"/>
    <s v="HR"/>
    <n v="80"/>
    <s v=""/>
    <n v="640"/>
    <s v="--multiple--"/>
    <s v="708305"/>
    <d v="2025-09-29T07:37:06"/>
    <s v=""/>
    <s v=""/>
    <s v="Requisitioner Error"/>
    <s v=""/>
  </r>
  <r>
    <s v="F07085"/>
    <s v="Warrior Technologies, LLC"/>
    <x v="10"/>
    <s v="Israel De La Cruz"/>
    <s v="Marco Rodriguez"/>
    <s v="ROUSTABOUT WORK -DROVE TO TRP YARD FOR BPV, DROVE TO LOCATION, BROKE OUT OLD BPV FROM GAD SALELINE, BROKE OUT 4&quot; LINES FROM TESTER AND BUILT NEW 4&quot; BELLY DUMP LINE."/>
    <s v="5051049"/>
    <s v="Upstream"/>
    <s v="149846"/>
    <s v="USD"/>
    <n v="810"/>
    <s v="B2B"/>
    <s v="1"/>
    <s v="1400000"/>
    <s v="Roustabout Service Crew w/ Truck - 3 Man Crew"/>
    <s v=""/>
    <d v="2025-09-09T11:31:10"/>
    <d v="2025-09-03T13:00:00"/>
    <d v="2025-09-03T19:00:00"/>
    <s v=""/>
    <s v="HANS GRUBER TB"/>
    <s v=""/>
    <s v=""/>
    <s v=""/>
    <s v=""/>
    <s v=""/>
    <s v=""/>
    <s v=""/>
    <s v=""/>
    <s v=""/>
    <s v=""/>
    <s v=""/>
    <s v=""/>
    <s v=""/>
    <s v=""/>
    <s v=""/>
    <s v=""/>
    <s v=""/>
    <s v=""/>
    <s v=""/>
    <s v=""/>
    <s v=""/>
    <s v=""/>
    <s v="Labor"/>
    <s v=""/>
    <s v=""/>
    <s v=""/>
    <s v="8000316000"/>
    <s v="HANS GRUBER BATTERY"/>
    <s v="Upstream"/>
    <s v="1046"/>
    <s v=""/>
    <s v=""/>
    <s v=""/>
    <s v=""/>
    <s v=""/>
    <s v=""/>
    <s v=""/>
    <n v="6"/>
    <s v="HR"/>
    <n v="135"/>
    <s v=""/>
    <n v="810"/>
    <s v="Pricebook"/>
    <s v="712996"/>
    <d v="2025-10-03T08:31:14"/>
    <s v=""/>
    <s v=""/>
    <s v=""/>
    <s v=""/>
  </r>
  <r>
    <s v="F07087"/>
    <s v="Warrior Technologies, LLC"/>
    <x v="10"/>
    <s v="Israel De La Cruz"/>
    <s v="Marco Rodriguez"/>
    <s v="ROUSTABOUT WORK - DROVE TO SUPPLY STORE FOR PARTS, DROVE TO LOCATION, BUILT 4&quot; WATER LOAD LINE FOR VAC TRUCK."/>
    <s v="5051049"/>
    <s v="Upstream"/>
    <s v="155743"/>
    <s v="USD"/>
    <n v="1080"/>
    <s v="B2B"/>
    <s v="1"/>
    <s v="1400000"/>
    <s v="Roustabout Service Crew w/ Truck - 3 Man Crew"/>
    <s v=""/>
    <d v="2025-09-15T16:13:12"/>
    <d v="2025-09-05T06:00:00"/>
    <d v="2025-09-05T14:00:00"/>
    <s v=""/>
    <s v="HANS GRUBER TB"/>
    <s v=""/>
    <s v=""/>
    <s v=""/>
    <s v=""/>
    <s v=""/>
    <s v=""/>
    <s v=""/>
    <s v=""/>
    <s v=""/>
    <s v=""/>
    <s v=""/>
    <s v=""/>
    <s v=""/>
    <s v=""/>
    <s v=""/>
    <s v=""/>
    <s v=""/>
    <s v=""/>
    <s v=""/>
    <s v=""/>
    <s v=""/>
    <s v=""/>
    <s v="Labor"/>
    <s v=""/>
    <s v=""/>
    <s v=""/>
    <s v="8000316000"/>
    <s v="HANS GRUBER BATTERY"/>
    <s v="Upstream"/>
    <s v="1046"/>
    <s v=""/>
    <s v=""/>
    <s v=""/>
    <s v=""/>
    <s v=""/>
    <s v=""/>
    <s v=""/>
    <n v="8"/>
    <s v="HR"/>
    <n v="135"/>
    <s v=""/>
    <n v="1080"/>
    <s v="Pricebook"/>
    <s v="712996"/>
    <d v="2025-10-03T08:44:53"/>
    <s v=""/>
    <s v=""/>
    <s v=""/>
    <s v=""/>
  </r>
  <r>
    <s v="PRV-82218"/>
    <s v="Roto-Versal Compression Services LLC"/>
    <x v="3"/>
    <s v="Kyle Jordan"/>
    <s v="Britt Gunnels"/>
    <s v="Pressure Relief Valve PM Testing"/>
    <s v="5051052"/>
    <s v="Upstream"/>
    <s v="153557"/>
    <s v="USD"/>
    <n v="304.5"/>
    <s v="Direct Entry"/>
    <s v="1"/>
    <s v="PRV-4WKL4"/>
    <s v="Cable Seals, Aluminum, Red, 12 in Cable Length"/>
    <s v="Part"/>
    <d v="2025-09-30T12:48:51"/>
    <d v="2025-09-25T18:00:00"/>
    <d v="2025-09-25T19:00:00"/>
    <s v=""/>
    <s v="Hubbard 24 1-2 Battery"/>
    <s v=""/>
    <s v=""/>
    <s v=""/>
    <s v=""/>
    <s v=""/>
    <s v=""/>
    <s v=""/>
    <s v=""/>
    <s v=""/>
    <s v=""/>
    <s v=""/>
    <s v=""/>
    <s v=""/>
    <s v=""/>
    <s v=""/>
    <s v=""/>
    <s v=""/>
    <s v=""/>
    <s v=""/>
    <s v=""/>
    <s v=""/>
    <s v=""/>
    <s v="Material"/>
    <s v=""/>
    <s v=""/>
    <s v=""/>
    <s v="8300110700"/>
    <s v="HUBBARD 24 1-2 BATTERY"/>
    <s v="Upstream"/>
    <s v="1046"/>
    <s v=""/>
    <s v=""/>
    <s v=""/>
    <s v=""/>
    <s v=""/>
    <s v=""/>
    <s v=""/>
    <n v="1"/>
    <s v="EA"/>
    <n v="5"/>
    <s v=""/>
    <n v="5"/>
    <s v="--multiple--"/>
    <s v="712955"/>
    <d v="2025-09-30T12:52:38"/>
    <s v=""/>
    <s v=""/>
    <s v=""/>
    <s v=""/>
  </r>
  <r>
    <s v="F05267"/>
    <s v="Warrior Technologies, LLC"/>
    <x v="12"/>
    <s v="Israel De La Cruz"/>
    <s v="Marco Rodriguez"/>
    <s v="ROUSTABOUT WORK - DROVE TO TRP YARD FOR ELBOW, GROOVE CONTAINER, DROVE TO LOCATION, FILLED JSA, REMOVED VIC CLAMPS TO REPLACE ELBOW ON HEADER METER, INSTALLED NEW ELBOW AND CLAMPS, FIXED LEAK AND CHECKED FOR LEAKS."/>
    <s v="5051049"/>
    <s v="Upstream"/>
    <s v="157168"/>
    <s v="USD"/>
    <n v="540"/>
    <s v="B2B"/>
    <s v="1"/>
    <s v="1400000"/>
    <s v="Roustabout Service Crew w/ Truck - 3 Man Crew"/>
    <s v=""/>
    <d v="2025-10-02T13:33:08"/>
    <d v="2025-09-08T06:00:00"/>
    <d v="2025-09-08T10:00:00"/>
    <s v=""/>
    <s v="SKELETOR NORTH TB"/>
    <s v=""/>
    <s v=""/>
    <s v=""/>
    <s v=""/>
    <s v=""/>
    <s v=""/>
    <s v=""/>
    <s v=""/>
    <s v=""/>
    <s v=""/>
    <s v=""/>
    <s v=""/>
    <s v=""/>
    <s v=""/>
    <s v=""/>
    <s v=""/>
    <s v=""/>
    <s v=""/>
    <s v=""/>
    <s v=""/>
    <s v=""/>
    <s v=""/>
    <s v="Labor"/>
    <s v=""/>
    <s v=""/>
    <s v=""/>
    <s v="8000318500"/>
    <s v="SKELETOR NORTH BATTERY"/>
    <s v="Upstream"/>
    <s v="1046"/>
    <s v=""/>
    <s v=""/>
    <s v=""/>
    <s v=""/>
    <s v=""/>
    <s v=""/>
    <s v=""/>
    <n v="4"/>
    <s v="HR"/>
    <n v="135"/>
    <s v=""/>
    <n v="540"/>
    <s v="Pricebook"/>
    <s v="712996"/>
    <d v="2025-10-02T14:23:52"/>
    <s v=""/>
    <s v=""/>
    <s v=""/>
    <s v=""/>
  </r>
  <r>
    <s v="206300"/>
    <s v="Basin Trucking LLC"/>
    <x v="9"/>
    <s v="Israel De La Cruz"/>
    <s v="Marco Rodriguez"/>
    <s v="Vertical 6x20 firetube repair"/>
    <s v="5051049"/>
    <s v="Upstream"/>
    <s v="167239"/>
    <s v="USD"/>
    <n v="8480.84"/>
    <s v="Direct Entry"/>
    <s v="1"/>
    <s v="V620FR"/>
    <s v="Vertical 6x20 Firetube Repair"/>
    <s v=""/>
    <d v="2025-10-07T15:37:34"/>
    <d v="2025-09-30T06:00:00"/>
    <d v="2025-09-30T18:00:00"/>
    <s v=""/>
    <s v="KYNDALL BATTERY"/>
    <s v=""/>
    <s v=""/>
    <s v=""/>
    <s v=""/>
    <s v=""/>
    <s v=""/>
    <s v=""/>
    <s v=""/>
    <s v=""/>
    <s v=""/>
    <s v=""/>
    <s v=""/>
    <s v=""/>
    <s v=""/>
    <s v=""/>
    <s v=""/>
    <s v=""/>
    <s v=""/>
    <s v=""/>
    <s v=""/>
    <s v=""/>
    <s v=""/>
    <s v="Labor"/>
    <s v=""/>
    <s v=""/>
    <s v=""/>
    <s v="8000316400"/>
    <s v="KYNDALL BATTERY"/>
    <s v="Upstream"/>
    <s v="1046"/>
    <s v=""/>
    <s v=""/>
    <s v=""/>
    <s v=""/>
    <s v=""/>
    <s v=""/>
    <s v=""/>
    <n v="1"/>
    <s v="EA"/>
    <n v="8480.84"/>
    <s v=""/>
    <n v="8480.84"/>
    <s v="--multiple--"/>
    <s v="703517"/>
    <d v="2025-10-07T15:39:45"/>
    <s v=""/>
    <s v=""/>
    <s v=""/>
    <s v=""/>
  </r>
  <r>
    <s v="027885"/>
    <s v="Resilient Oilfield Services, LLC"/>
    <x v="10"/>
    <s v="Israel De La Cruz"/>
    <s v="Marco Rodriguez"/>
    <s v="Dispatched to location. Hooked up to 1' valve on well to aide crane crew with excess fluids and pressure."/>
    <s v="5051049"/>
    <s v="Upstream"/>
    <s v="168491"/>
    <s v="USD"/>
    <n v="522.5"/>
    <s v="Direct Entry"/>
    <s v="1"/>
    <s v="1008"/>
    <s v="Vacuum Truck"/>
    <s v="Vacuum Truck"/>
    <d v="2025-10-06T14:27:55"/>
    <d v="2025-10-01T06:45:00"/>
    <d v="2025-10-01T12:15:00"/>
    <d v="1899-12-30T05:30:00"/>
    <s v="Kyndall 5401H"/>
    <s v=""/>
    <s v=""/>
    <s v="produced water"/>
    <s v=""/>
    <s v=""/>
    <s v=""/>
    <s v=""/>
    <s v=""/>
    <s v=""/>
    <s v=""/>
    <s v=""/>
    <s v=""/>
    <s v=""/>
    <s v=""/>
    <s v=""/>
    <s v=""/>
    <s v=""/>
    <s v=""/>
    <s v=""/>
    <s v=""/>
    <n v="120"/>
    <s v="bbl"/>
    <s v=""/>
    <s v=""/>
    <s v=""/>
    <s v=""/>
    <s v="1001727700"/>
    <s v="KYNDALL 5401H"/>
    <s v="Upstream"/>
    <s v="1046"/>
    <s v=""/>
    <s v=""/>
    <s v=""/>
    <s v=""/>
    <s v=""/>
    <s v=""/>
    <s v="Hours Worked"/>
    <n v="5.5"/>
    <s v="hour"/>
    <n v="95"/>
    <s v=""/>
    <n v="522.5"/>
    <s v="--multiple--"/>
    <s v="700874"/>
    <d v="2025-10-06T14:33:02"/>
    <s v=""/>
    <s v=""/>
    <s v=""/>
    <s v=""/>
  </r>
  <r>
    <s v="211621"/>
    <s v="Basin Trucking LLC"/>
    <x v="9"/>
    <s v="Israel De La Cruz"/>
    <s v="Marco Rodriguez"/>
    <s v="Drove to location began resting atmosphere levels on heater once levels cleaned had sandblaster 8x20 and coat."/>
    <s v="5051049"/>
    <s v="Upstream"/>
    <s v="167239"/>
    <s v="USD"/>
    <n v="1131.25"/>
    <s v="Direct Entry"/>
    <s v="1"/>
    <s v="Safety  Man"/>
    <s v="Safety  Man"/>
    <s v=""/>
    <d v="2025-10-08T10:09:13"/>
    <d v="2025-10-02T08:45:00"/>
    <d v="2025-10-02T20:30:00"/>
    <s v=""/>
    <s v="KYNDALL BATTERY"/>
    <s v=""/>
    <s v=""/>
    <s v=""/>
    <s v=""/>
    <s v=""/>
    <s v=""/>
    <s v=""/>
    <s v=""/>
    <s v=""/>
    <s v=""/>
    <s v=""/>
    <s v=""/>
    <s v=""/>
    <s v=""/>
    <s v=""/>
    <s v=""/>
    <s v=""/>
    <s v=""/>
    <s v=""/>
    <s v=""/>
    <s v=""/>
    <s v=""/>
    <s v="Labor"/>
    <s v=""/>
    <s v=""/>
    <s v=""/>
    <s v="8000316400"/>
    <s v="KYNDALL BATTERY"/>
    <s v="Upstream"/>
    <s v="1046"/>
    <s v=""/>
    <s v=""/>
    <s v=""/>
    <s v=""/>
    <s v=""/>
    <s v=""/>
    <s v=""/>
    <n v="11.75"/>
    <s v="HR"/>
    <n v="75"/>
    <s v=""/>
    <n v="881.25"/>
    <s v="--multiple--"/>
    <s v="703517"/>
    <d v="2025-10-08T10:10:46"/>
    <s v=""/>
    <s v=""/>
    <s v=""/>
    <s v=""/>
  </r>
  <r>
    <s v="211652"/>
    <s v="Basin Trucking LLC"/>
    <x v="12"/>
    <s v="Israel De La Cruz"/>
    <s v="Marco Rodriguez"/>
    <s v="Work on heater 6' x 20 fix hole"/>
    <s v="5051049"/>
    <s v="Upstream"/>
    <s v="167239"/>
    <s v="USD"/>
    <n v="425"/>
    <s v="Direct Entry"/>
    <s v="1"/>
    <s v="Welder"/>
    <s v="Welder"/>
    <s v="Welding Services"/>
    <d v="2025-10-09T16:12:16"/>
    <d v="2025-10-02T14:00:00"/>
    <d v="2025-10-02T18:15:00"/>
    <s v=""/>
    <s v="KYNDALL BATTERY"/>
    <s v=""/>
    <s v=""/>
    <s v=""/>
    <s v=""/>
    <s v=""/>
    <s v=""/>
    <s v=""/>
    <s v=""/>
    <s v=""/>
    <s v=""/>
    <s v=""/>
    <s v=""/>
    <s v=""/>
    <s v=""/>
    <s v=""/>
    <s v=""/>
    <s v=""/>
    <s v=""/>
    <s v=""/>
    <s v=""/>
    <s v=""/>
    <s v=""/>
    <s v="Labor"/>
    <s v=""/>
    <s v=""/>
    <s v=""/>
    <s v="8000316400"/>
    <s v="KYNDALL BATTERY"/>
    <s v="Upstream"/>
    <s v="1046"/>
    <s v=""/>
    <s v=""/>
    <s v=""/>
    <s v=""/>
    <s v=""/>
    <s v=""/>
    <s v=""/>
    <n v="4.25"/>
    <s v="HR"/>
    <n v="100"/>
    <s v=""/>
    <n v="425"/>
    <s v="--multiple--"/>
    <s v="703517"/>
    <d v="2025-10-09T16:20:46"/>
    <s v=""/>
    <s v=""/>
    <s v=""/>
    <s v=""/>
  </r>
  <r>
    <s v="44410"/>
    <s v="Valdez Oil Services, L.L.C."/>
    <x v="2"/>
    <s v="Israel De La Cruz"/>
    <s v="Marco Rodriguez"/>
    <s v="DRAGO: Drove to location, used the steamer to wash the containment around the battery."/>
    <s v="5051049"/>
    <s v="Upstream"/>
    <s v="169340"/>
    <s v="USD"/>
    <n v="1693.75"/>
    <s v="Direct Entry"/>
    <s v="1"/>
    <s v=""/>
    <s v="ROUSTABOUT"/>
    <s v="ROUSTABOUT"/>
    <d v="2025-10-07T10:55:45"/>
    <d v="2025-10-03T07:15:00"/>
    <d v="2025-10-03T18:00:00"/>
    <s v=""/>
    <s v="DRAGO"/>
    <s v=""/>
    <s v=""/>
    <s v=""/>
    <s v=""/>
    <s v=""/>
    <s v=""/>
    <s v=""/>
    <s v=""/>
    <s v=""/>
    <s v=""/>
    <s v=""/>
    <s v=""/>
    <s v=""/>
    <s v=""/>
    <s v=""/>
    <s v=""/>
    <s v=""/>
    <s v=""/>
    <s v=""/>
    <s v=""/>
    <s v=""/>
    <s v=""/>
    <s v="Labor"/>
    <s v=""/>
    <s v=""/>
    <s v=""/>
    <s v="8000314800"/>
    <s v="DRAGO BATTERY"/>
    <s v="Upstream"/>
    <s v="1046"/>
    <s v=""/>
    <s v=""/>
    <s v=""/>
    <s v=""/>
    <s v=""/>
    <s v=""/>
    <s v=""/>
    <n v="10.75"/>
    <s v="HR"/>
    <n v="125"/>
    <s v=""/>
    <n v="1343.75"/>
    <s v="--multiple--"/>
    <s v="712959"/>
    <d v="2025-10-07T10:57:33"/>
    <s v=""/>
    <s v=""/>
    <s v=""/>
    <s v=""/>
  </r>
  <r>
    <s v="64674"/>
    <s v="Valdez Oil Services, L.L.C."/>
    <x v="10"/>
    <s v="Israel De La Cruz"/>
    <s v="Marco Rodriguez"/>
    <s v="Hauled 30 bbl. of PW from DRAGO to BYRD."/>
    <s v="5051049"/>
    <s v="Upstream"/>
    <s v="169340"/>
    <s v="USD"/>
    <n v="990.5"/>
    <s v="Direct Entry"/>
    <s v="1"/>
    <s v="Vacuum Truck"/>
    <s v="Vacuum Truck"/>
    <s v=""/>
    <d v="2025-10-07T11:36:48"/>
    <d v="2025-10-04T07:00:00"/>
    <d v="2025-10-04T18:00:00"/>
    <d v="1899-12-30T11:00:00"/>
    <s v="DRAGO BATTERY"/>
    <s v=""/>
    <s v=""/>
    <s v="PRODUCED WATER"/>
    <s v=""/>
    <s v=""/>
    <s v=""/>
    <s v=""/>
    <s v=""/>
    <s v=""/>
    <s v=""/>
    <s v=""/>
    <s v=""/>
    <s v=""/>
    <s v=""/>
    <s v=""/>
    <s v=""/>
    <s v=""/>
    <s v=""/>
    <s v=""/>
    <s v=""/>
    <n v="30"/>
    <s v="bbl"/>
    <s v=""/>
    <s v=""/>
    <s v=""/>
    <s v=""/>
    <s v="8000314800"/>
    <s v="DRAGO BATTERY"/>
    <s v="Upstream"/>
    <s v="1046"/>
    <s v=""/>
    <s v=""/>
    <s v=""/>
    <s v=""/>
    <s v=""/>
    <s v=""/>
    <s v="Hours Worked"/>
    <n v="11"/>
    <s v="hour"/>
    <n v="88"/>
    <s v=""/>
    <n v="968"/>
    <s v="--multiple--"/>
    <s v="712959"/>
    <d v="2025-10-07T11:38:57"/>
    <s v=""/>
    <s v=""/>
    <s v=""/>
    <s v=""/>
  </r>
  <r>
    <s v="64710"/>
    <s v="Valdez Oil Services, L.L.C."/>
    <x v="2"/>
    <s v="Israel De La Cruz"/>
    <s v="Marco Rodriguez"/>
    <s v="Loaded 30 bbl. of FW from FRIG N WATER STATION to fill up pressure washer to use on the BRUCE BATTERY."/>
    <s v="5051049"/>
    <s v="Upstream"/>
    <s v="169339"/>
    <s v="USD"/>
    <n v="550.5"/>
    <s v="Direct Entry"/>
    <s v="1"/>
    <s v="Vacuum Truck"/>
    <s v="Vacuum Truck"/>
    <s v=""/>
    <d v="2025-10-08T12:16:11"/>
    <d v="2025-10-05T06:30:00"/>
    <d v="2025-10-05T12:30:00"/>
    <d v="1899-12-30T06:00:00"/>
    <s v="BRUCE BATTERY"/>
    <s v=""/>
    <s v=""/>
    <s v="FRESH WATER"/>
    <s v=""/>
    <s v=""/>
    <s v=""/>
    <s v=""/>
    <s v=""/>
    <s v=""/>
    <s v=""/>
    <s v=""/>
    <s v=""/>
    <s v=""/>
    <s v=""/>
    <s v=""/>
    <s v=""/>
    <s v=""/>
    <s v=""/>
    <s v=""/>
    <s v=""/>
    <n v="30"/>
    <s v="bbl"/>
    <s v=""/>
    <s v=""/>
    <s v=""/>
    <s v=""/>
    <s v="8000314300"/>
    <s v="BRUCE BATTERY"/>
    <s v="Upstream"/>
    <s v="1046"/>
    <s v=""/>
    <s v=""/>
    <s v=""/>
    <s v=""/>
    <s v=""/>
    <s v=""/>
    <s v="Hours Worked"/>
    <n v="6"/>
    <s v="hour"/>
    <n v="88"/>
    <s v=""/>
    <n v="528"/>
    <s v="--multiple--"/>
    <s v="712959"/>
    <d v="2025-10-08T12:19:59"/>
    <s v=""/>
    <s v=""/>
    <s v=""/>
    <s v=""/>
  </r>
  <r>
    <s v="64675"/>
    <s v="Valdez Oil Services, L.L.C."/>
    <x v="2"/>
    <s v="Israel De La Cruz"/>
    <s v="Marco Rodriguez"/>
    <s v="BRUCE BATTERY: Picked up spill (20 bbl.) and hauled off to MILESTONE and washed trailer out."/>
    <s v="5051049"/>
    <s v="Upstream"/>
    <s v="169339"/>
    <s v="USD"/>
    <n v="704"/>
    <s v="Direct Entry"/>
    <s v="1"/>
    <s v="Vacuum Truck"/>
    <s v="Vacuum Truck"/>
    <s v=""/>
    <d v="2025-10-08T12:30:48"/>
    <d v="2025-10-05T07:15:00"/>
    <d v="2025-10-05T15:15:00"/>
    <d v="1899-12-30T08:00:00"/>
    <s v="BRUCE BATTERY"/>
    <s v=""/>
    <s v=""/>
    <s v="SPILL-CLEAN UP"/>
    <s v=""/>
    <s v=""/>
    <s v=""/>
    <s v=""/>
    <s v=""/>
    <s v=""/>
    <s v=""/>
    <s v=""/>
    <s v=""/>
    <s v=""/>
    <s v=""/>
    <s v=""/>
    <s v=""/>
    <s v=""/>
    <s v=""/>
    <s v=""/>
    <s v=""/>
    <n v="20"/>
    <s v="bbl"/>
    <s v=""/>
    <s v=""/>
    <s v=""/>
    <s v=""/>
    <s v="8000314300"/>
    <s v="BRUCE BATTERY"/>
    <s v="Upstream"/>
    <s v="1046"/>
    <s v=""/>
    <s v=""/>
    <s v=""/>
    <s v=""/>
    <s v=""/>
    <s v=""/>
    <s v="Hours Worked"/>
    <n v="8"/>
    <s v="hour"/>
    <n v="88"/>
    <s v=""/>
    <n v="704"/>
    <s v="--multiple--"/>
    <s v="712959"/>
    <d v="2025-10-08T12:37:18"/>
    <s v=""/>
    <s v=""/>
    <s v=""/>
    <s v=""/>
  </r>
  <r>
    <s v="656348"/>
    <s v="J&amp;R Roustabout, LLC"/>
    <x v="9"/>
    <s v="Israel De La Cruz"/>
    <s v="Marco Rodriguez"/>
    <s v="DROVE TO SKELETOR LOCATION AND MOVE SKYTRAK TO LOCATION, THEN STARTED TO BURY BASES AND INSTALL SHEET METAL AROUND THE  COMPRESSORS. THEN DROVE TO RK  FOR SUPPLIES, BUT NONE WERE AVAILABLE. DROVE BACK TO LOCATION AND CLEAN UP WORK AREA AND HAULED OFF TRASH. DROVE BACK TO YARD."/>
    <s v="5051022"/>
    <s v="Upstream"/>
    <s v="170111"/>
    <s v="USD"/>
    <n v="1370"/>
    <s v="Direct Entry"/>
    <s v="1"/>
    <s v="3 Man Roustabout Crew"/>
    <s v="3 Man Roustabout Crew"/>
    <s v=""/>
    <d v="2025-10-08T11:36:33"/>
    <d v="2025-10-07T06:00:00"/>
    <d v="2025-10-07T15:45:00"/>
    <s v=""/>
    <s v="HASEL 53"/>
    <s v=""/>
    <s v=""/>
    <s v=""/>
    <s v=""/>
    <s v=""/>
    <s v=""/>
    <s v=""/>
    <s v=""/>
    <s v=""/>
    <s v=""/>
    <s v=""/>
    <s v=""/>
    <s v=""/>
    <s v=""/>
    <s v=""/>
    <s v=""/>
    <s v=""/>
    <s v=""/>
    <s v=""/>
    <s v=""/>
    <s v=""/>
    <s v=""/>
    <s v="Labor"/>
    <s v=""/>
    <s v=""/>
    <s v=""/>
    <s v="8000316100"/>
    <s v="HASEL 53 UNIT BATTERY"/>
    <s v="Upstream"/>
    <s v="1046"/>
    <s v=""/>
    <s v=""/>
    <s v=""/>
    <s v=""/>
    <s v=""/>
    <s v=""/>
    <s v=""/>
    <n v="9.75"/>
    <s v="HR"/>
    <n v="120"/>
    <s v=""/>
    <n v="1170"/>
    <s v="Pricebook"/>
    <s v="712950"/>
    <d v="2025-10-08T11:37:56"/>
    <s v=""/>
    <s v=""/>
    <s v=""/>
    <s v=""/>
  </r>
  <r>
    <s v="65047"/>
    <s v="Valdez Oil Services, L.L.C."/>
    <x v="9"/>
    <s v="Kenneth Hodges"/>
    <s v="Marco Rodriguez"/>
    <s v="Hauled 120 bbl. of PW from ENDICOTT to PINNERGY SWD."/>
    <s v="5051054"/>
    <s v="Upstream"/>
    <s v=""/>
    <s v="USD"/>
    <n v="310"/>
    <s v="Direct Entry"/>
    <s v="1"/>
    <s v="Vacuum Truck"/>
    <s v="Vacuum Truck"/>
    <s v=""/>
    <d v="2025-10-10T13:12:27"/>
    <d v="2025-10-08T20:00:00"/>
    <d v="2025-10-08T22:30:00"/>
    <d v="1899-12-30T02:30:00"/>
    <s v="ENDICOTT"/>
    <s v=""/>
    <s v=""/>
    <s v="PRODUCED WATER"/>
    <s v=""/>
    <s v=""/>
    <s v=""/>
    <s v=""/>
    <n v="7"/>
    <n v="2"/>
    <n v="5"/>
    <n v="5"/>
    <s v=""/>
    <s v=""/>
    <s v=""/>
    <s v=""/>
    <s v=""/>
    <s v=""/>
    <s v=""/>
    <s v=""/>
    <s v=""/>
    <n v="120"/>
    <s v="bbl"/>
    <s v=""/>
    <s v=""/>
    <s v=""/>
    <s v=""/>
    <s v="8000315000"/>
    <s v="ENDICOTT BATTERY"/>
    <s v="Upstream"/>
    <s v="1046"/>
    <s v=""/>
    <s v=""/>
    <s v=""/>
    <s v=""/>
    <s v=""/>
    <s v=""/>
    <s v="Hours Worked"/>
    <n v="2.5"/>
    <s v="hour"/>
    <n v="88"/>
    <s v=""/>
    <n v="220"/>
    <s v="--multiple--"/>
    <s v="712959"/>
    <d v="2025-10-10T13:21:43"/>
    <s v=""/>
    <s v=""/>
    <s v=""/>
    <s v=""/>
  </r>
  <r>
    <s v="N12000329957"/>
    <s v="SES Holdings, LLC"/>
    <x v="4"/>
    <s v="Kevin Kunkel"/>
    <s v="Elam Tavarez"/>
    <s v="GUNSMOKE 40-1 F 6LS; HOURLY; Mason Rutledge"/>
    <s v="5051057"/>
    <s v="Upstream"/>
    <s v=""/>
    <s v="USD"/>
    <n v="720"/>
    <s v=""/>
    <s v="1"/>
    <s v="10-1008HRS"/>
    <s v="TP-Deliver Fresh Water"/>
    <s v="Transport"/>
    <d v="2025-04-30T15:44:52"/>
    <d v="2025-03-31T06:00:00"/>
    <d v="2025-03-31T12:00:00"/>
    <d v="1899-12-30T06:00:00"/>
    <s v="GUNSMOKE 40-1 F 6LS"/>
    <s v="246014"/>
    <s v=""/>
    <s v="Fresh Water"/>
    <s v=""/>
    <s v=""/>
    <s v=""/>
    <s v=""/>
    <n v="0"/>
    <n v="0"/>
    <n v="0"/>
    <n v="0"/>
    <s v=""/>
    <s v=""/>
    <s v=""/>
    <s v=""/>
    <s v=""/>
    <s v=""/>
    <s v=""/>
    <s v=""/>
    <s v=""/>
    <n v="0"/>
    <s v="bbl"/>
    <s v=""/>
    <s v=""/>
    <s v=""/>
    <s v=""/>
    <s v="1000313400"/>
    <s v="GUNSMOKE 40-1 F 6LS"/>
    <s v="Upstream"/>
    <s v="1046"/>
    <s v=""/>
    <s v=""/>
    <s v=""/>
    <s v=""/>
    <s v=""/>
    <s v=""/>
    <s v="Other"/>
    <n v="6"/>
    <s v="HRS"/>
    <n v="100"/>
    <s v=""/>
    <n v="600"/>
    <s v="--multiple--"/>
    <s v="700224"/>
    <d v="2025-10-10T13:36:16"/>
    <s v=""/>
    <s v=""/>
    <s v="Altered or Handwritten | Electronic Field Ticket Issue | Coding/Location Issue | Attachment Issue | Requisitioner Error | Coding/Location Issue"/>
    <s v=""/>
  </r>
  <r>
    <s v="34112"/>
    <s v="Apex Energy Services"/>
    <x v="6"/>
    <s v="Kevin Kunkel"/>
    <s v="Elam Tavarez"/>
    <s v="Hauled 100bbls of PW to 829 SWD_x000a_Disposal Ticket: 176115-100BBLS, 176129-100BBLS, 176101-100BBLS"/>
    <s v="5051054"/>
    <s v="Upstream"/>
    <s v=""/>
    <s v="USD"/>
    <n v="1633"/>
    <s v="Direct Entry"/>
    <s v="1"/>
    <s v="Tandem Tractor Vacuum Truck - 130 BBL W/ Driver"/>
    <s v="Tandem Tractor Vacuum Truck - 130 BBL W/ Driver"/>
    <s v="Transportation Services"/>
    <d v="2025-10-13T09:14:35"/>
    <d v="2025-10-02T05:30:00"/>
    <d v="2025-10-02T19:30:00"/>
    <d v="1899-12-30T14:00:00"/>
    <s v="GWW"/>
    <s v=""/>
    <s v=""/>
    <s v="PW"/>
    <s v=""/>
    <s v=""/>
    <s v=""/>
    <s v=""/>
    <s v=""/>
    <s v=""/>
    <s v=""/>
    <s v=""/>
    <s v=""/>
    <s v=""/>
    <s v=""/>
    <s v=""/>
    <s v=""/>
    <s v=""/>
    <s v=""/>
    <s v=""/>
    <s v=""/>
    <n v="0"/>
    <s v="bbl"/>
    <s v=""/>
    <s v=""/>
    <s v=""/>
    <s v=""/>
    <s v="8000111500"/>
    <s v="GWW BATTERY"/>
    <s v="Upstream"/>
    <s v="1046"/>
    <s v=""/>
    <s v=""/>
    <s v=""/>
    <s v=""/>
    <s v=""/>
    <s v=""/>
    <s v="Hours Worked"/>
    <n v="14"/>
    <s v="hour"/>
    <n v="92"/>
    <s v=""/>
    <n v="1288"/>
    <s v="--multiple--"/>
    <s v="706989"/>
    <d v="2025-10-13T09:18:34"/>
    <s v=""/>
    <s v=""/>
    <s v=""/>
    <s v=""/>
  </r>
  <r>
    <s v="36566"/>
    <s v="Apex Energy Services"/>
    <x v="6"/>
    <s v="Kevin Kunkel"/>
    <s v="Elam Tavarez"/>
    <s v="Hauled 400bbls of PW to 829 SWD_x000a_Disposal Ticket: 176148-100BBLS, 176145-100BBLS, 176141-100BBLS, 176139-100BBLS"/>
    <s v="5051054"/>
    <s v="Upstream"/>
    <s v=""/>
    <s v="USD"/>
    <n v="1932"/>
    <s v="Direct Entry"/>
    <s v="1"/>
    <s v="Tandem Tractor Vacuum Truck - 130 BBL W/ Driver"/>
    <s v="Tandem Tractor Vacuum Truck - 130 BBL W/ Driver"/>
    <s v="Transportation Services"/>
    <d v="2025-10-13T09:20:55"/>
    <d v="2025-10-02T22:30:00"/>
    <d v="2025-10-03T14:30:00"/>
    <d v="1899-12-30T16:00:00"/>
    <s v="GWW"/>
    <s v=""/>
    <s v=""/>
    <s v="PW"/>
    <s v=""/>
    <s v=""/>
    <s v=""/>
    <s v=""/>
    <s v=""/>
    <s v=""/>
    <s v=""/>
    <s v=""/>
    <s v=""/>
    <s v=""/>
    <s v=""/>
    <s v=""/>
    <s v=""/>
    <s v=""/>
    <s v=""/>
    <s v=""/>
    <s v=""/>
    <n v="0"/>
    <s v="bbl"/>
    <s v=""/>
    <s v=""/>
    <s v=""/>
    <s v=""/>
    <s v="8000111500"/>
    <s v="GWW BATTERY"/>
    <s v="Upstream"/>
    <s v="1046"/>
    <s v=""/>
    <s v=""/>
    <s v=""/>
    <s v=""/>
    <s v=""/>
    <s v=""/>
    <s v="Hours Worked"/>
    <n v="16"/>
    <s v="hour"/>
    <n v="92"/>
    <s v=""/>
    <n v="1472"/>
    <s v="--multiple--"/>
    <s v="706989"/>
    <d v="2025-10-14T10:55:26"/>
    <s v=""/>
    <s v=""/>
    <s v="VC Driver/CrewMember Name"/>
    <s v=""/>
  </r>
  <r>
    <s v="36703"/>
    <s v="Apex Energy Services"/>
    <x v="6"/>
    <s v="Kevin Kunkel"/>
    <s v="Elam Tavarez"/>
    <s v="Hauled 200bbls of PW to Judge SWD_x000a_Disposal Ticket: 1098-30516-100BBLS, 1098-30522-100BBLS"/>
    <s v="5051054"/>
    <s v="Upstream"/>
    <s v=""/>
    <s v="USD"/>
    <n v="690"/>
    <s v="Direct Entry"/>
    <s v="1"/>
    <s v="Tandem Tractor Vacuum Truck - 130 BBL W/ Driver"/>
    <s v="Tandem Tractor Vacuum Truck - 130 BBL W/ Driver"/>
    <s v="Transportation Services"/>
    <d v="2025-10-07T13:25:18"/>
    <d v="2025-10-03T06:00:00"/>
    <d v="2025-10-03T11:00:00"/>
    <d v="1899-12-30T05:00:00"/>
    <s v="Fryar 9"/>
    <s v=""/>
    <s v=""/>
    <s v="PW"/>
    <s v=""/>
    <s v=""/>
    <s v=""/>
    <s v=""/>
    <s v=""/>
    <s v=""/>
    <s v=""/>
    <s v=""/>
    <s v=""/>
    <s v=""/>
    <s v=""/>
    <s v=""/>
    <s v=""/>
    <s v=""/>
    <s v=""/>
    <s v=""/>
    <s v=""/>
    <n v="0"/>
    <s v="bbl"/>
    <s v=""/>
    <s v=""/>
    <s v=""/>
    <s v=""/>
    <s v="8000044700"/>
    <s v="FRYAR 9 BATTERY"/>
    <s v="Upstream"/>
    <s v="1046"/>
    <s v=""/>
    <s v=""/>
    <s v=""/>
    <s v=""/>
    <s v=""/>
    <s v=""/>
    <s v="Hours Worked"/>
    <n v="5"/>
    <s v="hour"/>
    <n v="92"/>
    <s v=""/>
    <n v="460"/>
    <s v="--multiple--"/>
    <s v="706989"/>
    <d v="2025-10-14T10:11:00"/>
    <s v=""/>
    <s v=""/>
    <s v="Missing GPS Data"/>
    <s v=""/>
  </r>
  <r>
    <s v="36705"/>
    <s v="Apex Energy Services"/>
    <x v="6"/>
    <s v="Kevin Kunkel"/>
    <s v="Elam Tavarez"/>
    <s v="Hauled 100bbls of PW to 829 SWD_x000a_Disposal Ticket: 176150-100BBLS"/>
    <s v="5051054"/>
    <s v="Upstream"/>
    <s v=""/>
    <s v="USD"/>
    <n v="483"/>
    <s v="Direct Entry"/>
    <s v="1"/>
    <s v="Tandem Tractor Vacuum Truck - 130 BBL W/ Driver"/>
    <s v="Tandem Tractor Vacuum Truck - 130 BBL W/ Driver"/>
    <s v="Transportation Services"/>
    <d v="2025-10-13T09:25:04"/>
    <d v="2025-10-03T11:00:00"/>
    <d v="2025-10-03T15:00:00"/>
    <d v="1899-12-30T04:00:00"/>
    <s v="GWW"/>
    <s v=""/>
    <s v=""/>
    <s v="PW"/>
    <s v=""/>
    <s v=""/>
    <s v=""/>
    <s v=""/>
    <s v=""/>
    <s v=""/>
    <s v=""/>
    <s v=""/>
    <s v=""/>
    <s v=""/>
    <s v=""/>
    <s v=""/>
    <s v=""/>
    <s v=""/>
    <s v=""/>
    <s v=""/>
    <s v=""/>
    <n v="0"/>
    <s v="bbl"/>
    <s v=""/>
    <s v=""/>
    <s v=""/>
    <s v=""/>
    <s v="8000111500"/>
    <s v="GWW BATTERY"/>
    <s v="Upstream"/>
    <s v="1046"/>
    <s v=""/>
    <s v=""/>
    <s v=""/>
    <s v=""/>
    <s v=""/>
    <s v=""/>
    <s v="Hours Worked"/>
    <n v="4"/>
    <s v="hour"/>
    <n v="92"/>
    <s v=""/>
    <n v="368"/>
    <s v="--multiple--"/>
    <s v="706989"/>
    <d v="2025-10-13T09:26:35"/>
    <s v=""/>
    <s v=""/>
    <s v=""/>
    <s v=""/>
  </r>
  <r>
    <s v="36781"/>
    <s v="Apex Energy Services"/>
    <x v="6"/>
    <s v="Kevin Kunkel"/>
    <s v="Elam Tavarez"/>
    <s v="Hauled 100bbls of PW to 829 SWD_x000a_Disposal Ticket: 176151-100BBLS"/>
    <s v="5051054"/>
    <s v="Upstream"/>
    <s v=""/>
    <s v="USD"/>
    <n v="483"/>
    <s v="Direct Entry"/>
    <s v="1"/>
    <s v="Tandem Tractor Vacuum Truck - 130 BBL W/ Driver"/>
    <s v="Tandem Tractor Vacuum Truck - 130 BBL W/ Driver"/>
    <s v="Transportation Services"/>
    <d v="2025-10-13T09:29:53"/>
    <d v="2025-10-03T11:00:00"/>
    <d v="2025-10-03T15:00:00"/>
    <d v="1899-12-30T04:00:00"/>
    <s v="GWW"/>
    <s v=""/>
    <s v=""/>
    <s v="PW"/>
    <s v=""/>
    <s v=""/>
    <s v=""/>
    <s v=""/>
    <s v=""/>
    <s v=""/>
    <s v=""/>
    <s v=""/>
    <s v=""/>
    <s v=""/>
    <s v=""/>
    <s v=""/>
    <s v=""/>
    <s v=""/>
    <s v=""/>
    <s v=""/>
    <s v=""/>
    <n v="0"/>
    <s v="bbl"/>
    <s v=""/>
    <s v=""/>
    <s v=""/>
    <s v=""/>
    <s v="8000111500"/>
    <s v="GWW BATTERY"/>
    <s v="Upstream"/>
    <s v="1046"/>
    <s v=""/>
    <s v=""/>
    <s v=""/>
    <s v=""/>
    <s v=""/>
    <s v=""/>
    <s v="Hours Worked"/>
    <n v="4"/>
    <s v="hour"/>
    <n v="92"/>
    <s v=""/>
    <n v="368"/>
    <s v="--multiple--"/>
    <s v="706989"/>
    <d v="2025-10-13T09:33:39"/>
    <s v=""/>
    <s v=""/>
    <s v=""/>
    <s v=""/>
  </r>
  <r>
    <s v="35449"/>
    <s v="Apex Energy Services"/>
    <x v="6"/>
    <s v="Kevin Kunkel"/>
    <s v="Elam Tavarez"/>
    <s v="Hauled 500bbls of PW to Judge and Direct SWD_x000a_Disposal Ticket: 1098-30567-100BBLS, 1098-30561-100BBLS, 6233-100BBLS, 6229-100BBLS, 6227-100BBLS"/>
    <s v="5051054"/>
    <s v="Upstream"/>
    <s v=""/>
    <s v="USD"/>
    <n v="2047"/>
    <s v="Direct Entry"/>
    <s v="1"/>
    <s v="Tandem Tractor Vacuum Truck - 130 BBL W/ Driver"/>
    <s v="Tandem Tractor Vacuum Truck - 130 BBL W/ Driver"/>
    <s v="Transportation Services"/>
    <d v="2025-10-13T09:37:19"/>
    <d v="2025-10-03T23:00:00"/>
    <d v="2025-10-04T15:00:00"/>
    <d v="1899-12-30T16:00:00"/>
    <s v="GWW"/>
    <s v=""/>
    <s v=""/>
    <s v="PW"/>
    <s v=""/>
    <s v=""/>
    <s v=""/>
    <s v=""/>
    <s v=""/>
    <s v=""/>
    <s v=""/>
    <s v=""/>
    <s v=""/>
    <s v=""/>
    <s v=""/>
    <s v=""/>
    <s v=""/>
    <s v=""/>
    <s v=""/>
    <s v=""/>
    <s v=""/>
    <n v="0"/>
    <s v="bbl"/>
    <s v=""/>
    <s v=""/>
    <s v=""/>
    <s v=""/>
    <s v="8000111500"/>
    <s v="GWW BATTERY"/>
    <s v="Upstream"/>
    <s v="1046"/>
    <s v=""/>
    <s v=""/>
    <s v=""/>
    <s v=""/>
    <s v=""/>
    <s v=""/>
    <s v="Hours Worked"/>
    <n v="16"/>
    <s v="hour"/>
    <n v="92"/>
    <s v=""/>
    <n v="1472"/>
    <s v="--multiple--"/>
    <s v="706989"/>
    <d v="2025-10-13T11:27:05"/>
    <s v=""/>
    <s v=""/>
    <s v=""/>
    <s v=""/>
  </r>
  <r>
    <s v="35801"/>
    <s v="Apex Energy Services"/>
    <x v="6"/>
    <s v="Kevin Kunkel"/>
    <s v="Elam Tavarez"/>
    <s v="Hauled 200bbls of PW to Judge SWD_x000a_Disposal Ticket: 1098-30553-100BBLS, 1098-30557-100BBLS"/>
    <s v="5051054"/>
    <s v="Upstream"/>
    <s v=""/>
    <s v="USD"/>
    <n v="828"/>
    <s v="Direct Entry"/>
    <s v="1"/>
    <s v="Tandem Tractor Vacuum Truck - 130 BBL W/ Driver"/>
    <s v="Tandem Tractor Vacuum Truck - 130 BBL W/ Driver"/>
    <s v="Transportation Services"/>
    <d v="2025-10-13T10:11:05"/>
    <d v="2025-10-04T05:00:00"/>
    <d v="2025-10-04T11:30:00"/>
    <d v="1899-12-30T06:30:00"/>
    <s v="GWW"/>
    <s v=""/>
    <s v=""/>
    <s v="PW"/>
    <s v=""/>
    <s v=""/>
    <s v=""/>
    <s v=""/>
    <s v=""/>
    <s v=""/>
    <s v=""/>
    <s v=""/>
    <s v=""/>
    <s v=""/>
    <s v=""/>
    <s v=""/>
    <s v=""/>
    <s v=""/>
    <s v=""/>
    <s v=""/>
    <s v=""/>
    <n v="0"/>
    <s v="bbl"/>
    <s v=""/>
    <s v=""/>
    <s v=""/>
    <s v=""/>
    <s v="8000111500"/>
    <s v="GWW BATTERY"/>
    <s v="Upstream"/>
    <s v="1046"/>
    <s v=""/>
    <s v=""/>
    <s v=""/>
    <s v=""/>
    <s v=""/>
    <s v=""/>
    <s v="Hours Worked"/>
    <n v="6.5"/>
    <s v="hour"/>
    <n v="92"/>
    <s v=""/>
    <n v="598"/>
    <s v="--multiple--"/>
    <s v="706989"/>
    <d v="2025-10-13T10:12:34"/>
    <s v=""/>
    <s v=""/>
    <s v=""/>
    <s v=""/>
  </r>
  <r>
    <s v="36936"/>
    <s v="Apex Energy Services"/>
    <x v="6"/>
    <s v="Kevin Kunkel"/>
    <s v="Elam Tavarez"/>
    <s v="Hauled 400bbls of PW to Judge and Direct SWD_x000a_Disposal Ticket:6232-100BBLS,6234-100BBLS, 6237-100BBLS, 1098-30571-100BBLS"/>
    <s v="5051054"/>
    <s v="Upstream"/>
    <s v=""/>
    <s v="USD"/>
    <n v="1610"/>
    <s v="Direct Entry"/>
    <s v="1"/>
    <s v="Tandem Tractor Vacuum Truck - 130 BBL W/ Driver"/>
    <s v="Tandem Tractor Vacuum Truck - 130 BBL W/ Driver"/>
    <s v="Transportation Services"/>
    <d v="2025-10-13T10:32:22"/>
    <d v="2025-10-04T06:00:00"/>
    <d v="2025-10-04T18:30:00"/>
    <d v="1899-12-30T12:30:00"/>
    <s v="GWW"/>
    <s v=""/>
    <s v=""/>
    <s v="PW"/>
    <s v=""/>
    <s v=""/>
    <s v=""/>
    <s v=""/>
    <s v=""/>
    <s v=""/>
    <s v=""/>
    <s v=""/>
    <s v=""/>
    <s v=""/>
    <s v=""/>
    <s v=""/>
    <s v=""/>
    <s v=""/>
    <s v=""/>
    <s v=""/>
    <s v=""/>
    <n v="0"/>
    <s v="bbl"/>
    <s v=""/>
    <s v=""/>
    <s v=""/>
    <s v=""/>
    <s v="8000111500"/>
    <s v="GWW BATTERY"/>
    <s v="Upstream"/>
    <s v="1046"/>
    <s v=""/>
    <s v=""/>
    <s v=""/>
    <s v=""/>
    <s v=""/>
    <s v=""/>
    <s v="Hours Worked"/>
    <n v="12.5"/>
    <s v="hour"/>
    <n v="92"/>
    <s v=""/>
    <n v="1150"/>
    <s v="--multiple--"/>
    <s v="706989"/>
    <d v="2025-10-13T10:38:21"/>
    <s v=""/>
    <s v=""/>
    <s v=""/>
    <s v=""/>
  </r>
  <r>
    <s v="37087"/>
    <s v="Apex Energy Services"/>
    <x v="6"/>
    <s v="Kevin Kunkel"/>
    <s v="Elam Tavarez"/>
    <s v="Hauled 400bbls of PW to 829, Judge and Direct SWD_x000a_Disposal Ticket: 5734-100BBLS, 176169-100BBLS, 1098-30581-100BBLS, 1098-30574-100BBLS"/>
    <s v="5051054"/>
    <s v="Upstream"/>
    <s v=""/>
    <s v="USD"/>
    <n v="1932"/>
    <s v="Direct Entry"/>
    <s v="1"/>
    <s v="Tandem Tractor Vacuum Truck - 130 BBL W/ Driver"/>
    <s v="Tandem Tractor Vacuum Truck - 130 BBL W/ Driver"/>
    <s v="Transportation Services"/>
    <d v="2025-10-13T10:01:51"/>
    <d v="2025-10-04T17:00:00"/>
    <d v="2025-10-05T09:00:00"/>
    <d v="1899-12-30T16:00:00"/>
    <s v="GWW"/>
    <s v=""/>
    <s v=""/>
    <s v="PW"/>
    <s v=""/>
    <s v=""/>
    <s v=""/>
    <s v=""/>
    <s v=""/>
    <s v=""/>
    <s v=""/>
    <s v=""/>
    <s v=""/>
    <s v=""/>
    <s v=""/>
    <s v=""/>
    <s v=""/>
    <s v=""/>
    <s v=""/>
    <s v=""/>
    <s v=""/>
    <n v="0"/>
    <s v="bbl"/>
    <s v=""/>
    <s v=""/>
    <s v=""/>
    <s v=""/>
    <s v="8000111500"/>
    <s v="GWW BATTERY"/>
    <s v="Upstream"/>
    <s v="1046"/>
    <s v=""/>
    <s v=""/>
    <s v=""/>
    <s v=""/>
    <s v=""/>
    <s v=""/>
    <s v="Hours Worked"/>
    <n v="16"/>
    <s v="hour"/>
    <n v="92"/>
    <s v=""/>
    <n v="1472"/>
    <s v="--multiple--"/>
    <s v="706989"/>
    <d v="2025-10-13T10:09:48"/>
    <s v=""/>
    <s v=""/>
    <s v=""/>
    <s v=""/>
  </r>
  <r>
    <s v="33353"/>
    <s v="Apex Energy Services"/>
    <x v="6"/>
    <s v="Kevin Kunkel"/>
    <s v="Elam Tavarez"/>
    <s v="Hauled 300bbls of PW to 829, Judge and Direct SWD_x000a_Disposal Ticket: 5735-100BBLS, 176170-100BBLS, 1098-30576-100BBLS"/>
    <s v="5051054"/>
    <s v="Upstream"/>
    <s v=""/>
    <s v="USD"/>
    <n v="1633"/>
    <s v="Direct Entry"/>
    <s v="1"/>
    <s v="Tandem Tractor Vacuum Truck - 130 BBL W/ Driver"/>
    <s v="Tandem Tractor Vacuum Truck - 130 BBL W/ Driver"/>
    <s v="Transportation Services"/>
    <d v="2025-10-13T10:18:59"/>
    <d v="2025-10-04T18:00:00"/>
    <d v="2025-10-05T08:00:00"/>
    <d v="1899-12-30T14:00:00"/>
    <s v="GWW"/>
    <s v=""/>
    <s v=""/>
    <s v="PW"/>
    <s v=""/>
    <s v=""/>
    <s v=""/>
    <s v=""/>
    <s v=""/>
    <s v=""/>
    <s v=""/>
    <s v=""/>
    <s v=""/>
    <s v=""/>
    <s v=""/>
    <s v=""/>
    <s v=""/>
    <s v=""/>
    <s v=""/>
    <s v=""/>
    <s v=""/>
    <n v="0"/>
    <s v="bbl"/>
    <s v=""/>
    <s v=""/>
    <s v=""/>
    <s v=""/>
    <s v="8000111500"/>
    <s v="GWW BATTERY"/>
    <s v="Upstream"/>
    <s v="1046"/>
    <s v=""/>
    <s v=""/>
    <s v=""/>
    <s v=""/>
    <s v=""/>
    <s v=""/>
    <s v="Hours Worked"/>
    <n v="14"/>
    <s v="hour"/>
    <n v="92"/>
    <s v=""/>
    <n v="1288"/>
    <s v="--multiple--"/>
    <s v="706989"/>
    <d v="2025-10-13T10:22:03"/>
    <s v=""/>
    <s v=""/>
    <s v=""/>
    <s v=""/>
  </r>
  <r>
    <s v="45080"/>
    <s v="Valdez Oil Services, L.L.C."/>
    <x v="5"/>
    <s v="Kenneth Hodges"/>
    <s v="Marco Rodriguez"/>
    <s v="DRAGO BATTERY: Drove to location. Back dragged, covered holes and leveled out location."/>
    <s v="5051027"/>
    <s v="Upstream"/>
    <s v=""/>
    <s v="USD"/>
    <n v="855"/>
    <s v="Direct Entry"/>
    <s v="1"/>
    <s v=""/>
    <s v="BACKHOE SERVICES"/>
    <s v=""/>
    <d v="2025-10-01T16:53:19"/>
    <d v="2025-09-25T10:30:00"/>
    <d v="2025-09-25T19:30:00"/>
    <s v=""/>
    <s v="DRAGO BATTERY"/>
    <s v=""/>
    <s v=""/>
    <s v=""/>
    <s v=""/>
    <s v=""/>
    <s v=""/>
    <s v=""/>
    <s v=""/>
    <s v=""/>
    <s v=""/>
    <s v=""/>
    <s v=""/>
    <s v=""/>
    <s v=""/>
    <s v=""/>
    <s v=""/>
    <s v=""/>
    <s v=""/>
    <s v=""/>
    <s v=""/>
    <s v=""/>
    <s v=""/>
    <s v="Labor"/>
    <s v=""/>
    <s v=""/>
    <s v=""/>
    <s v="8000314800"/>
    <s v="DRAGO BATTERY"/>
    <s v="Upstream"/>
    <s v="1046"/>
    <s v=""/>
    <s v=""/>
    <s v=""/>
    <s v=""/>
    <s v=""/>
    <s v=""/>
    <s v=""/>
    <n v="9"/>
    <s v="HR"/>
    <n v="95"/>
    <s v=""/>
    <n v="855"/>
    <s v="--multiple--"/>
    <s v="712959"/>
    <d v="2025-10-01T16:54:33"/>
    <s v=""/>
    <s v=""/>
    <s v=""/>
    <s v=""/>
  </r>
  <r>
    <s v="64527"/>
    <s v="Valdez Oil Services, L.L.C."/>
    <x v="5"/>
    <s v="Kenneth Hodges"/>
    <s v="Marco Rodriguez"/>
    <s v="DRAGO: Cleaned up spill from containment and transferred 20 bbl. of fluid into tank #7"/>
    <s v="5051027"/>
    <s v="Upstream"/>
    <s v=""/>
    <s v="USD"/>
    <n v="660"/>
    <s v="Direct Entry"/>
    <s v="1"/>
    <s v="Vacuum Truck"/>
    <s v="Vacuum Truck"/>
    <s v=""/>
    <d v="2025-10-01T16:23:14"/>
    <d v="2025-09-25T11:00:00"/>
    <d v="2025-09-25T18:30:00"/>
    <d v="1899-12-30T07:30:00"/>
    <s v="DRAGO"/>
    <s v=""/>
    <s v=""/>
    <s v="SPILL-CLEAN UP"/>
    <s v=""/>
    <s v=""/>
    <s v=""/>
    <s v=""/>
    <s v=""/>
    <s v=""/>
    <s v=""/>
    <s v=""/>
    <s v=""/>
    <s v=""/>
    <s v=""/>
    <s v=""/>
    <s v=""/>
    <s v=""/>
    <s v=""/>
    <s v=""/>
    <s v=""/>
    <n v="20"/>
    <s v="bbl"/>
    <s v=""/>
    <s v=""/>
    <s v=""/>
    <s v=""/>
    <s v="8000314800"/>
    <s v="DRAGO BATTERY"/>
    <s v="Upstream"/>
    <s v="1046"/>
    <s v=""/>
    <s v=""/>
    <s v=""/>
    <s v=""/>
    <s v=""/>
    <s v=""/>
    <s v="Hours Worked"/>
    <n v="7.5"/>
    <s v="hour"/>
    <n v="88"/>
    <s v=""/>
    <n v="660"/>
    <s v="--multiple--"/>
    <s v="712959"/>
    <d v="2025-10-01T16:24:32"/>
    <s v=""/>
    <s v=""/>
    <s v=""/>
    <s v=""/>
  </r>
  <r>
    <s v="37055"/>
    <s v="Apex Energy Services"/>
    <x v="6"/>
    <s v="Kevin Kunkel"/>
    <s v="Elam Tavarez"/>
    <s v="Hauled 100bbls of PW to Judge SWD_x000a_Disposal Ticket: 1098-30578-100BBLS"/>
    <s v="5051054"/>
    <s v="Upstream"/>
    <s v=""/>
    <s v="USD"/>
    <n v="851"/>
    <s v="Direct Entry"/>
    <s v="1"/>
    <s v="Tandem Tractor Vacuum Truck - 130 BBL W/ Driver"/>
    <s v="Tandem Tractor Vacuum Truck - 130 BBL W/ Driver"/>
    <s v="Transportation Services"/>
    <d v="2025-10-13T10:57:56"/>
    <d v="2025-10-05T00:00:00"/>
    <d v="2025-10-05T08:00:00"/>
    <d v="1899-12-30T08:00:00"/>
    <s v="GWW"/>
    <s v=""/>
    <s v=""/>
    <s v="PW"/>
    <s v=""/>
    <s v=""/>
    <s v=""/>
    <s v=""/>
    <s v=""/>
    <s v=""/>
    <s v=""/>
    <s v=""/>
    <s v=""/>
    <s v=""/>
    <s v=""/>
    <s v=""/>
    <s v=""/>
    <s v=""/>
    <s v=""/>
    <s v=""/>
    <s v=""/>
    <n v="0"/>
    <s v="bbl"/>
    <s v=""/>
    <s v=""/>
    <s v=""/>
    <s v=""/>
    <s v="8000111500"/>
    <s v="GWW BATTERY"/>
    <s v="Upstream"/>
    <s v="1046"/>
    <s v=""/>
    <s v=""/>
    <s v=""/>
    <s v=""/>
    <s v=""/>
    <s v=""/>
    <s v="Hours Worked"/>
    <n v="8"/>
    <s v="hour"/>
    <n v="92"/>
    <s v=""/>
    <n v="736"/>
    <s v="--multiple--"/>
    <s v="706989"/>
    <d v="2025-10-13T11:00:08"/>
    <s v=""/>
    <s v=""/>
    <s v=""/>
    <s v=""/>
  </r>
  <r>
    <s v="32811"/>
    <s v="Apex Energy Services"/>
    <x v="6"/>
    <s v="Kevin Kunkel"/>
    <s v="Elam Tavarez"/>
    <s v="Hauled 300bbls of PW to 829 and Judge SWD_x000a_Disposal Ticket: 176176-100BBLS, 1098-30606-100BBLS, 1098-30587-100BBLS"/>
    <s v="5051054"/>
    <s v="Upstream"/>
    <s v=""/>
    <s v="USD"/>
    <n v="1725"/>
    <s v="Direct Entry"/>
    <s v="1"/>
    <s v="Tandem Tractor Vacuum Truck - 130 BBL W/ Driver"/>
    <s v="Tandem Tractor Vacuum Truck - 130 BBL W/ Driver"/>
    <s v="Transportation Services"/>
    <d v="2025-10-13T11:09:22"/>
    <d v="2025-10-05T06:00:00"/>
    <d v="2025-10-05T21:00:00"/>
    <d v="1899-12-30T15:00:00"/>
    <s v="GWW"/>
    <s v=""/>
    <s v=""/>
    <s v="PW"/>
    <s v=""/>
    <s v=""/>
    <s v=""/>
    <s v=""/>
    <s v=""/>
    <s v=""/>
    <s v=""/>
    <s v=""/>
    <s v=""/>
    <s v=""/>
    <s v=""/>
    <s v=""/>
    <s v=""/>
    <s v=""/>
    <s v=""/>
    <s v=""/>
    <s v=""/>
    <n v="0"/>
    <s v="bbl"/>
    <s v=""/>
    <s v=""/>
    <s v=""/>
    <s v=""/>
    <s v="8000111500"/>
    <s v="GWW BATTERY"/>
    <s v="Upstream"/>
    <s v="1046"/>
    <s v=""/>
    <s v=""/>
    <s v=""/>
    <s v=""/>
    <s v=""/>
    <s v=""/>
    <s v="Hours Worked"/>
    <n v="15"/>
    <s v="hour"/>
    <n v="92"/>
    <s v=""/>
    <n v="1380"/>
    <s v="--multiple--"/>
    <s v="706989"/>
    <d v="2025-10-13T11:15:35"/>
    <s v=""/>
    <s v=""/>
    <s v=""/>
    <s v=""/>
  </r>
  <r>
    <s v="34115"/>
    <s v="Apex Energy Services"/>
    <x v="6"/>
    <s v="Kevin Kunkel"/>
    <s v="Elam Tavarez"/>
    <s v="Hauled 300bbls of PW to 829 and Judge SWD_x000a_Disposal Ticket: 1098-30591-100BBLS, 1098-30609-100BBLS, 176180-100BBLS"/>
    <s v="5051054"/>
    <s v="Upstream"/>
    <s v=""/>
    <s v="USD"/>
    <n v="1817"/>
    <s v="Direct Entry"/>
    <s v="1"/>
    <s v="Tandem Tractor Vacuum Truck - 130 BBL W/ Driver"/>
    <s v="Tandem Tractor Vacuum Truck - 130 BBL W/ Driver"/>
    <s v="Transportation Services"/>
    <d v="2025-10-13T11:16:28"/>
    <d v="2025-10-05T06:00:00"/>
    <d v="2025-10-05T22:00:00"/>
    <d v="1899-12-30T16:00:00"/>
    <s v="GWW"/>
    <s v=""/>
    <s v=""/>
    <s v="PW"/>
    <s v=""/>
    <s v=""/>
    <s v=""/>
    <s v=""/>
    <s v=""/>
    <s v=""/>
    <s v=""/>
    <s v=""/>
    <s v=""/>
    <s v=""/>
    <s v=""/>
    <s v=""/>
    <s v=""/>
    <s v=""/>
    <s v=""/>
    <s v=""/>
    <s v=""/>
    <n v="0"/>
    <s v="bbl"/>
    <s v=""/>
    <s v=""/>
    <s v=""/>
    <s v=""/>
    <s v="8000111500"/>
    <s v="GWW BATTERY"/>
    <s v="Upstream"/>
    <s v="1046"/>
    <s v=""/>
    <s v=""/>
    <s v=""/>
    <s v=""/>
    <s v=""/>
    <s v=""/>
    <s v="Hours Worked"/>
    <n v="16"/>
    <s v="hour"/>
    <n v="92"/>
    <s v=""/>
    <n v="1472"/>
    <s v="--multiple--"/>
    <s v="706989"/>
    <d v="2025-10-14T10:09:40"/>
    <s v=""/>
    <s v=""/>
    <s v="Validation Overlapping Hours"/>
    <s v=""/>
  </r>
  <r>
    <s v="36865"/>
    <s v="Apex Energy Services"/>
    <x v="7"/>
    <s v="Kevin Kunkel"/>
    <s v="Elam Tavarez"/>
    <s v="Hauled 200bbls of PW to 829 SWD_x000a_Disposal Ticket: 176175-100BBLS, 176178-100BBLS"/>
    <s v="5051054"/>
    <s v="Upstream"/>
    <s v=""/>
    <s v="USD"/>
    <n v="828"/>
    <s v="Direct Entry"/>
    <s v="1"/>
    <s v="Tandem Tractor Vacuum Truck - 130 BBL W/ Driver"/>
    <s v="Tandem Tractor Vacuum Truck - 130 BBL W/ Driver"/>
    <s v="Transportation Services"/>
    <d v="2025-10-13T11:32:14"/>
    <d v="2025-10-05T10:00:00"/>
    <d v="2025-10-05T16:30:00"/>
    <d v="1899-12-30T06:30:00"/>
    <s v="T-Y 9"/>
    <s v=""/>
    <s v=""/>
    <s v="PW"/>
    <s v=""/>
    <s v=""/>
    <s v=""/>
    <s v=""/>
    <s v=""/>
    <s v=""/>
    <s v=""/>
    <s v=""/>
    <s v=""/>
    <s v=""/>
    <s v=""/>
    <s v=""/>
    <s v=""/>
    <s v=""/>
    <s v=""/>
    <s v=""/>
    <s v=""/>
    <n v="0"/>
    <s v="bbl"/>
    <s v=""/>
    <s v=""/>
    <s v=""/>
    <s v=""/>
    <s v="8000112800"/>
    <s v="T-Y (1-9) BATTERY"/>
    <s v="Upstream"/>
    <s v="1046"/>
    <s v=""/>
    <s v=""/>
    <s v=""/>
    <s v=""/>
    <s v=""/>
    <s v=""/>
    <s v="Hours Worked"/>
    <n v="6.5"/>
    <s v="hour"/>
    <n v="92"/>
    <s v=""/>
    <n v="598"/>
    <s v="--multiple--"/>
    <s v="706989"/>
    <d v="2025-10-13T11:35:52"/>
    <s v=""/>
    <s v=""/>
    <s v=""/>
    <s v=""/>
  </r>
  <r>
    <s v="37192"/>
    <s v="Apex Energy Services"/>
    <x v="6"/>
    <s v="Kevin Kunkel"/>
    <s v="Elam Tavarez"/>
    <s v="Hauled 500bbls of PW to Judge SWD_x000a_Disposal Ticket: 1098-30614-100BBLS, 1098-30612-100BBLS, 1098-30602-100BBLS, 1098-30601-100BBLS, 1098-30596-100BBLS"/>
    <s v="5051054"/>
    <s v="Upstream"/>
    <s v=""/>
    <s v="USD"/>
    <n v="1679"/>
    <s v="Direct Entry"/>
    <s v="1"/>
    <s v="Tandem Tractor Vacuum Truck - 130 BBL W/ Driver"/>
    <s v="Tandem Tractor Vacuum Truck - 130 BBL W/ Driver"/>
    <s v="Transportation Services"/>
    <d v="2025-10-13T08:58:28"/>
    <d v="2025-10-05T12:00:00"/>
    <d v="2025-10-06T00:00:00"/>
    <d v="1899-12-30T12:00:00"/>
    <s v="Fryar 9"/>
    <s v=""/>
    <s v=""/>
    <s v="PW"/>
    <s v=""/>
    <s v=""/>
    <s v=""/>
    <s v=""/>
    <s v=""/>
    <s v=""/>
    <s v=""/>
    <s v=""/>
    <s v=""/>
    <s v=""/>
    <s v=""/>
    <s v=""/>
    <s v=""/>
    <s v=""/>
    <s v=""/>
    <s v=""/>
    <s v=""/>
    <n v="0"/>
    <s v="bbl"/>
    <s v=""/>
    <s v=""/>
    <s v=""/>
    <s v=""/>
    <s v="8000044700"/>
    <s v="FRYAR 9 BATTERY"/>
    <s v="Upstream"/>
    <s v="1046"/>
    <s v=""/>
    <s v=""/>
    <s v=""/>
    <s v=""/>
    <s v=""/>
    <s v=""/>
    <s v="Hours Worked"/>
    <n v="12"/>
    <s v="hour"/>
    <n v="92"/>
    <s v=""/>
    <n v="1104"/>
    <s v="--multiple--"/>
    <s v="706989"/>
    <d v="2025-10-13T09:03:27"/>
    <s v=""/>
    <s v=""/>
    <s v=""/>
    <s v=""/>
  </r>
  <r>
    <s v="37015"/>
    <s v="Apex Energy Services"/>
    <x v="6"/>
    <s v="Kevin Kunkel"/>
    <s v="Elam Tavarez"/>
    <s v="Hauled 400bbls of PW to 829 and Judge SWD_x000a_Disposal Ticket: 1098-30610-100BBLS, 1098-30616-100BBLS, 176187-100BBLS, 176184-100BBLS"/>
    <s v="5051054"/>
    <s v="Upstream"/>
    <s v=""/>
    <s v="USD"/>
    <n v="1932"/>
    <s v="Direct Entry"/>
    <s v="1"/>
    <s v="Tandem Tractor Vacuum Truck - 130 BBL W/ Driver"/>
    <s v="Tandem Tractor Vacuum Truck - 130 BBL W/ Driver"/>
    <s v="Transportation Services"/>
    <d v="2025-10-13T12:09:35"/>
    <d v="2025-10-05T17:00:00"/>
    <d v="2025-10-06T09:00:00"/>
    <d v="1899-12-30T16:00:00"/>
    <s v="GWW"/>
    <s v=""/>
    <s v=""/>
    <s v="PW"/>
    <s v=""/>
    <s v=""/>
    <s v=""/>
    <s v=""/>
    <s v=""/>
    <s v=""/>
    <s v=""/>
    <s v=""/>
    <s v=""/>
    <s v=""/>
    <s v=""/>
    <s v=""/>
    <s v=""/>
    <s v=""/>
    <s v=""/>
    <s v=""/>
    <s v=""/>
    <n v="0"/>
    <s v="bbl"/>
    <s v=""/>
    <s v=""/>
    <s v=""/>
    <s v=""/>
    <s v="8000111500"/>
    <s v="GWW BATTERY"/>
    <s v="Upstream"/>
    <s v="1046"/>
    <s v=""/>
    <s v=""/>
    <s v=""/>
    <s v=""/>
    <s v=""/>
    <s v=""/>
    <s v="Hours Worked"/>
    <n v="16"/>
    <s v="hour"/>
    <n v="92"/>
    <s v=""/>
    <n v="1472"/>
    <s v="--multiple--"/>
    <s v="706989"/>
    <d v="2025-10-13T12:14:42"/>
    <s v=""/>
    <s v=""/>
    <s v=""/>
    <s v=""/>
  </r>
  <r>
    <s v="37088"/>
    <s v="Apex Energy Services"/>
    <x v="6"/>
    <s v="Kevin Kunkel"/>
    <s v="Elam Tavarez"/>
    <s v="Hauled 400bbls of PW to 829 and Judge SWD_x000a_Disposal Ticket: 1098-30608-100BBLS, 176186-100BBLS, 176181-100BBLS, 176183-100BBLS"/>
    <s v="5051054"/>
    <s v="Upstream"/>
    <s v=""/>
    <s v="USD"/>
    <n v="1932"/>
    <s v="Direct Entry"/>
    <s v="1"/>
    <s v="Tandem Tractor Vacuum Truck - 130 BBL W/ Driver"/>
    <s v="Tandem Tractor Vacuum Truck - 130 BBL W/ Driver"/>
    <s v="Transportation Services"/>
    <d v="2025-10-13T12:17:26"/>
    <d v="2025-10-05T17:00:00"/>
    <d v="2025-10-06T09:00:00"/>
    <d v="1899-12-30T16:00:00"/>
    <s v="GWW"/>
    <s v=""/>
    <s v=""/>
    <s v="PW"/>
    <s v=""/>
    <s v=""/>
    <s v=""/>
    <s v=""/>
    <s v=""/>
    <s v=""/>
    <s v=""/>
    <s v=""/>
    <s v=""/>
    <s v=""/>
    <s v=""/>
    <s v=""/>
    <s v=""/>
    <s v=""/>
    <s v=""/>
    <s v=""/>
    <s v=""/>
    <n v="0"/>
    <s v="bbl"/>
    <s v=""/>
    <s v=""/>
    <s v=""/>
    <s v=""/>
    <s v="8000111500"/>
    <s v="GWW BATTERY"/>
    <s v="Upstream"/>
    <s v="1046"/>
    <s v=""/>
    <s v=""/>
    <s v=""/>
    <s v=""/>
    <s v=""/>
    <s v=""/>
    <s v="Hours Worked"/>
    <n v="16"/>
    <s v="hour"/>
    <n v="92"/>
    <s v=""/>
    <n v="1472"/>
    <s v="--multiple--"/>
    <s v="706989"/>
    <d v="2025-10-13T12:20:23"/>
    <s v=""/>
    <s v=""/>
    <s v=""/>
    <s v=""/>
  </r>
  <r>
    <s v="36867"/>
    <s v="Apex Energy Services"/>
    <x v="6"/>
    <s v="Kevin Kunkel"/>
    <s v="Elam Tavarez"/>
    <s v="Hauled 300bbls of PW to 829 SWD_x000a_Disposal Ticket: 176182-100BBLs, 1098-30615-100BBLS, 176185-100BBLS"/>
    <s v="5051054"/>
    <s v="Upstream"/>
    <s v=""/>
    <s v="USD"/>
    <n v="1449"/>
    <s v="Direct Entry"/>
    <s v="1"/>
    <s v="Tandem Tractor Vacuum Truck - 130 BBL W/ Driver"/>
    <s v="Tandem Tractor Vacuum Truck - 130 BBL W/ Driver"/>
    <s v="Transportation Services"/>
    <d v="2025-10-13T12:02:10"/>
    <d v="2025-10-05T19:00:00"/>
    <d v="2025-10-06T07:00:00"/>
    <d v="1899-12-30T12:00:00"/>
    <s v="GWW"/>
    <s v=""/>
    <s v=""/>
    <s v="PW"/>
    <s v=""/>
    <s v=""/>
    <s v=""/>
    <s v=""/>
    <s v=""/>
    <s v=""/>
    <s v=""/>
    <s v=""/>
    <s v=""/>
    <s v=""/>
    <s v=""/>
    <s v=""/>
    <s v=""/>
    <s v=""/>
    <s v=""/>
    <s v=""/>
    <s v=""/>
    <n v="0"/>
    <s v="bbl"/>
    <s v=""/>
    <s v=""/>
    <s v=""/>
    <s v=""/>
    <s v="8000111500"/>
    <s v="GWW BATTERY"/>
    <s v="Upstream"/>
    <s v="1046"/>
    <s v=""/>
    <s v=""/>
    <s v=""/>
    <s v=""/>
    <s v=""/>
    <s v=""/>
    <s v="Hours Worked"/>
    <n v="12"/>
    <s v="hour"/>
    <n v="92"/>
    <s v=""/>
    <n v="1104"/>
    <s v="--multiple--"/>
    <s v="706989"/>
    <d v="2025-10-13T12:07:11"/>
    <s v=""/>
    <s v=""/>
    <s v=""/>
    <s v=""/>
  </r>
  <r>
    <s v="36937"/>
    <s v="Apex Energy Services"/>
    <x v="6"/>
    <s v="Kevin Kunkel"/>
    <s v="Elam Tavarez"/>
    <s v="Hauled 400bbls of PW to Judge and Direct SWD_x000a_Disposal Ticket: 1098-30626-100BBLS, 6244-100BBLS, 6247-100BBLS, 6243-100BBLS"/>
    <s v="5051054"/>
    <s v="Upstream"/>
    <s v=""/>
    <s v="USD"/>
    <n v="1656"/>
    <s v="Direct Entry"/>
    <s v="1"/>
    <s v="Tandem Tractor Vacuum Truck - 130 BBL W/ Driver"/>
    <s v="Tandem Tractor Vacuum Truck - 130 BBL W/ Driver"/>
    <s v="Transportation Services"/>
    <d v="2025-10-13T12:23:09"/>
    <d v="2025-10-06T05:00:00"/>
    <d v="2025-10-06T18:00:00"/>
    <d v="1899-12-30T13:00:00"/>
    <s v="GWW"/>
    <s v=""/>
    <s v=""/>
    <s v="PW"/>
    <s v=""/>
    <s v=""/>
    <s v=""/>
    <s v=""/>
    <s v=""/>
    <s v=""/>
    <s v=""/>
    <s v=""/>
    <s v=""/>
    <s v=""/>
    <s v=""/>
    <s v=""/>
    <s v=""/>
    <s v=""/>
    <s v=""/>
    <s v=""/>
    <s v=""/>
    <n v="0"/>
    <s v="bbl"/>
    <s v=""/>
    <s v=""/>
    <s v=""/>
    <s v=""/>
    <s v="8000111500"/>
    <s v="GWW BATTERY"/>
    <s v="Upstream"/>
    <s v="1046"/>
    <s v=""/>
    <s v=""/>
    <s v=""/>
    <s v=""/>
    <s v=""/>
    <s v=""/>
    <s v="Hours Worked"/>
    <n v="13"/>
    <s v="hour"/>
    <n v="92"/>
    <s v=""/>
    <n v="1196"/>
    <s v="--multiple--"/>
    <s v="706989"/>
    <d v="2025-10-13T12:27:39"/>
    <s v=""/>
    <s v=""/>
    <s v=""/>
    <s v=""/>
  </r>
  <r>
    <s v="37164"/>
    <s v="Apex Energy Services"/>
    <x v="6"/>
    <s v="Kevin Kunkel"/>
    <s v="Elam Tavarez"/>
    <s v="Hauled 400bbls of PW to Judge SWD_x000a_Disposal Ticket: 1098-30630-100BBLS, 1098-30623-100BBLS, 1098-30617-100BBLS, 1098-30621-100BBLS"/>
    <s v="5051054"/>
    <s v="Upstream"/>
    <s v=""/>
    <s v="USD"/>
    <n v="1840"/>
    <s v="Direct Entry"/>
    <s v="1"/>
    <s v="Tandem Tractor Vacuum Truck - 130 BBL W/ Driver"/>
    <s v="Tandem Tractor Vacuum Truck - 130 BBL W/ Driver"/>
    <s v="Transportation Services"/>
    <d v="2025-10-13T12:29:15"/>
    <d v="2025-10-06T05:00:00"/>
    <d v="2025-10-06T20:00:00"/>
    <d v="1899-12-30T15:00:00"/>
    <s v="GWW"/>
    <s v=""/>
    <s v=""/>
    <s v="PW"/>
    <s v=""/>
    <s v=""/>
    <s v=""/>
    <s v=""/>
    <s v=""/>
    <s v=""/>
    <s v=""/>
    <s v=""/>
    <s v=""/>
    <s v=""/>
    <s v=""/>
    <s v=""/>
    <s v=""/>
    <s v=""/>
    <s v=""/>
    <s v=""/>
    <s v=""/>
    <n v="0"/>
    <s v="bbl"/>
    <s v=""/>
    <s v=""/>
    <s v=""/>
    <s v=""/>
    <s v="8000111500"/>
    <s v="GWW BATTERY"/>
    <s v="Upstream"/>
    <s v="1046"/>
    <s v=""/>
    <s v=""/>
    <s v=""/>
    <s v=""/>
    <s v=""/>
    <s v=""/>
    <s v="Hours Worked"/>
    <n v="15"/>
    <s v="hour"/>
    <n v="92"/>
    <s v=""/>
    <n v="1380"/>
    <s v="--multiple--"/>
    <s v="706989"/>
    <d v="2025-10-13T12:33:17"/>
    <s v=""/>
    <s v=""/>
    <s v=""/>
    <s v=""/>
  </r>
  <r>
    <s v="35812"/>
    <s v="Apex Energy Services"/>
    <x v="6"/>
    <s v="Kevin Kunkel"/>
    <s v="Elam Tavarez"/>
    <s v="Hauled 100bbls of PW to 829 SWD_x000a_Disposal Ticket: 176188-100BBLS"/>
    <s v="5051054"/>
    <s v="Upstream"/>
    <s v=""/>
    <s v="USD"/>
    <n v="391"/>
    <s v="Direct Entry"/>
    <s v="1"/>
    <s v="Tandem Tractor Vacuum Truck - 130 BBL W/ Driver"/>
    <s v="Tandem Tractor Vacuum Truck - 130 BBL W/ Driver"/>
    <s v="Transportation Services"/>
    <d v="2025-10-13T11:50:28"/>
    <d v="2025-10-06T06:00:00"/>
    <d v="2025-10-06T09:00:00"/>
    <d v="1899-12-30T03:00:00"/>
    <s v="Dubose"/>
    <s v=""/>
    <s v=""/>
    <s v="PW"/>
    <s v=""/>
    <s v=""/>
    <s v=""/>
    <s v=""/>
    <s v=""/>
    <s v=""/>
    <s v=""/>
    <s v=""/>
    <s v=""/>
    <s v=""/>
    <s v=""/>
    <s v=""/>
    <s v=""/>
    <s v=""/>
    <s v=""/>
    <s v=""/>
    <s v=""/>
    <n v="0"/>
    <s v="bbl"/>
    <s v=""/>
    <s v=""/>
    <s v=""/>
    <s v=""/>
    <s v="8000126200"/>
    <s v="DUBOSE CTB"/>
    <s v="Upstream"/>
    <s v="1046"/>
    <s v=""/>
    <s v=""/>
    <s v=""/>
    <s v=""/>
    <s v=""/>
    <s v=""/>
    <s v="Hours Worked"/>
    <n v="3"/>
    <s v="hour"/>
    <n v="92"/>
    <s v=""/>
    <n v="276"/>
    <s v="--multiple--"/>
    <s v="706989"/>
    <d v="2025-10-13T11:55:25"/>
    <s v=""/>
    <s v=""/>
    <s v=""/>
    <s v=""/>
  </r>
  <r>
    <s v="32812"/>
    <s v="Apex Energy Services"/>
    <x v="6"/>
    <s v="Kevin Kunkel"/>
    <s v="Elam Tavarez"/>
    <s v="Hauled 400bbls of PW to Judge and Direct SWD_x000a_Disposal Ticket: 1098-30633-100BBLS, 1098-30618-100BBLS, 6246-100BBLS, 6249-100BBLS"/>
    <s v="5051054"/>
    <s v="Upstream"/>
    <s v=""/>
    <s v="USD"/>
    <n v="1840"/>
    <s v="Direct Entry"/>
    <s v="1"/>
    <s v="Tandem Tractor Vacuum Truck - 130 BBL W/ Driver"/>
    <s v="Tandem Tractor Vacuum Truck - 130 BBL W/ Driver"/>
    <s v="Transportation Services"/>
    <d v="2025-10-13T12:36:11"/>
    <d v="2025-10-06T06:00:00"/>
    <d v="2025-10-06T21:00:00"/>
    <d v="1899-12-30T15:00:00"/>
    <s v="GWW"/>
    <s v=""/>
    <s v=""/>
    <s v="PW"/>
    <s v=""/>
    <s v=""/>
    <s v=""/>
    <s v=""/>
    <s v=""/>
    <s v=""/>
    <s v=""/>
    <s v=""/>
    <s v=""/>
    <s v=""/>
    <s v=""/>
    <s v=""/>
    <s v=""/>
    <s v=""/>
    <s v=""/>
    <s v=""/>
    <s v=""/>
    <n v="0"/>
    <s v="bbl"/>
    <s v=""/>
    <s v=""/>
    <s v=""/>
    <s v=""/>
    <s v="8000111500"/>
    <s v="GWW BATTERY"/>
    <s v="Upstream"/>
    <s v="1046"/>
    <s v=""/>
    <s v=""/>
    <s v=""/>
    <s v=""/>
    <s v=""/>
    <s v=""/>
    <s v="Hours Worked"/>
    <n v="15"/>
    <s v="hour"/>
    <n v="92"/>
    <s v=""/>
    <n v="1380"/>
    <s v="--multiple--"/>
    <s v="706989"/>
    <d v="2025-10-13T12:48:08"/>
    <s v=""/>
    <s v=""/>
    <s v=""/>
    <s v=""/>
  </r>
  <r>
    <s v="34116"/>
    <s v="Apex Energy Services"/>
    <x v="7"/>
    <s v="Kevin Kunkel"/>
    <s v="Elam Tavarez"/>
    <s v="Hauled 100bbls of PW to 829 SWD_x000a_Disposal Ticket: 176189-100BBLS"/>
    <s v="5051054"/>
    <s v="Upstream"/>
    <s v=""/>
    <s v="USD"/>
    <n v="391"/>
    <s v="Direct Entry"/>
    <s v="1"/>
    <s v="Tandem Tractor Vacuum Truck - 130 BBL W/ Driver"/>
    <s v="Tandem Tractor Vacuum Truck - 130 BBL W/ Driver"/>
    <s v="Transportation Services"/>
    <d v="2025-10-13T13:03:02"/>
    <d v="2025-10-06T06:00:00"/>
    <d v="2025-10-06T09:00:00"/>
    <d v="1899-12-30T03:00:00"/>
    <s v="T-Y 10"/>
    <s v=""/>
    <s v=""/>
    <s v="PW"/>
    <s v=""/>
    <s v=""/>
    <s v=""/>
    <s v=""/>
    <s v=""/>
    <s v=""/>
    <s v=""/>
    <s v=""/>
    <s v=""/>
    <s v=""/>
    <s v=""/>
    <s v=""/>
    <s v=""/>
    <s v=""/>
    <s v=""/>
    <s v=""/>
    <s v=""/>
    <n v="0"/>
    <s v="bbl"/>
    <s v=""/>
    <s v=""/>
    <s v=""/>
    <s v=""/>
    <s v="8000112700"/>
    <s v="T-Y (10-14) BATTERY"/>
    <s v="Upstream"/>
    <s v="1046"/>
    <s v=""/>
    <s v=""/>
    <s v=""/>
    <s v=""/>
    <s v=""/>
    <s v=""/>
    <s v="Hours Worked"/>
    <n v="3"/>
    <s v="hour"/>
    <n v="92"/>
    <s v=""/>
    <n v="276"/>
    <s v="--multiple--"/>
    <s v="706989"/>
    <d v="2025-10-14T10:08:48"/>
    <s v=""/>
    <s v=""/>
    <s v="Validation Overlapping Hours"/>
    <s v=""/>
  </r>
  <r>
    <s v="35817"/>
    <s v="Apex Energy Services"/>
    <x v="6"/>
    <s v="Kevin Kunkel"/>
    <s v="Elam Tavarez"/>
    <s v="Hauled 100bbls of PW to Judge SWD_x000a_Disposal Ticket: 1098-30620-100BBLS"/>
    <s v="5051054"/>
    <s v="Upstream"/>
    <s v=""/>
    <s v="USD"/>
    <n v="345"/>
    <s v="Direct Entry"/>
    <s v="1"/>
    <s v="Tandem Tractor Vacuum Truck - 130 BBL W/ Driver"/>
    <s v="Tandem Tractor Vacuum Truck - 130 BBL W/ Driver"/>
    <s v="Transportation Services"/>
    <d v="2025-10-13T12:56:56"/>
    <d v="2025-10-06T09:00:00"/>
    <d v="2025-10-06T11:30:00"/>
    <d v="1899-12-30T02:30:00"/>
    <s v="Holloway B"/>
    <s v=""/>
    <s v=""/>
    <s v="PW"/>
    <s v=""/>
    <s v=""/>
    <s v=""/>
    <s v=""/>
    <s v=""/>
    <s v=""/>
    <s v=""/>
    <s v=""/>
    <s v=""/>
    <s v=""/>
    <s v=""/>
    <s v=""/>
    <s v=""/>
    <s v=""/>
    <s v=""/>
    <s v=""/>
    <s v=""/>
    <n v="0"/>
    <s v="bbl"/>
    <s v=""/>
    <s v=""/>
    <s v=""/>
    <s v=""/>
    <s v="8000138900"/>
    <s v="HOLLOWAY CTB"/>
    <s v="Upstream"/>
    <s v="1046"/>
    <s v=""/>
    <s v=""/>
    <s v=""/>
    <s v=""/>
    <s v=""/>
    <s v=""/>
    <s v="Hours Worked"/>
    <n v="2.5"/>
    <s v="hour"/>
    <n v="92"/>
    <s v=""/>
    <n v="230"/>
    <s v="--multiple--"/>
    <s v="706989"/>
    <d v="2025-10-13T12:59:57"/>
    <s v=""/>
    <s v=""/>
    <s v=""/>
    <s v=""/>
  </r>
  <r>
    <s v="34119"/>
    <s v="Apex Energy Services"/>
    <x v="6"/>
    <s v="Kevin Kunkel"/>
    <s v="Elam Tavarez"/>
    <s v="Hauled 100bbls of PW to Judge SWD_x000a_Disposal Ticket: 1098-30622-100BBLS"/>
    <s v="5051054"/>
    <s v="Upstream"/>
    <s v=""/>
    <s v="USD"/>
    <n v="299"/>
    <s v="Direct Entry"/>
    <s v="1"/>
    <s v="Tandem Tractor Vacuum Truck - 130 BBL W/ Driver"/>
    <s v="Tandem Tractor Vacuum Truck - 130 BBL W/ Driver"/>
    <s v="Transportation Services"/>
    <d v="2025-10-13T13:13:32"/>
    <d v="2025-10-06T13:00:00"/>
    <d v="2025-10-06T15:00:00"/>
    <d v="1899-12-30T02:00:00"/>
    <s v="Lucas"/>
    <s v=""/>
    <s v=""/>
    <s v="PW"/>
    <s v=""/>
    <s v=""/>
    <s v=""/>
    <s v=""/>
    <s v=""/>
    <s v=""/>
    <s v=""/>
    <s v=""/>
    <s v=""/>
    <s v=""/>
    <s v=""/>
    <s v=""/>
    <s v=""/>
    <s v=""/>
    <s v=""/>
    <s v=""/>
    <s v=""/>
    <n v="0"/>
    <s v="bbl"/>
    <s v=""/>
    <s v=""/>
    <s v=""/>
    <s v=""/>
    <s v="8000126400"/>
    <s v="LUCAS CTB"/>
    <s v="Upstream"/>
    <s v="1046"/>
    <s v=""/>
    <s v=""/>
    <s v=""/>
    <s v=""/>
    <s v=""/>
    <s v=""/>
    <s v="Hours Worked"/>
    <n v="2"/>
    <s v="hour"/>
    <n v="92"/>
    <s v=""/>
    <n v="184"/>
    <s v="--multiple--"/>
    <s v="706989"/>
    <d v="2025-10-13T13:15:32"/>
    <s v=""/>
    <s v=""/>
    <s v=""/>
    <s v=""/>
  </r>
  <r>
    <s v="35814"/>
    <s v="Apex Energy Services"/>
    <x v="6"/>
    <s v="Kevin Kunkel"/>
    <s v="Elam Tavarez"/>
    <s v="Hauled 100bbls of PW to Judge SWD_x000a_Disposal Ticket: 1098-30624-100BBLS"/>
    <s v="5051054"/>
    <s v="Upstream"/>
    <s v=""/>
    <s v="USD"/>
    <n v="391"/>
    <s v="Direct Entry"/>
    <s v="1"/>
    <s v="Tandem Tractor Vacuum Truck - 130 BBL W/ Driver"/>
    <s v="Tandem Tractor Vacuum Truck - 130 BBL W/ Driver"/>
    <s v="Transportation Services"/>
    <d v="2025-10-13T13:17:15"/>
    <d v="2025-10-06T14:00:00"/>
    <d v="2025-10-06T17:00:00"/>
    <d v="1899-12-30T03:00:00"/>
    <s v="DSU 8915"/>
    <s v=""/>
    <s v=""/>
    <s v="PW"/>
    <s v=""/>
    <s v=""/>
    <s v=""/>
    <s v=""/>
    <s v=""/>
    <s v=""/>
    <s v=""/>
    <s v=""/>
    <s v=""/>
    <s v=""/>
    <s v=""/>
    <s v=""/>
    <s v=""/>
    <s v=""/>
    <s v=""/>
    <s v=""/>
    <s v=""/>
    <n v="0"/>
    <s v="bbl"/>
    <s v=""/>
    <s v=""/>
    <s v=""/>
    <s v=""/>
    <s v="8000132400"/>
    <s v="DSU 8 9 &amp; 15"/>
    <s v="Upstream"/>
    <s v="1046"/>
    <s v=""/>
    <s v=""/>
    <s v=""/>
    <s v=""/>
    <s v=""/>
    <s v=""/>
    <s v="Hours Worked"/>
    <n v="3"/>
    <s v="hour"/>
    <n v="92"/>
    <s v=""/>
    <n v="276"/>
    <s v="--multiple--"/>
    <s v="706989"/>
    <d v="2025-10-13T13:19:21"/>
    <s v=""/>
    <s v=""/>
    <s v=""/>
    <s v=""/>
  </r>
  <r>
    <s v="34120"/>
    <s v="Apex Energy Services"/>
    <x v="6"/>
    <s v="Kevin Kunkel"/>
    <s v="Elam Tavarez"/>
    <s v="Hauled 100bbls of PW to Judge SWD_x000a_Disposal Ticket: 1098-30625-100BBLS"/>
    <s v="5051054"/>
    <s v="Upstream"/>
    <s v=""/>
    <s v="USD"/>
    <n v="299"/>
    <s v="Direct Entry"/>
    <s v="1"/>
    <s v="Tandem Tractor Vacuum Truck - 130 BBL W/ Driver"/>
    <s v="Tandem Tractor Vacuum Truck - 130 BBL W/ Driver"/>
    <s v="Transportation Services"/>
    <d v="2025-10-13T13:22:23"/>
    <d v="2025-10-06T15:00:00"/>
    <d v="2025-10-06T17:00:00"/>
    <d v="1899-12-30T02:00:00"/>
    <s v="DSU 8915"/>
    <s v=""/>
    <s v=""/>
    <s v="PW"/>
    <s v=""/>
    <s v=""/>
    <s v=""/>
    <s v=""/>
    <s v=""/>
    <s v=""/>
    <s v=""/>
    <s v=""/>
    <s v=""/>
    <s v=""/>
    <s v=""/>
    <s v=""/>
    <s v=""/>
    <s v=""/>
    <s v=""/>
    <s v=""/>
    <s v=""/>
    <n v="0"/>
    <s v="bbl"/>
    <s v=""/>
    <s v=""/>
    <s v=""/>
    <s v=""/>
    <s v="8000132400"/>
    <s v="DSU 8 9 &amp; 15"/>
    <s v="Upstream"/>
    <s v="1046"/>
    <s v=""/>
    <s v=""/>
    <s v=""/>
    <s v=""/>
    <s v=""/>
    <s v=""/>
    <s v="Hours Worked"/>
    <n v="2"/>
    <s v="hour"/>
    <n v="92"/>
    <s v=""/>
    <n v="184"/>
    <s v="--multiple--"/>
    <s v="706989"/>
    <d v="2025-10-13T13:26:33"/>
    <s v=""/>
    <s v=""/>
    <s v=""/>
    <s v=""/>
  </r>
  <r>
    <s v="34121"/>
    <s v="Apex Energy Services"/>
    <x v="6"/>
    <s v="Kevin Kunkel"/>
    <s v="Elam Tavarez"/>
    <s v="Hauled 100bbls of PW to Judge SWD_x000a_Disposal Ticket: 1098-30632-100BBLS"/>
    <s v="5051054"/>
    <s v="Upstream"/>
    <s v=""/>
    <s v="USD"/>
    <n v="391"/>
    <s v="Direct Entry"/>
    <s v="1"/>
    <s v="Tandem Tractor Vacuum Truck - 130 BBL W/ Driver"/>
    <s v="Tandem Tractor Vacuum Truck - 130 BBL W/ Driver"/>
    <s v="Transportation Services"/>
    <d v="2025-10-13T11:44:06"/>
    <d v="2025-10-06T17:00:00"/>
    <d v="2025-10-06T20:00:00"/>
    <d v="1899-12-30T03:00:00"/>
    <s v="Dubose"/>
    <s v=""/>
    <s v=""/>
    <s v="PW"/>
    <s v=""/>
    <s v=""/>
    <s v=""/>
    <s v=""/>
    <s v=""/>
    <s v=""/>
    <s v=""/>
    <s v=""/>
    <s v=""/>
    <s v=""/>
    <s v=""/>
    <s v=""/>
    <s v=""/>
    <s v=""/>
    <s v=""/>
    <s v=""/>
    <s v=""/>
    <n v="0"/>
    <s v="bbl"/>
    <s v=""/>
    <s v=""/>
    <s v=""/>
    <s v=""/>
    <s v="8000126200"/>
    <s v="DUBOSE CTB"/>
    <s v="Upstream"/>
    <s v="1046"/>
    <s v=""/>
    <s v=""/>
    <s v=""/>
    <s v=""/>
    <s v=""/>
    <s v=""/>
    <s v="Hours Worked"/>
    <n v="3"/>
    <s v="hour"/>
    <n v="92"/>
    <s v=""/>
    <n v="276"/>
    <s v="--multiple--"/>
    <s v="706989"/>
    <d v="2025-10-13T11:48:13"/>
    <s v=""/>
    <s v=""/>
    <s v=""/>
    <s v=""/>
  </r>
  <r>
    <s v="35815"/>
    <s v="Apex Energy Services"/>
    <x v="6"/>
    <s v="Kevin Kunkel"/>
    <s v="Elam Tavarez"/>
    <s v="Hauled 100bbls of PW to Judge SWD_x000a_Disposal Ticket: 1098-30629-100BBLS"/>
    <s v="5051054"/>
    <s v="Upstream"/>
    <s v=""/>
    <s v="USD"/>
    <n v="391"/>
    <s v="Direct Entry"/>
    <s v="1"/>
    <s v="Tandem Tractor Vacuum Truck - 130 BBL W/ Driver"/>
    <s v="Tandem Tractor Vacuum Truck - 130 BBL W/ Driver"/>
    <s v="Transportation Services"/>
    <d v="2025-10-13T11:56:18"/>
    <d v="2025-10-06T17:00:00"/>
    <d v="2025-10-06T20:00:00"/>
    <d v="1899-12-30T03:00:00"/>
    <s v="Dubose"/>
    <s v=""/>
    <s v=""/>
    <s v="PW"/>
    <s v=""/>
    <s v=""/>
    <s v=""/>
    <s v=""/>
    <s v=""/>
    <s v=""/>
    <s v=""/>
    <s v=""/>
    <s v=""/>
    <s v=""/>
    <s v=""/>
    <s v=""/>
    <s v=""/>
    <s v=""/>
    <s v=""/>
    <s v=""/>
    <s v=""/>
    <n v="0"/>
    <s v="bbl"/>
    <s v=""/>
    <s v=""/>
    <s v=""/>
    <s v=""/>
    <s v="8000126200"/>
    <s v="DUBOSE CTB"/>
    <s v="Upstream"/>
    <s v="1046"/>
    <s v=""/>
    <s v=""/>
    <s v=""/>
    <s v=""/>
    <s v=""/>
    <s v=""/>
    <s v="Hours Worked"/>
    <n v="3"/>
    <s v="hour"/>
    <n v="92"/>
    <s v=""/>
    <n v="276"/>
    <s v="--multiple--"/>
    <s v="706989"/>
    <d v="2025-10-13T11:58:39"/>
    <s v=""/>
    <s v=""/>
    <s v=""/>
    <s v=""/>
  </r>
  <r>
    <s v="36938"/>
    <s v="Apex Energy Services"/>
    <x v="6"/>
    <s v="Kevin Kunkel"/>
    <s v="Elam Tavarez"/>
    <s v="Hauled 400bbls of PW to Direct SWD_x000a_Disposal Ticket: 6279-100BBLS, 6274-100BBLs, 6268-100BBLS, 6264-100BBLS"/>
    <s v="5051054"/>
    <s v="Upstream"/>
    <s v=""/>
    <s v="USD"/>
    <n v="1702"/>
    <s v="Direct Entry"/>
    <s v="1"/>
    <s v="Tandem Tractor Vacuum Truck - 130 BBL W/ Driver"/>
    <s v="Tandem Tractor Vacuum Truck - 130 BBL W/ Driver"/>
    <s v="Transportation Services"/>
    <d v="2025-10-13T15:45:39"/>
    <d v="2025-10-07T05:00:00"/>
    <d v="2025-10-07T18:30:00"/>
    <d v="1899-12-30T13:30:00"/>
    <s v="GWW"/>
    <s v=""/>
    <s v=""/>
    <s v="PW"/>
    <s v=""/>
    <s v=""/>
    <s v=""/>
    <s v=""/>
    <s v=""/>
    <s v=""/>
    <s v=""/>
    <s v=""/>
    <s v=""/>
    <s v=""/>
    <s v=""/>
    <s v=""/>
    <s v=""/>
    <s v=""/>
    <s v=""/>
    <s v=""/>
    <s v=""/>
    <n v="0"/>
    <s v="bbl"/>
    <s v=""/>
    <s v=""/>
    <s v=""/>
    <s v=""/>
    <s v="8000111500"/>
    <s v="GWW BATTERY"/>
    <s v="Upstream"/>
    <s v="1046"/>
    <s v=""/>
    <s v=""/>
    <s v=""/>
    <s v=""/>
    <s v=""/>
    <s v=""/>
    <s v="Hours Worked"/>
    <n v="13.5"/>
    <s v="hour"/>
    <n v="92"/>
    <s v=""/>
    <n v="1242"/>
    <s v="--multiple--"/>
    <s v="706989"/>
    <d v="2025-10-13T15:49:16"/>
    <s v=""/>
    <s v=""/>
    <s v=""/>
    <s v=""/>
  </r>
  <r>
    <s v="37197"/>
    <s v="Apex Energy Services"/>
    <x v="6"/>
    <s v="Kevin Kunkel"/>
    <s v="Elam Tavarez"/>
    <s v="Hauled 400bbls of PW to Judge SWD_x000a_Disposal Ticket: 1098-30647-100BBLS, 1098-30651-100BBLS, 1098-30654-100BBLS, 1098-30656-100BBLS"/>
    <s v="5051054"/>
    <s v="Upstream"/>
    <s v=""/>
    <s v="USD"/>
    <n v="1380"/>
    <s v="Direct Entry"/>
    <s v="1"/>
    <s v="Tandem Tractor Vacuum Truck - 130 BBL W/ Driver"/>
    <s v="Tandem Tractor Vacuum Truck - 130 BBL W/ Driver"/>
    <s v="Transportation Services"/>
    <d v="2025-10-13T13:54:52"/>
    <d v="2025-10-07T11:00:00"/>
    <d v="2025-10-07T21:00:00"/>
    <d v="1899-12-30T10:00:00"/>
    <s v="Fryar 9"/>
    <s v=""/>
    <s v=""/>
    <s v="PW"/>
    <s v=""/>
    <s v=""/>
    <s v=""/>
    <s v=""/>
    <s v=""/>
    <s v=""/>
    <s v=""/>
    <s v=""/>
    <s v=""/>
    <s v=""/>
    <s v=""/>
    <s v=""/>
    <s v=""/>
    <s v=""/>
    <s v=""/>
    <s v=""/>
    <s v=""/>
    <n v="0"/>
    <s v="bbl"/>
    <s v=""/>
    <s v=""/>
    <s v=""/>
    <s v=""/>
    <s v="8000044700"/>
    <s v="FRYAR 9 BATTERY"/>
    <s v="Upstream"/>
    <s v="1046"/>
    <s v=""/>
    <s v=""/>
    <s v=""/>
    <s v=""/>
    <s v=""/>
    <s v=""/>
    <s v="Hours Worked"/>
    <n v="10"/>
    <s v="hour"/>
    <n v="92"/>
    <s v=""/>
    <n v="920"/>
    <s v="--multiple--"/>
    <s v="706989"/>
    <d v="2025-10-13T14:08:01"/>
    <s v=""/>
    <s v=""/>
    <s v=""/>
    <s v=""/>
  </r>
  <r>
    <s v="37169"/>
    <s v="Apex Energy Services"/>
    <x v="7"/>
    <s v="Kevin Kunkel"/>
    <s v="Elam Tavarez"/>
    <s v="Hauled 100bbls of PW to Judge SWD_x000a_Disposal Ticket: 1098-30655-100BBLS"/>
    <s v="5051054"/>
    <s v="Upstream"/>
    <s v=""/>
    <s v="USD"/>
    <n v="391"/>
    <s v="Direct Entry"/>
    <s v="1"/>
    <s v="Tandem Tractor Vacuum Truck - 130 BBL W/ Driver"/>
    <s v="Tandem Tractor Vacuum Truck - 130 BBL W/ Driver"/>
    <s v="Transportation Services"/>
    <d v="2025-10-13T13:48:03"/>
    <d v="2025-10-07T16:00:00"/>
    <d v="2025-10-07T19:00:00"/>
    <d v="1899-12-30T03:00:00"/>
    <s v="T-Y 9"/>
    <s v=""/>
    <s v=""/>
    <s v="PW"/>
    <s v=""/>
    <s v=""/>
    <s v=""/>
    <s v=""/>
    <s v=""/>
    <s v=""/>
    <s v=""/>
    <s v=""/>
    <s v=""/>
    <s v=""/>
    <s v=""/>
    <s v=""/>
    <s v=""/>
    <s v=""/>
    <s v=""/>
    <s v=""/>
    <s v=""/>
    <n v="0"/>
    <s v="bbl"/>
    <s v=""/>
    <s v=""/>
    <s v=""/>
    <s v=""/>
    <s v="8000112800"/>
    <s v="T-Y (1-9) BATTERY"/>
    <s v="Upstream"/>
    <s v="1046"/>
    <s v=""/>
    <s v=""/>
    <s v=""/>
    <s v=""/>
    <s v=""/>
    <s v=""/>
    <s v="Hours Worked"/>
    <n v="3"/>
    <s v="hour"/>
    <n v="92"/>
    <s v=""/>
    <n v="276"/>
    <s v="--multiple--"/>
    <s v="706989"/>
    <d v="2025-10-13T13:51:53"/>
    <s v=""/>
    <s v=""/>
    <s v=""/>
    <s v=""/>
  </r>
  <r>
    <s v="36571"/>
    <s v="Apex Energy Services"/>
    <x v="6"/>
    <s v="Kevin Kunkel"/>
    <s v="Elam Tavarez"/>
    <s v="Hauled 100bbls of PW to Judge SWD_x000a_Disposal Ticket: 1098-30666-100BBLS"/>
    <s v="5051054"/>
    <s v="Upstream"/>
    <s v=""/>
    <s v="USD"/>
    <n v="391"/>
    <s v="Direct Entry"/>
    <s v="1"/>
    <s v="Tandem Tractor Vacuum Truck - 130 BBL W/ Driver"/>
    <s v="Tandem Tractor Vacuum Truck - 130 BBL W/ Driver"/>
    <s v="Transportation Services"/>
    <d v="2025-10-13T14:16:38"/>
    <d v="2025-10-08T06:00:00"/>
    <d v="2025-10-08T09:00:00"/>
    <d v="1899-12-30T03:00:00"/>
    <s v="Dubose"/>
    <s v=""/>
    <s v=""/>
    <s v="PW"/>
    <s v=""/>
    <s v=""/>
    <s v=""/>
    <s v=""/>
    <s v=""/>
    <s v=""/>
    <s v=""/>
    <s v=""/>
    <s v=""/>
    <s v=""/>
    <s v=""/>
    <s v=""/>
    <s v=""/>
    <s v=""/>
    <s v=""/>
    <s v=""/>
    <s v=""/>
    <n v="0"/>
    <s v="bbl"/>
    <s v=""/>
    <s v=""/>
    <s v=""/>
    <s v=""/>
    <s v="8000126200"/>
    <s v="DUBOSE CTB"/>
    <s v="Upstream"/>
    <s v="1046"/>
    <s v=""/>
    <s v=""/>
    <s v=""/>
    <s v=""/>
    <s v=""/>
    <s v=""/>
    <s v="Hours Worked"/>
    <n v="3"/>
    <s v="hour"/>
    <n v="92"/>
    <s v=""/>
    <n v="276"/>
    <s v="--multiple--"/>
    <s v="706989"/>
    <d v="2025-10-13T14:19:09"/>
    <s v=""/>
    <s v=""/>
    <s v=""/>
    <s v=""/>
  </r>
  <r>
    <s v="37322"/>
    <s v="Apex Energy Services"/>
    <x v="6"/>
    <s v="Kevin Kunkel"/>
    <s v="Elam Tavarez"/>
    <s v="Hauled 100bbls of PW to Judge SWD_x000a_Disposal Ticket: 1098-30680-100BBLS"/>
    <s v="5051054"/>
    <s v="Upstream"/>
    <s v=""/>
    <s v="USD"/>
    <n v="391"/>
    <s v="Direct Entry"/>
    <s v="1"/>
    <s v="Tandem Tractor Vacuum Truck - 130 BBL W/ Driver"/>
    <s v="Tandem Tractor Vacuum Truck - 130 BBL W/ Driver"/>
    <s v="Transportation Services"/>
    <d v="2025-10-13T14:29:25"/>
    <d v="2025-10-08T12:00:00"/>
    <d v="2025-10-08T15:00:00"/>
    <d v="1899-12-30T03:00:00"/>
    <s v="DSU 6"/>
    <s v=""/>
    <s v=""/>
    <s v="PW"/>
    <s v=""/>
    <s v=""/>
    <s v=""/>
    <s v=""/>
    <s v=""/>
    <s v=""/>
    <s v=""/>
    <s v=""/>
    <s v=""/>
    <s v=""/>
    <s v=""/>
    <s v=""/>
    <s v=""/>
    <s v=""/>
    <s v=""/>
    <s v=""/>
    <s v=""/>
    <n v="0"/>
    <s v="bbl"/>
    <s v=""/>
    <s v=""/>
    <s v=""/>
    <s v=""/>
    <s v="8000132200"/>
    <s v="DSU 6 13"/>
    <s v="Upstream"/>
    <s v="1046"/>
    <s v=""/>
    <s v=""/>
    <s v=""/>
    <s v=""/>
    <s v=""/>
    <s v=""/>
    <s v="Hours Worked"/>
    <n v="3"/>
    <s v="hour"/>
    <n v="92"/>
    <s v=""/>
    <n v="276"/>
    <s v="--multiple--"/>
    <s v="706989"/>
    <d v="2025-10-13T14:30:44"/>
    <s v=""/>
    <s v=""/>
    <s v=""/>
    <s v=""/>
  </r>
  <r>
    <s v="MD2698891"/>
    <s v="Jet Specialty Inc"/>
    <x v="12"/>
    <s v="Kyle Jordan"/>
    <s v="Christopher Cain"/>
    <s v="LEASE: PATTERSON 44; BUYER: CHRIS CAIN, RAMON SANCHEZ; PO: WO# 147202"/>
    <s v="5051052"/>
    <s v="Upstream"/>
    <s v="147202"/>
    <s v="USD"/>
    <n v="756.09"/>
    <s v="API"/>
    <s v="1"/>
    <s v="219516"/>
    <s v="4&quot; GRV ES COOPLOK COUPLING"/>
    <s v="Fitting:Grooved"/>
    <d v="2025-10-01T15:32:23"/>
    <d v="2025-09-15T00:00:00"/>
    <d v="2025-09-15T00:00:00"/>
    <s v=""/>
    <s v=""/>
    <s v=""/>
    <s v=""/>
    <s v=""/>
    <s v=""/>
    <s v=""/>
    <s v=""/>
    <s v=""/>
    <s v=""/>
    <s v=""/>
    <s v=""/>
    <s v=""/>
    <s v=""/>
    <s v=""/>
    <s v=""/>
    <s v=""/>
    <s v=""/>
    <s v=""/>
    <s v=""/>
    <s v=""/>
    <s v=""/>
    <s v=""/>
    <s v=""/>
    <s v="Material"/>
    <s v=""/>
    <s v=""/>
    <s v=""/>
    <s v="8300134900"/>
    <s v="PATTERSON 44 BATTERY"/>
    <s v="Upstream"/>
    <s v="1046"/>
    <s v=""/>
    <s v=""/>
    <s v=""/>
    <s v=""/>
    <s v=""/>
    <s v=""/>
    <s v=""/>
    <n v="3"/>
    <s v="each"/>
    <n v="55.45"/>
    <s v=""/>
    <n v="166.35"/>
    <s v="--multiple--"/>
    <s v="708023"/>
    <d v="2025-10-01T15:41:08"/>
    <s v=""/>
    <s v=""/>
    <s v=""/>
    <s v=""/>
  </r>
  <r>
    <s v="R-5363"/>
    <s v="ACH Services, LLC"/>
    <x v="10"/>
    <s v="Kyle Jordan"/>
    <s v="Marco Rodriguez"/>
    <s v="Drove to location to install wind walls."/>
    <s v="5051027"/>
    <s v="Upstream"/>
    <s v="168374"/>
    <s v="USD"/>
    <n v="2336.25"/>
    <s v="Direct Entry"/>
    <s v="1"/>
    <s v="Roustabout - 3-Man"/>
    <s v="Roustabout - 3-Man"/>
    <s v=""/>
    <d v="2025-10-13T15:36:58"/>
    <d v="2025-10-07T06:15:00"/>
    <d v="2025-10-07T10:00:00"/>
    <s v=""/>
    <s v="GREATHOUSE 13-12/BIRD 13-14 BATTERY"/>
    <s v=""/>
    <s v=""/>
    <s v=""/>
    <s v=""/>
    <s v=""/>
    <s v=""/>
    <s v=""/>
    <s v=""/>
    <s v=""/>
    <s v=""/>
    <s v=""/>
    <s v=""/>
    <s v=""/>
    <s v=""/>
    <s v=""/>
    <s v=""/>
    <s v=""/>
    <s v=""/>
    <s v=""/>
    <s v=""/>
    <s v=""/>
    <s v=""/>
    <s v="Labor"/>
    <s v=""/>
    <s v=""/>
    <s v=""/>
    <s v="8300102600"/>
    <s v="GREATHOUSE 13-12/BIRD 13-14 BATTERY"/>
    <s v="Upstream"/>
    <s v="1046"/>
    <s v=""/>
    <s v=""/>
    <s v=""/>
    <s v=""/>
    <s v=""/>
    <s v=""/>
    <s v=""/>
    <n v="3.75"/>
    <s v="HR"/>
    <n v="135"/>
    <s v=""/>
    <n v="506.25"/>
    <s v="Pricebook"/>
    <s v="712932"/>
    <d v="2025-10-13T15:39:36"/>
    <s v=""/>
    <s v=""/>
    <s v=""/>
    <s v=""/>
  </r>
  <r>
    <s v="R-5364"/>
    <s v="ACH Services, LLC"/>
    <x v="10"/>
    <s v="Kyle Jordan"/>
    <s v="Marco Rodriguez"/>
    <s v="Drove to location to install wind walls."/>
    <s v="5051027"/>
    <s v="Upstream"/>
    <s v="168374"/>
    <s v="USD"/>
    <n v="970"/>
    <s v="Direct Entry"/>
    <s v="1"/>
    <s v="Roustabout - 3-Man"/>
    <s v="Roustabout - 3-Man"/>
    <s v=""/>
    <d v="2025-10-13T15:40:08"/>
    <d v="2025-10-07T10:00:00"/>
    <d v="2025-10-07T14:00:00"/>
    <s v=""/>
    <s v="GREATHOUSE 13-12/BIRD 13-14 BATTERY"/>
    <s v=""/>
    <s v=""/>
    <s v=""/>
    <s v=""/>
    <s v=""/>
    <s v=""/>
    <s v=""/>
    <s v=""/>
    <s v=""/>
    <s v=""/>
    <s v=""/>
    <s v=""/>
    <s v=""/>
    <s v=""/>
    <s v=""/>
    <s v=""/>
    <s v=""/>
    <s v=""/>
    <s v=""/>
    <s v=""/>
    <s v=""/>
    <s v=""/>
    <s v="Labor"/>
    <s v=""/>
    <s v=""/>
    <s v=""/>
    <s v="8300102600"/>
    <s v="GREATHOUSE 13-12/BIRD 13-14 BATTERY"/>
    <s v="Upstream"/>
    <s v="1046"/>
    <s v=""/>
    <s v=""/>
    <s v=""/>
    <s v=""/>
    <s v=""/>
    <s v=""/>
    <s v=""/>
    <n v="4"/>
    <s v="HR"/>
    <n v="135"/>
    <s v=""/>
    <n v="540"/>
    <s v="Pricebook"/>
    <s v="712932"/>
    <d v="2025-10-13T15:43:02"/>
    <s v=""/>
    <s v=""/>
    <s v=""/>
    <s v=""/>
  </r>
  <r>
    <s v="R-5365"/>
    <s v="ACH Services, LLC"/>
    <x v="10"/>
    <s v="Kyle Jordan"/>
    <s v="Marco Rodriguez"/>
    <s v="Drove to location to install wind walls."/>
    <s v="5051027"/>
    <s v="Upstream"/>
    <s v="168374"/>
    <s v="USD"/>
    <n v="835"/>
    <s v="Direct Entry"/>
    <s v="1"/>
    <s v="Roustabout - 3-Man"/>
    <s v="Roustabout - 3-Man"/>
    <s v=""/>
    <d v="2025-10-13T15:44:33"/>
    <d v="2025-10-07T14:00:00"/>
    <d v="2025-10-07T17:00:00"/>
    <s v=""/>
    <s v="GREATHOUSE 13-12/BIRD 13-14 BATTERY"/>
    <s v=""/>
    <s v=""/>
    <s v=""/>
    <s v=""/>
    <s v=""/>
    <s v=""/>
    <s v=""/>
    <s v=""/>
    <s v=""/>
    <s v=""/>
    <s v=""/>
    <s v=""/>
    <s v=""/>
    <s v=""/>
    <s v=""/>
    <s v=""/>
    <s v=""/>
    <s v=""/>
    <s v=""/>
    <s v=""/>
    <s v=""/>
    <s v=""/>
    <s v="Labor"/>
    <s v=""/>
    <s v=""/>
    <s v=""/>
    <s v="8300102600"/>
    <s v="GREATHOUSE 13-12/BIRD 13-14 BATTERY"/>
    <s v="Upstream"/>
    <s v="1046"/>
    <s v=""/>
    <s v=""/>
    <s v=""/>
    <s v=""/>
    <s v=""/>
    <s v=""/>
    <s v=""/>
    <n v="3"/>
    <s v="HR"/>
    <n v="135"/>
    <s v=""/>
    <n v="405"/>
    <s v="Pricebook"/>
    <s v="712932"/>
    <d v="2025-10-13T15:46:18"/>
    <s v=""/>
    <s v=""/>
    <s v=""/>
    <s v=""/>
  </r>
  <r>
    <s v="R-5366"/>
    <s v="ACH Services, LLC"/>
    <x v="10"/>
    <s v="Kyle Jordan"/>
    <s v="Marco Rodriguez"/>
    <s v="Drove to location to install wind walls."/>
    <s v="5051027"/>
    <s v="Upstream"/>
    <s v="168374"/>
    <s v="USD"/>
    <n v="2050"/>
    <s v="Direct Entry"/>
    <s v="1"/>
    <s v="Roustabout - 3-Man"/>
    <s v="Roustabout - 3-Man"/>
    <s v=""/>
    <d v="2025-10-09T14:50:33"/>
    <d v="2025-10-08T07:00:00"/>
    <d v="2025-10-08T19:00:00"/>
    <s v=""/>
    <s v="GREATHOUSE 13-12/BIRD 13-14 BATTERY"/>
    <s v=""/>
    <s v=""/>
    <s v=""/>
    <s v=""/>
    <s v=""/>
    <s v=""/>
    <s v=""/>
    <s v=""/>
    <s v=""/>
    <s v=""/>
    <s v=""/>
    <s v=""/>
    <s v=""/>
    <s v=""/>
    <s v=""/>
    <s v=""/>
    <s v=""/>
    <s v=""/>
    <s v=""/>
    <s v=""/>
    <s v=""/>
    <s v=""/>
    <s v="Labor"/>
    <s v=""/>
    <s v=""/>
    <s v=""/>
    <s v="8300102600"/>
    <s v="GREATHOUSE 13-12/BIRD 13-14 BATTERY"/>
    <s v="Upstream"/>
    <s v="1046"/>
    <s v=""/>
    <s v=""/>
    <s v=""/>
    <s v=""/>
    <s v=""/>
    <s v=""/>
    <s v=""/>
    <n v="12"/>
    <s v="HR"/>
    <n v="135"/>
    <s v=""/>
    <n v="1620"/>
    <s v="Pricebook"/>
    <s v="712932"/>
    <d v="2025-10-13T12:33:29"/>
    <s v=""/>
    <s v=""/>
    <s v=""/>
    <s v=""/>
  </r>
  <r>
    <s v="R-5367"/>
    <s v="ACH Services, LLC"/>
    <x v="10"/>
    <s v="Kyle Jordan"/>
    <s v="Marco Rodriguez"/>
    <s v="Drove to location to install wind walls."/>
    <s v="5051027"/>
    <s v="Upstream"/>
    <s v="168374"/>
    <s v="USD"/>
    <n v="1915"/>
    <s v="Direct Entry"/>
    <s v="1"/>
    <s v="Roustabout - 3-Man"/>
    <s v="Roustabout - 3-Man"/>
    <s v=""/>
    <d v="2025-10-10T10:39:18"/>
    <d v="2025-10-09T06:30:00"/>
    <d v="2025-10-09T17:30:00"/>
    <s v=""/>
    <s v="GREATHOUSE 13-12/BIRD 13-14 BATTERY"/>
    <s v=""/>
    <s v=""/>
    <s v=""/>
    <s v=""/>
    <s v=""/>
    <s v=""/>
    <s v=""/>
    <s v=""/>
    <s v=""/>
    <s v=""/>
    <s v=""/>
    <s v=""/>
    <s v=""/>
    <s v=""/>
    <s v=""/>
    <s v=""/>
    <s v=""/>
    <s v=""/>
    <s v=""/>
    <s v=""/>
    <s v=""/>
    <s v=""/>
    <s v="Labor"/>
    <s v=""/>
    <s v=""/>
    <s v=""/>
    <s v="8300102600"/>
    <s v="GREATHOUSE 13-12/BIRD 13-14 BATTERY"/>
    <s v="Upstream"/>
    <s v="1046"/>
    <s v=""/>
    <s v=""/>
    <s v=""/>
    <s v=""/>
    <s v=""/>
    <s v=""/>
    <s v=""/>
    <n v="11"/>
    <s v="HR"/>
    <n v="135"/>
    <s v=""/>
    <n v="1485"/>
    <s v="Pricebook"/>
    <s v="712932"/>
    <d v="2025-10-13T12:27:22"/>
    <s v=""/>
    <s v=""/>
    <s v=""/>
    <s v=""/>
  </r>
  <r>
    <s v="R-5368"/>
    <s v="ACH Services, LLC"/>
    <x v="10"/>
    <s v="Kyle Jordan"/>
    <s v="Marco Rodriguez"/>
    <s v="Drove to location to install wind walls."/>
    <s v="5051027"/>
    <s v="Upstream"/>
    <s v="168389"/>
    <s v="USD"/>
    <n v="3348.75"/>
    <s v="Direct Entry"/>
    <s v="1"/>
    <s v="Roustabout - 3-Man"/>
    <s v="Roustabout - 3-Man"/>
    <s v=""/>
    <d v="2025-10-13T14:22:21"/>
    <d v="2025-10-10T06:45:00"/>
    <d v="2025-10-10T18:00:00"/>
    <s v=""/>
    <s v="GREATHOUSE 13-12/BIRD 13-14 BATTERY"/>
    <s v=""/>
    <s v=""/>
    <s v=""/>
    <s v=""/>
    <s v=""/>
    <s v=""/>
    <s v=""/>
    <s v=""/>
    <s v=""/>
    <s v=""/>
    <s v=""/>
    <s v=""/>
    <s v=""/>
    <s v=""/>
    <s v=""/>
    <s v=""/>
    <s v=""/>
    <s v=""/>
    <s v=""/>
    <s v=""/>
    <s v=""/>
    <s v=""/>
    <s v="Labor"/>
    <s v=""/>
    <s v=""/>
    <s v=""/>
    <s v="8300102600"/>
    <s v="GREATHOUSE 13-12/BIRD 13-14 BATTERY"/>
    <s v="Upstream"/>
    <s v="1046"/>
    <s v=""/>
    <s v=""/>
    <s v=""/>
    <s v=""/>
    <s v=""/>
    <s v=""/>
    <s v=""/>
    <n v="11.25"/>
    <s v="HR"/>
    <n v="135"/>
    <s v=""/>
    <n v="1518.75"/>
    <s v="Pricebook"/>
    <s v="712932"/>
    <d v="2025-10-13T14:25:18"/>
    <s v=""/>
    <s v=""/>
    <s v=""/>
    <s v=""/>
  </r>
  <r>
    <s v="R-5369"/>
    <s v="ACH Services, LLC"/>
    <x v="10"/>
    <s v="Kyle Jordan"/>
    <s v="Marco Rodriguez"/>
    <s v="Drove to location to install wind walls."/>
    <s v="5051027"/>
    <s v="Upstream"/>
    <s v="168389"/>
    <s v="USD"/>
    <n v="3146.25"/>
    <s v="Direct Entry"/>
    <s v="1"/>
    <s v="Roustabout - 3-Man"/>
    <s v="Roustabout - 3-Man"/>
    <s v=""/>
    <d v="2025-10-13T14:26:09"/>
    <d v="2025-10-11T06:30:00"/>
    <d v="2025-10-11T16:15:00"/>
    <s v=""/>
    <s v="GREATHOUSE 13-12/BIRD 13-14 BATTERY"/>
    <s v=""/>
    <s v=""/>
    <s v=""/>
    <s v=""/>
    <s v=""/>
    <s v=""/>
    <s v=""/>
    <s v=""/>
    <s v=""/>
    <s v=""/>
    <s v=""/>
    <s v=""/>
    <s v=""/>
    <s v=""/>
    <s v=""/>
    <s v=""/>
    <s v=""/>
    <s v=""/>
    <s v=""/>
    <s v=""/>
    <s v=""/>
    <s v=""/>
    <s v="Labor"/>
    <s v=""/>
    <s v=""/>
    <s v=""/>
    <s v="8300102600"/>
    <s v="GREATHOUSE 13-12/BIRD 13-14 BATTERY"/>
    <s v="Upstream"/>
    <s v="1046"/>
    <s v=""/>
    <s v=""/>
    <s v=""/>
    <s v=""/>
    <s v=""/>
    <s v=""/>
    <s v=""/>
    <n v="9.75"/>
    <s v="HR"/>
    <n v="135"/>
    <s v=""/>
    <n v="1316.25"/>
    <s v="Pricebook"/>
    <s v="712932"/>
    <d v="2025-10-13T14:28:01"/>
    <s v=""/>
    <s v=""/>
    <s v=""/>
    <s v=""/>
  </r>
  <r>
    <s v="207071"/>
    <s v="Double D Supply Inc"/>
    <x v="5"/>
    <s v="Luis Ortega"/>
    <s v="Marco Rodriguez"/>
    <s v="RETAIL SUPPLIES"/>
    <s v="5051049"/>
    <s v="Upstream"/>
    <s v="165727"/>
    <s v="USD"/>
    <n v="1026.9000000000001"/>
    <s v="Direct Entry"/>
    <s v="1"/>
    <s v="Tape:1ttbmx1429"/>
    <s v="1&quot; Blue Monster Teflon Tape 1429'"/>
    <s v=""/>
    <d v="2025-10-10T17:02:18"/>
    <d v="2025-09-23T12:00:00"/>
    <d v="2025-09-23T12:00:00"/>
    <s v=""/>
    <s v="COWDEN 43 BATTERY"/>
    <s v=""/>
    <s v=""/>
    <s v=""/>
    <s v=""/>
    <s v=""/>
    <s v=""/>
    <s v=""/>
    <s v=""/>
    <s v=""/>
    <s v=""/>
    <s v=""/>
    <s v=""/>
    <s v=""/>
    <s v=""/>
    <s v=""/>
    <s v=""/>
    <s v=""/>
    <s v=""/>
    <s v=""/>
    <s v=""/>
    <s v=""/>
    <s v=""/>
    <s v="Material"/>
    <s v=""/>
    <s v=""/>
    <s v=""/>
    <s v="8300090900"/>
    <s v="COWDEN 43 BATTERY"/>
    <s v="Upstream"/>
    <s v="1046"/>
    <s v=""/>
    <s v=""/>
    <s v=""/>
    <s v=""/>
    <s v=""/>
    <s v=""/>
    <s v=""/>
    <n v="5"/>
    <s v="EA"/>
    <n v="11.95"/>
    <s v=""/>
    <n v="59.75"/>
    <s v=""/>
    <s v="703999"/>
    <d v="2025-10-10T17:02:51"/>
    <s v=""/>
    <s v=""/>
    <s v=""/>
    <s v=""/>
  </r>
  <r>
    <s v="37250"/>
    <s v="Apex Energy Services"/>
    <x v="6"/>
    <s v="Kevin Kunkel"/>
    <s v="Elam Tavarez"/>
    <s v="Hauled 100bbls of PW to Judge SWD_x000a_Disposal Ticket: 1098-30688-100BBLS"/>
    <s v="5051054"/>
    <s v="Upstream"/>
    <s v=""/>
    <s v="USD"/>
    <n v="391"/>
    <s v="Direct Entry"/>
    <s v="1"/>
    <s v="Tandem Tractor Vacuum Truck - 130 BBL W/ Driver"/>
    <s v="Tandem Tractor Vacuum Truck - 130 BBL W/ Driver"/>
    <s v="Transportation Services"/>
    <d v="2025-10-13T14:19:51"/>
    <d v="2025-10-08T15:00:00"/>
    <d v="2025-10-08T18:00:00"/>
    <d v="1899-12-30T03:00:00"/>
    <s v="DSU 8915"/>
    <s v=""/>
    <s v=""/>
    <s v="PW"/>
    <s v=""/>
    <s v=""/>
    <s v=""/>
    <s v=""/>
    <s v=""/>
    <s v=""/>
    <s v=""/>
    <s v=""/>
    <s v=""/>
    <s v=""/>
    <s v=""/>
    <s v=""/>
    <s v=""/>
    <s v=""/>
    <s v=""/>
    <s v=""/>
    <s v=""/>
    <n v="0"/>
    <s v="bbl"/>
    <s v=""/>
    <s v=""/>
    <s v=""/>
    <s v=""/>
    <s v="8000132400"/>
    <s v="DSU 8 9 &amp; 15"/>
    <s v="Upstream"/>
    <s v="1046"/>
    <s v=""/>
    <s v=""/>
    <s v=""/>
    <s v=""/>
    <s v=""/>
    <s v=""/>
    <s v="Hours Worked"/>
    <n v="3"/>
    <s v="hour"/>
    <n v="92"/>
    <s v=""/>
    <n v="276"/>
    <s v="--multiple--"/>
    <s v="706989"/>
    <d v="2025-10-13T14:21:53"/>
    <s v=""/>
    <s v=""/>
    <s v=""/>
    <s v=""/>
  </r>
  <r>
    <s v="36573"/>
    <s v="Apex Energy Services"/>
    <x v="6"/>
    <s v="Kevin Kunkel"/>
    <s v="Elam Tavarez"/>
    <s v="Hauled 100bbls of PW to Judge SWD_x000a_Disposal Ticket: 1098-30687-100BBLS"/>
    <s v="5051054"/>
    <s v="Upstream"/>
    <s v=""/>
    <s v="USD"/>
    <n v="299"/>
    <s v="Direct Entry"/>
    <s v="1"/>
    <s v="Tandem Tractor Vacuum Truck - 130 BBL W/ Driver"/>
    <s v="Tandem Tractor Vacuum Truck - 130 BBL W/ Driver"/>
    <s v="Transportation Services"/>
    <d v="2025-10-13T14:22:30"/>
    <d v="2025-10-08T15:00:00"/>
    <d v="2025-10-08T17:00:00"/>
    <d v="1899-12-30T02:00:00"/>
    <s v="DSU 8915"/>
    <s v=""/>
    <s v=""/>
    <s v="PW"/>
    <s v=""/>
    <s v=""/>
    <s v=""/>
    <s v=""/>
    <s v=""/>
    <s v=""/>
    <s v=""/>
    <s v=""/>
    <s v=""/>
    <s v=""/>
    <s v=""/>
    <s v=""/>
    <s v=""/>
    <s v=""/>
    <s v=""/>
    <s v=""/>
    <s v=""/>
    <n v="0"/>
    <s v="bbl"/>
    <s v=""/>
    <s v=""/>
    <s v=""/>
    <s v=""/>
    <s v="8000132400"/>
    <s v="DSU 8 9 &amp; 15"/>
    <s v="Upstream"/>
    <s v="1046"/>
    <s v=""/>
    <s v=""/>
    <s v=""/>
    <s v=""/>
    <s v=""/>
    <s v=""/>
    <s v="Hours Worked"/>
    <n v="2"/>
    <s v="hour"/>
    <n v="92"/>
    <s v=""/>
    <n v="184"/>
    <s v="--multiple--"/>
    <s v="706989"/>
    <d v="2025-10-13T14:24:23"/>
    <s v=""/>
    <s v=""/>
    <s v=""/>
    <s v=""/>
  </r>
  <r>
    <s v="MD2698747"/>
    <s v="Jet Specialty Inc"/>
    <x v="5"/>
    <s v="Michael Self"/>
    <s v="Marco Rodriguez"/>
    <s v="LEASE: BOSS EAST L 40-45 2512H; BUYER: MARCO RODRIGUEZ, ISAAC OLGIN;"/>
    <s v="5051049"/>
    <s v="Upstream"/>
    <s v=""/>
    <s v="USD"/>
    <n v="429.12"/>
    <s v="API"/>
    <s v="1"/>
    <s v="2993438"/>
    <s v="12/3 25' ALL-WEATHER EXTENSION CORD 3-WAY # 268-LT630825"/>
    <s v=""/>
    <d v="2025-10-01T15:32:22"/>
    <d v="2025-09-10T00:00:00"/>
    <d v="2025-09-10T00:00:00"/>
    <s v=""/>
    <s v=""/>
    <s v=""/>
    <s v=""/>
    <s v=""/>
    <s v=""/>
    <s v=""/>
    <s v=""/>
    <s v=""/>
    <s v=""/>
    <s v=""/>
    <s v=""/>
    <s v=""/>
    <s v=""/>
    <s v=""/>
    <s v=""/>
    <s v=""/>
    <s v=""/>
    <s v=""/>
    <s v=""/>
    <s v=""/>
    <s v=""/>
    <s v=""/>
    <s v=""/>
    <s v="Material"/>
    <s v=""/>
    <s v=""/>
    <s v=""/>
    <s v="1001782500"/>
    <s v="BOSS EAST L 40-45 2512H"/>
    <s v="Upstream"/>
    <s v="1046"/>
    <s v=""/>
    <s v=""/>
    <s v=""/>
    <s v=""/>
    <s v=""/>
    <s v=""/>
    <s v=""/>
    <n v="1"/>
    <s v="each"/>
    <n v="55.32"/>
    <s v=""/>
    <n v="55.32"/>
    <s v="--multiple--"/>
    <s v="708023"/>
    <d v="2025-10-01T15:32:22"/>
    <s v=""/>
    <s v=""/>
    <s v=""/>
    <s v=""/>
  </r>
  <r>
    <s v="23568"/>
    <s v="RICHARDS HORTICULTURE CONSULTING SERVICE"/>
    <x v="10"/>
    <s v="Michael Self"/>
    <s v="Marco Rodriguez"/>
    <s v="Weed control"/>
    <s v="5051027"/>
    <s v="Upstream"/>
    <s v=""/>
    <s v="USD"/>
    <n v="3642.29"/>
    <s v="Direct Entry"/>
    <s v="1"/>
    <s v="Weed Control on Battery Sites"/>
    <s v="Weed Control on Battery Sites"/>
    <s v=""/>
    <d v="2025-10-13T14:13:50"/>
    <d v="2025-09-15T01:00:00"/>
    <d v="2025-09-15T02:00:00"/>
    <s v=""/>
    <s v=""/>
    <s v=""/>
    <s v=""/>
    <s v=""/>
    <s v=""/>
    <s v=""/>
    <s v=""/>
    <s v=""/>
    <s v=""/>
    <s v=""/>
    <s v=""/>
    <s v=""/>
    <s v=""/>
    <s v=""/>
    <s v=""/>
    <s v=""/>
    <s v=""/>
    <s v=""/>
    <s v=""/>
    <s v=""/>
    <s v=""/>
    <s v=""/>
    <s v=""/>
    <s v="Labor"/>
    <s v=""/>
    <s v=""/>
    <s v=""/>
    <s v="8000314400"/>
    <s v="DAVY JONES EAST BATTERY"/>
    <s v="Upstream"/>
    <s v="1046"/>
    <s v=""/>
    <s v=""/>
    <s v=""/>
    <s v=""/>
    <s v=""/>
    <s v=""/>
    <s v=""/>
    <n v="250000"/>
    <s v="SQ FT"/>
    <n v="0"/>
    <s v=""/>
    <n v="950"/>
    <s v="--multiple--"/>
    <s v="709204"/>
    <d v="2025-10-13T14:46:31"/>
    <s v=""/>
    <s v=""/>
    <s v=""/>
    <s v=""/>
  </r>
  <r>
    <s v="23569"/>
    <s v="RICHARDS HORTICULTURE CONSULTING SERVICE"/>
    <x v="10"/>
    <s v="Michael Self"/>
    <s v="Marco Rodriguez"/>
    <s v="Weed control"/>
    <s v="5051027"/>
    <s v="Upstream"/>
    <s v=""/>
    <s v="USD"/>
    <n v="1700"/>
    <s v="Direct Entry"/>
    <s v="1"/>
    <s v="Weed Control on Battery Sites"/>
    <s v="Weed Control on Battery Sites"/>
    <s v=""/>
    <d v="2025-10-13T14:47:01"/>
    <d v="2025-09-15T01:00:00"/>
    <d v="2025-09-15T02:00:00"/>
    <s v=""/>
    <s v=""/>
    <s v=""/>
    <s v=""/>
    <s v=""/>
    <s v=""/>
    <s v=""/>
    <s v=""/>
    <s v=""/>
    <s v=""/>
    <s v=""/>
    <s v=""/>
    <s v=""/>
    <s v=""/>
    <s v=""/>
    <s v=""/>
    <s v=""/>
    <s v=""/>
    <s v=""/>
    <s v=""/>
    <s v=""/>
    <s v=""/>
    <s v=""/>
    <s v=""/>
    <s v="Labor"/>
    <s v=""/>
    <s v=""/>
    <s v=""/>
    <s v="8000317500"/>
    <s v="PENNYWISE BATTERY"/>
    <s v="Upstream"/>
    <s v="1046"/>
    <s v=""/>
    <s v=""/>
    <s v=""/>
    <s v=""/>
    <s v=""/>
    <s v=""/>
    <s v=""/>
    <n v="250000"/>
    <s v="SQ FT"/>
    <n v="0"/>
    <s v=""/>
    <n v="950"/>
    <s v="--multiple--"/>
    <s v="709204"/>
    <d v="2025-10-13T14:54:07"/>
    <s v=""/>
    <s v=""/>
    <s v=""/>
    <s v=""/>
  </r>
  <r>
    <s v="37020"/>
    <s v="Apex Energy Services"/>
    <x v="6"/>
    <s v="Kevin Kunkel"/>
    <s v="Elam Tavarez"/>
    <s v="Hauled 100bbls of PW to 829 SWD_x000a_Disposal Ticket: 1098-30689-100BBLS"/>
    <s v="5051054"/>
    <s v="Upstream"/>
    <s v=""/>
    <s v="USD"/>
    <n v="391"/>
    <s v="Direct Entry"/>
    <s v="1"/>
    <s v="Tandem Tractor Vacuum Truck - 130 BBL W/ Driver"/>
    <s v="Tandem Tractor Vacuum Truck - 130 BBL W/ Driver"/>
    <s v="Transportation Services"/>
    <d v="2025-10-13T14:26:07"/>
    <d v="2025-10-08T15:00:00"/>
    <d v="2025-10-08T18:00:00"/>
    <d v="1899-12-30T03:00:00"/>
    <s v="DSU 6"/>
    <s v=""/>
    <s v=""/>
    <s v="PW"/>
    <s v=""/>
    <s v=""/>
    <s v=""/>
    <s v=""/>
    <s v=""/>
    <s v=""/>
    <s v=""/>
    <s v=""/>
    <s v=""/>
    <s v=""/>
    <s v=""/>
    <s v=""/>
    <s v=""/>
    <s v=""/>
    <s v=""/>
    <s v=""/>
    <s v=""/>
    <n v="0"/>
    <s v="bbl"/>
    <s v=""/>
    <s v=""/>
    <s v=""/>
    <s v=""/>
    <s v="8000132200"/>
    <s v="DSU 6 13"/>
    <s v="Upstream"/>
    <s v="1046"/>
    <s v=""/>
    <s v=""/>
    <s v=""/>
    <s v=""/>
    <s v=""/>
    <s v=""/>
    <s v="Hours Worked"/>
    <n v="3"/>
    <s v="hour"/>
    <n v="92"/>
    <s v=""/>
    <n v="276"/>
    <s v="--multiple--"/>
    <s v="706989"/>
    <d v="2025-10-13T14:27:31"/>
    <s v=""/>
    <s v=""/>
    <s v=""/>
    <s v=""/>
  </r>
  <r>
    <s v="23577"/>
    <s v="RICHARDS HORTICULTURE CONSULTING SERVICE"/>
    <x v="10"/>
    <s v="Michael Self"/>
    <s v="Marco Rodriguez"/>
    <s v="Weed control"/>
    <s v="5051027"/>
    <s v="Upstream"/>
    <s v=""/>
    <s v="USD"/>
    <n v="300"/>
    <s v="Direct Entry"/>
    <s v="1"/>
    <s v="Weed Control on Well Sites"/>
    <s v="Weed Control on Well Sites"/>
    <s v=""/>
    <d v="2025-10-13T13:58:13"/>
    <d v="2025-09-22T01:00:00"/>
    <d v="2025-09-22T02:00:00"/>
    <s v=""/>
    <s v=""/>
    <s v=""/>
    <s v=""/>
    <s v=""/>
    <s v=""/>
    <s v=""/>
    <s v=""/>
    <s v=""/>
    <s v=""/>
    <s v=""/>
    <s v=""/>
    <s v=""/>
    <s v=""/>
    <s v=""/>
    <s v=""/>
    <s v=""/>
    <s v=""/>
    <s v=""/>
    <s v=""/>
    <s v=""/>
    <s v=""/>
    <s v=""/>
    <s v=""/>
    <s v="Labor"/>
    <s v=""/>
    <s v=""/>
    <s v=""/>
    <s v="1001734200"/>
    <s v="BRUCE E 4911HU"/>
    <s v="Upstream"/>
    <s v="1046"/>
    <s v=""/>
    <s v=""/>
    <s v=""/>
    <s v=""/>
    <s v=""/>
    <s v=""/>
    <s v=""/>
    <n v="1"/>
    <s v="EA"/>
    <n v="75"/>
    <s v=""/>
    <n v="75"/>
    <s v="--multiple--"/>
    <s v="709204"/>
    <d v="2025-10-13T14:04:50"/>
    <s v=""/>
    <s v=""/>
    <s v=""/>
    <s v=""/>
  </r>
  <r>
    <s v="37172"/>
    <s v="Apex Energy Services"/>
    <x v="6"/>
    <s v="Kevin Kunkel"/>
    <s v="Elam Tavarez"/>
    <s v="Hauled 400bbls of PW to 829 and Judge SWD_x000a_Disposal Ticket: 1098-30691-100BBLS, 176215-100BBLS, 1098-30701-100BBLS, 1098-30707-100BBLS"/>
    <s v="5051054"/>
    <s v="Upstream"/>
    <s v=""/>
    <s v="USD"/>
    <n v="1288"/>
    <s v="Direct Entry"/>
    <s v="1"/>
    <s v="Tandem Tractor Vacuum Truck - 130 BBL W/ Driver"/>
    <s v="Tandem Tractor Vacuum Truck - 130 BBL W/ Driver"/>
    <s v="Transportation Services"/>
    <d v="2025-10-13T15:24:44"/>
    <d v="2025-10-08T15:00:00"/>
    <d v="2025-10-09T00:00:00"/>
    <d v="1899-12-30T09:00:00"/>
    <s v="DSU 7"/>
    <s v=""/>
    <s v=""/>
    <s v="PW"/>
    <s v=""/>
    <s v=""/>
    <s v=""/>
    <s v=""/>
    <s v=""/>
    <s v=""/>
    <s v=""/>
    <s v=""/>
    <s v=""/>
    <s v=""/>
    <s v=""/>
    <s v=""/>
    <s v=""/>
    <s v=""/>
    <s v=""/>
    <s v=""/>
    <s v=""/>
    <n v="0"/>
    <s v="bbl"/>
    <s v=""/>
    <s v=""/>
    <s v=""/>
    <s v=""/>
    <s v="8000132300"/>
    <s v="DSU 7 14"/>
    <s v="Upstream"/>
    <s v="1046"/>
    <s v=""/>
    <s v=""/>
    <s v=""/>
    <s v=""/>
    <s v=""/>
    <s v=""/>
    <s v="Hours Worked"/>
    <n v="9"/>
    <s v="hour"/>
    <n v="92"/>
    <s v=""/>
    <n v="828"/>
    <s v="--multiple--"/>
    <s v="706989"/>
    <d v="2025-10-13T15:28:23"/>
    <s v=""/>
    <s v=""/>
    <s v=""/>
    <s v=""/>
  </r>
  <r>
    <s v="BL2672695"/>
    <s v="Jet Specialty Inc"/>
    <x v="3"/>
    <s v="Michael Self"/>
    <s v="Marco Rodriguez"/>
    <s v="LEASE: DRAGO BATTERY; BUYER: MARCO RODRIGUEZ;"/>
    <s v="5051028"/>
    <s v="Upstream"/>
    <s v=""/>
    <s v="USD"/>
    <n v="246.83"/>
    <s v="API"/>
    <s v="1"/>
    <s v="73274"/>
    <s v="1&quot; X 1/2&quot; 3000# C/S THREADED HEX BUSHING"/>
    <s v="Fittings"/>
    <d v="2025-09-30T15:10:53"/>
    <d v="2025-09-30T00:01:00"/>
    <d v="2025-09-30T00:01:00"/>
    <s v=""/>
    <s v="DRAGO BATTERY"/>
    <s v=""/>
    <s v=""/>
    <s v=""/>
    <s v=""/>
    <s v=""/>
    <s v=""/>
    <s v=""/>
    <s v=""/>
    <s v=""/>
    <s v=""/>
    <s v=""/>
    <s v=""/>
    <s v=""/>
    <s v=""/>
    <s v=""/>
    <s v=""/>
    <s v=""/>
    <s v=""/>
    <s v=""/>
    <s v=""/>
    <s v=""/>
    <s v=""/>
    <s v="Material"/>
    <s v=""/>
    <s v=""/>
    <s v=""/>
    <s v="8000314800"/>
    <s v="DRAGO BATTERY"/>
    <s v="Upstream"/>
    <s v="1046"/>
    <s v=""/>
    <s v=""/>
    <s v=""/>
    <s v=""/>
    <s v=""/>
    <s v=""/>
    <s v=""/>
    <n v="1"/>
    <s v="each"/>
    <n v="3.25"/>
    <s v=""/>
    <n v="3.25"/>
    <s v="--multiple--"/>
    <s v="708023"/>
    <d v="2025-09-30T15:10:53"/>
    <s v=""/>
    <s v=""/>
    <s v=""/>
    <s v=""/>
  </r>
  <r>
    <s v="BL2672700"/>
    <s v="Jet Specialty Inc"/>
    <x v="3"/>
    <s v="Michael Self"/>
    <s v="Marco Rodriguez"/>
    <s v="LEASE: ALEXANDER BIRD 43-6 BATTERY; BUYER: MARCO RODRIGUEZ;"/>
    <s v="5051028"/>
    <s v="Upstream"/>
    <s v=""/>
    <s v="USD"/>
    <n v="246.83"/>
    <s v="API"/>
    <s v="1"/>
    <s v="73274"/>
    <s v="1&quot; X 1/2&quot; 3000# C/S THREADED HEX BUSHING"/>
    <s v="Fittings"/>
    <d v="2025-09-30T15:11:14"/>
    <d v="2025-09-30T00:01:00"/>
    <d v="2025-09-30T00:01:00"/>
    <s v=""/>
    <s v="ALEXANDER BIRD 43-6 BATTE"/>
    <s v=""/>
    <s v=""/>
    <s v=""/>
    <s v=""/>
    <s v=""/>
    <s v=""/>
    <s v=""/>
    <s v=""/>
    <s v=""/>
    <s v=""/>
    <s v=""/>
    <s v=""/>
    <s v=""/>
    <s v=""/>
    <s v=""/>
    <s v=""/>
    <s v=""/>
    <s v=""/>
    <s v=""/>
    <s v=""/>
    <s v=""/>
    <s v=""/>
    <s v="Material"/>
    <s v=""/>
    <s v=""/>
    <s v=""/>
    <s v="8300077000"/>
    <s v="ALEXANDER BIRD 43-6 BATTERY"/>
    <s v="Upstream"/>
    <s v="1046"/>
    <s v=""/>
    <s v=""/>
    <s v=""/>
    <s v=""/>
    <s v=""/>
    <s v=""/>
    <s v=""/>
    <n v="1"/>
    <s v="each"/>
    <n v="3.25"/>
    <s v=""/>
    <n v="3.25"/>
    <s v="--multiple--"/>
    <s v="708023"/>
    <d v="2025-09-30T15:11:14"/>
    <s v=""/>
    <s v=""/>
    <s v=""/>
    <s v=""/>
  </r>
  <r>
    <s v="37323"/>
    <s v="Apex Energy Services"/>
    <x v="6"/>
    <s v="Kevin Kunkel"/>
    <s v="Elam Tavarez"/>
    <s v="Hauled 400bbls of PW to 829 and Judge SWD_x000a_Disposal Ticket: 1098-30686-100BBLS, 1098-30693-100BBLS, 176216-100BBLS, 1098-30704-100BBLS"/>
    <s v="5051054"/>
    <s v="Upstream"/>
    <s v=""/>
    <s v="USD"/>
    <n v="1288"/>
    <s v="Direct Entry"/>
    <s v="1"/>
    <s v="Tandem Tractor Vacuum Truck - 130 BBL W/ Driver"/>
    <s v="Tandem Tractor Vacuum Truck - 130 BBL W/ Driver"/>
    <s v="Transportation Services"/>
    <d v="2025-10-13T15:30:37"/>
    <d v="2025-10-08T15:00:00"/>
    <d v="2025-10-09T00:00:00"/>
    <d v="1899-12-30T09:00:00"/>
    <s v="DSU 7"/>
    <s v=""/>
    <s v=""/>
    <s v="PW"/>
    <s v=""/>
    <s v=""/>
    <s v=""/>
    <s v=""/>
    <s v=""/>
    <s v=""/>
    <s v=""/>
    <s v=""/>
    <s v=""/>
    <s v=""/>
    <s v=""/>
    <s v=""/>
    <s v=""/>
    <s v=""/>
    <s v=""/>
    <s v=""/>
    <s v=""/>
    <n v="0"/>
    <s v="bbl"/>
    <s v=""/>
    <s v=""/>
    <s v=""/>
    <s v=""/>
    <s v="8000132300"/>
    <s v="DSU 7 14"/>
    <s v="Upstream"/>
    <s v="1046"/>
    <s v=""/>
    <s v=""/>
    <s v=""/>
    <s v=""/>
    <s v=""/>
    <s v=""/>
    <s v="Hours Worked"/>
    <n v="9"/>
    <s v="hour"/>
    <n v="92"/>
    <s v=""/>
    <n v="828"/>
    <s v="--multiple--"/>
    <s v="706989"/>
    <d v="2025-10-13T15:37:28"/>
    <s v=""/>
    <s v=""/>
    <s v=""/>
    <s v=""/>
  </r>
  <r>
    <s v="INV540127"/>
    <s v="Eagle Automation Holdings, Inc."/>
    <x v="5"/>
    <s v="Dusty Gutierrez"/>
    <s v="Mark Allcorn"/>
    <s v="FERMIN MATA, ELECTRICIAN_x000a_JOVALEN FLORES, APPRENTICE_x000a_TRUCK #400845_x000a_9/22/25_x000a_MABEE CH NORTH  CTB_x000a_GL Code: 5051022_x000a_Category: Upstream_x000a_10:00 am -12:00am_x000a_-Walk through location and make a material list for_x000a_heat trace."/>
    <s v="5051022"/>
    <s v="Upstream"/>
    <s v=""/>
    <s v="USD"/>
    <n v="316"/>
    <s v="Direct Entry"/>
    <s v="1"/>
    <s v="Field Service : 400811"/>
    <s v="Journeyman Electrician"/>
    <s v=""/>
    <d v="2025-10-11T18:45:55"/>
    <d v="2025-09-22T10:00:00"/>
    <d v="2025-09-22T12:00:00"/>
    <s v=""/>
    <s v="MABEE CH NORTH CTB"/>
    <s v=""/>
    <s v=""/>
    <s v=""/>
    <s v=""/>
    <s v=""/>
    <s v=""/>
    <s v=""/>
    <s v=""/>
    <s v=""/>
    <s v=""/>
    <s v=""/>
    <s v=""/>
    <s v=""/>
    <s v=""/>
    <s v=""/>
    <s v=""/>
    <s v=""/>
    <s v=""/>
    <s v=""/>
    <s v=""/>
    <s v=""/>
    <s v=""/>
    <s v="Labor"/>
    <s v=""/>
    <s v=""/>
    <s v=""/>
    <s v="9000016500"/>
    <s v="MABEE CH NORTH GLF"/>
    <s v="Upstream"/>
    <s v="1046"/>
    <s v=""/>
    <s v=""/>
    <s v=""/>
    <s v=""/>
    <s v=""/>
    <s v=""/>
    <s v=""/>
    <n v="2"/>
    <s v="HR"/>
    <n v="65"/>
    <s v=""/>
    <n v="130"/>
    <s v="--multiple--"/>
    <s v="706143"/>
    <d v="2025-10-11T18:58:52"/>
    <s v=""/>
    <s v=""/>
    <s v=""/>
    <s v=""/>
  </r>
  <r>
    <s v="INV540128"/>
    <s v="Eagle Automation Holdings, Inc."/>
    <x v="5"/>
    <s v="Dusty Gutierrez"/>
    <s v="Mark Allcorn"/>
    <s v="FERMIN MATA, ELECTRICIAN_x000a_JOVALEN FLORES, APPRENTICE_x000a_TRUCK #400845_x000a_9/22/25_x000a_MABEE CH EAST CTB_x000a_GL Code: 5051022_x000a_Category: Upstream_x000a_12:00 - 2:00_x000a_-Walk through location and make a material list for_x000a_heat trace."/>
    <s v="5051022"/>
    <s v="Upstream"/>
    <s v=""/>
    <s v="USD"/>
    <n v="316"/>
    <s v="Direct Entry"/>
    <s v="1"/>
    <s v="Field Service : 400811"/>
    <s v="Journeyman Electrician"/>
    <s v=""/>
    <d v="2025-10-11T18:56:52"/>
    <d v="2025-09-22T12:00:00"/>
    <d v="2025-09-22T14:00:00"/>
    <s v=""/>
    <s v="MABEE CH EAST CTB"/>
    <s v=""/>
    <s v=""/>
    <s v=""/>
    <s v=""/>
    <s v=""/>
    <s v=""/>
    <s v=""/>
    <s v=""/>
    <s v=""/>
    <s v=""/>
    <s v=""/>
    <s v=""/>
    <s v=""/>
    <s v=""/>
    <s v=""/>
    <s v=""/>
    <s v=""/>
    <s v=""/>
    <s v=""/>
    <s v=""/>
    <s v=""/>
    <s v=""/>
    <s v="Labor"/>
    <s v=""/>
    <s v=""/>
    <s v=""/>
    <s v="9000016400"/>
    <s v="MABEE CH EAST GLF"/>
    <s v="Upstream"/>
    <s v="1046"/>
    <s v=""/>
    <s v=""/>
    <s v=""/>
    <s v=""/>
    <s v=""/>
    <s v=""/>
    <s v=""/>
    <n v="2"/>
    <s v="HR"/>
    <n v="65"/>
    <s v=""/>
    <n v="130"/>
    <s v="--multiple--"/>
    <s v="706143"/>
    <d v="2025-10-11T18:57:44"/>
    <s v=""/>
    <s v=""/>
    <s v=""/>
    <s v=""/>
  </r>
  <r>
    <s v="INV540129"/>
    <s v="Eagle Automation Holdings, Inc."/>
    <x v="5"/>
    <s v="Dusty Gutierrez"/>
    <s v="Mark Allcorn"/>
    <s v="FERMIN MATA, ELECTRICIAN_x000a_JOVALEN FLORES, APPRENTICE_x000a_TRUCK #400845_x000a_9/22/25_x000a_MABEE CH SOUTH CTB_x000a_GL Code: 5051022_x000a_Category: Upstream_x000a_2:00 - 4:00_x000a_-Walk through location and make a material list for_x000a_heat trace."/>
    <s v="5051022"/>
    <s v="Upstream"/>
    <s v=""/>
    <s v="USD"/>
    <n v="429"/>
    <s v="Direct Entry"/>
    <s v="1"/>
    <s v="Field Service : 400821"/>
    <s v="Journeyman Electrician - Overtime"/>
    <s v=""/>
    <d v="2025-10-11T19:06:34"/>
    <d v="2025-09-22T14:00:00"/>
    <d v="2025-09-22T16:00:00"/>
    <s v=""/>
    <s v="MABEE CH SOUTH CTB"/>
    <s v=""/>
    <s v=""/>
    <s v=""/>
    <s v=""/>
    <s v=""/>
    <s v=""/>
    <s v=""/>
    <s v=""/>
    <s v=""/>
    <s v=""/>
    <s v=""/>
    <s v=""/>
    <s v=""/>
    <s v=""/>
    <s v=""/>
    <s v=""/>
    <s v=""/>
    <s v=""/>
    <s v=""/>
    <s v=""/>
    <s v=""/>
    <s v=""/>
    <s v="Labor"/>
    <s v=""/>
    <s v=""/>
    <s v=""/>
    <s v="9000016600"/>
    <s v="MABEE CH SOUTH C GLF"/>
    <s v="Upstream"/>
    <s v="1046"/>
    <s v=""/>
    <s v=""/>
    <s v=""/>
    <s v=""/>
    <s v=""/>
    <s v=""/>
    <s v=""/>
    <n v="2"/>
    <s v="HR"/>
    <n v="97.5"/>
    <s v=""/>
    <n v="195"/>
    <s v="--multiple--"/>
    <s v="706143"/>
    <d v="2025-10-11T19:10:22"/>
    <s v=""/>
    <s v=""/>
    <s v=""/>
    <s v=""/>
  </r>
  <r>
    <s v="34579"/>
    <s v="Apex Energy Services"/>
    <x v="6"/>
    <s v="Kevin Kunkel"/>
    <s v="Elam Tavarez"/>
    <s v="Hauled 200bbls of PW to 829 and Judge SWD_x000a_Disposal Ticket: 1098-30690-100BBLS, 176214-100BBLS"/>
    <s v="5051054"/>
    <s v="Upstream"/>
    <s v=""/>
    <s v="USD"/>
    <n v="690"/>
    <s v="Direct Entry"/>
    <s v="1"/>
    <s v="Tandem Tractor Vacuum Truck - 130 BBL W/ Driver"/>
    <s v="Tandem Tractor Vacuum Truck - 130 BBL W/ Driver"/>
    <s v="Transportation Services"/>
    <d v="2025-10-13T15:38:30"/>
    <d v="2025-10-08T16:00:00"/>
    <d v="2025-10-08T21:00:00"/>
    <d v="1899-12-30T05:00:00"/>
    <s v="DSU 7"/>
    <s v=""/>
    <s v=""/>
    <s v="PW"/>
    <s v=""/>
    <s v=""/>
    <s v=""/>
    <s v=""/>
    <s v=""/>
    <s v=""/>
    <s v=""/>
    <s v=""/>
    <s v=""/>
    <s v=""/>
    <s v=""/>
    <s v=""/>
    <s v=""/>
    <s v=""/>
    <s v=""/>
    <s v=""/>
    <s v=""/>
    <n v="0"/>
    <s v="bbl"/>
    <s v=""/>
    <s v=""/>
    <s v=""/>
    <s v=""/>
    <s v="8000132300"/>
    <s v="DSU 7 14"/>
    <s v="Upstream"/>
    <s v="1046"/>
    <s v=""/>
    <s v=""/>
    <s v=""/>
    <s v=""/>
    <s v=""/>
    <s v=""/>
    <s v="Hours Worked"/>
    <n v="5"/>
    <s v="hour"/>
    <n v="92"/>
    <s v=""/>
    <n v="460"/>
    <s v="--multiple--"/>
    <s v="706989"/>
    <d v="2025-10-13T15:41:14"/>
    <s v=""/>
    <s v=""/>
    <s v=""/>
    <s v=""/>
  </r>
  <r>
    <s v="36574"/>
    <s v="Apex Energy Services"/>
    <x v="6"/>
    <s v="Kevin Kunkel"/>
    <s v="Elam Tavarez"/>
    <s v="Hauled 100bbls of PW to Judge SWD_x000a_Disposal Ticket: 1098-30694-100BBLS"/>
    <s v="5051054"/>
    <s v="Upstream"/>
    <s v=""/>
    <s v="USD"/>
    <n v="299"/>
    <s v="Direct Entry"/>
    <s v="1"/>
    <s v="Tandem Tractor Vacuum Truck - 130 BBL W/ Driver"/>
    <s v="Tandem Tractor Vacuum Truck - 130 BBL W/ Driver"/>
    <s v="Transportation Services"/>
    <d v="2025-10-13T14:33:19"/>
    <d v="2025-10-08T17:00:00"/>
    <d v="2025-10-08T19:00:00"/>
    <d v="1899-12-30T02:00:00"/>
    <s v="DSU 6"/>
    <s v=""/>
    <s v=""/>
    <s v="PW"/>
    <s v=""/>
    <s v=""/>
    <s v=""/>
    <s v=""/>
    <s v=""/>
    <s v=""/>
    <s v=""/>
    <s v=""/>
    <s v=""/>
    <s v=""/>
    <s v=""/>
    <s v=""/>
    <s v=""/>
    <s v=""/>
    <s v=""/>
    <s v=""/>
    <s v=""/>
    <n v="0"/>
    <s v="bbl"/>
    <s v=""/>
    <s v=""/>
    <s v=""/>
    <s v=""/>
    <s v="8000132200"/>
    <s v="DSU 6 13"/>
    <s v="Upstream"/>
    <s v="1046"/>
    <s v=""/>
    <s v=""/>
    <s v=""/>
    <s v=""/>
    <s v=""/>
    <s v=""/>
    <s v="Hours Worked"/>
    <n v="2"/>
    <s v="hour"/>
    <n v="92"/>
    <s v=""/>
    <n v="184"/>
    <s v="--multiple--"/>
    <s v="706989"/>
    <d v="2025-10-13T14:35:18"/>
    <s v=""/>
    <s v=""/>
    <s v=""/>
    <s v=""/>
  </r>
  <r>
    <s v="1006-11I"/>
    <s v="OTI Electrical Services LLC"/>
    <x v="1"/>
    <s v="Dusty Gutierrez"/>
    <s v="Mark Allcorn"/>
    <s v="Start 1:45pm  Stop 5:00pm_x000a_Rod pump conversion._x000a_Picked up material the EMC for rod pump conversion. Picked up remaining material."/>
    <s v="8501142"/>
    <s v="AC-AC"/>
    <s v=""/>
    <s v="USD"/>
    <n v="1893.27"/>
    <s v="Direct Entry"/>
    <s v="1"/>
    <s v="Foreman"/>
    <s v="FOREMAN"/>
    <s v="Service"/>
    <d v="2025-10-08T10:38:20"/>
    <d v="2025-10-06T01:45:00"/>
    <d v="2025-10-06T17:00:00"/>
    <s v=""/>
    <s v="Lake Valley 10 AD-3SM"/>
    <s v=""/>
    <s v=""/>
    <s v=""/>
    <s v=""/>
    <s v=""/>
    <s v=""/>
    <s v=""/>
    <s v=""/>
    <s v=""/>
    <s v=""/>
    <s v=""/>
    <s v=""/>
    <s v=""/>
    <s v=""/>
    <s v=""/>
    <s v=""/>
    <s v=""/>
    <s v=""/>
    <s v=""/>
    <s v=""/>
    <s v=""/>
    <s v=""/>
    <s v="Labor"/>
    <s v=""/>
    <s v=""/>
    <s v=""/>
    <s v="AC-002083AC"/>
    <s v="UL LAKE VALLEY 10-19 D 3JM - ESP2RP"/>
    <s v="AC-AC"/>
    <s v="1046"/>
    <s v=""/>
    <s v=""/>
    <s v=""/>
    <s v=""/>
    <s v=""/>
    <s v=""/>
    <s v=""/>
    <n v="1"/>
    <s v="HR"/>
    <n v="62"/>
    <s v=""/>
    <n v="62"/>
    <s v="--multiple--"/>
    <s v="708806"/>
    <d v="2025-10-08T10:48:31"/>
    <s v=""/>
    <s v=""/>
    <s v=""/>
    <s v=""/>
  </r>
  <r>
    <s v="37251"/>
    <s v="Apex Energy Services"/>
    <x v="6"/>
    <s v="Kevin Kunkel"/>
    <s v="Elam Tavarez"/>
    <s v="Hauled 100bbls of PW to 829 SWD_x000a_Disposal Ticket: 176213-100BBLS"/>
    <s v="5051054"/>
    <s v="Upstream"/>
    <s v=""/>
    <s v="USD"/>
    <n v="299"/>
    <s v="Direct Entry"/>
    <s v="1"/>
    <s v="Tandem Tractor Vacuum Truck - 130 BBL W/ Driver"/>
    <s v="Tandem Tractor Vacuum Truck - 130 BBL W/ Driver"/>
    <s v="Transportation Services"/>
    <d v="2025-10-13T15:19:54"/>
    <d v="2025-10-08T18:00:00"/>
    <d v="2025-10-08T20:00:00"/>
    <d v="1899-12-30T02:00:00"/>
    <s v="DSU 7"/>
    <s v=""/>
    <s v=""/>
    <s v="PW"/>
    <s v=""/>
    <s v=""/>
    <s v=""/>
    <s v=""/>
    <s v=""/>
    <s v=""/>
    <s v=""/>
    <s v=""/>
    <s v=""/>
    <s v=""/>
    <s v=""/>
    <s v=""/>
    <s v=""/>
    <s v=""/>
    <s v=""/>
    <s v=""/>
    <s v=""/>
    <n v="0"/>
    <s v="bbl"/>
    <s v=""/>
    <s v=""/>
    <s v=""/>
    <s v=""/>
    <s v="8000132300"/>
    <s v="DSU 7 14"/>
    <s v="Upstream"/>
    <s v="1046"/>
    <s v=""/>
    <s v=""/>
    <s v=""/>
    <s v=""/>
    <s v=""/>
    <s v=""/>
    <s v="Hours Worked"/>
    <n v="2"/>
    <s v="hour"/>
    <n v="92"/>
    <s v=""/>
    <n v="184"/>
    <s v="--multiple--"/>
    <s v="706989"/>
    <d v="2025-10-13T15:22:22"/>
    <s v=""/>
    <s v=""/>
    <s v=""/>
    <s v=""/>
  </r>
  <r>
    <s v="36575"/>
    <s v="Apex Energy Services"/>
    <x v="6"/>
    <s v="Kevin Kunkel"/>
    <s v="Elam Tavarez"/>
    <s v="Hauled 100bbls of PW to Judge SWD_x000a_Disposal Ticket: 1098-30697-100BBLS"/>
    <s v="5051054"/>
    <s v="Upstream"/>
    <s v=""/>
    <s v="USD"/>
    <n v="299"/>
    <s v="Direct Entry"/>
    <s v="1"/>
    <s v="Tandem Tractor Vacuum Truck - 130 BBL W/ Driver"/>
    <s v="Tandem Tractor Vacuum Truck - 130 BBL W/ Driver"/>
    <s v="Transportation Services"/>
    <d v="2025-10-13T15:03:03"/>
    <d v="2025-10-08T19:00:00"/>
    <d v="2025-10-08T21:00:00"/>
    <d v="1899-12-30T02:00:00"/>
    <s v="DSU 6"/>
    <s v=""/>
    <s v=""/>
    <s v="PW"/>
    <s v=""/>
    <s v=""/>
    <s v=""/>
    <s v=""/>
    <s v=""/>
    <s v=""/>
    <s v=""/>
    <s v=""/>
    <s v=""/>
    <s v=""/>
    <s v=""/>
    <s v=""/>
    <s v=""/>
    <s v=""/>
    <s v=""/>
    <s v=""/>
    <s v=""/>
    <n v="0"/>
    <s v="bbl"/>
    <s v=""/>
    <s v=""/>
    <s v=""/>
    <s v=""/>
    <s v="8000132200"/>
    <s v="DSU 6 13"/>
    <s v="Upstream"/>
    <s v="1046"/>
    <s v=""/>
    <s v=""/>
    <s v=""/>
    <s v=""/>
    <s v=""/>
    <s v=""/>
    <s v="Hours Worked"/>
    <n v="2"/>
    <s v="hour"/>
    <n v="92"/>
    <s v=""/>
    <n v="184"/>
    <s v="--multiple--"/>
    <s v="706989"/>
    <d v="2025-10-13T15:14:17"/>
    <s v=""/>
    <s v=""/>
    <s v=""/>
    <s v=""/>
  </r>
  <r>
    <s v="V-55798"/>
    <s v="J&amp;R Roustabout, LLC"/>
    <x v="6"/>
    <s v="Kevin Kunkel"/>
    <s v="Elam Tavarez"/>
    <s v="DROVE TO LOCATION AND HAULED PW TO SWD AND UNLOADED."/>
    <s v="5051054"/>
    <s v="Upstream"/>
    <s v=""/>
    <s v="USD"/>
    <n v="279.5"/>
    <s v="Direct Entry"/>
    <s v="1"/>
    <s v="VACUUM TRUCK"/>
    <s v="Vacuum Truck"/>
    <s v="VACUUM"/>
    <d v="2025-10-13T08:45:31"/>
    <d v="2025-10-11T07:30:00"/>
    <d v="2025-10-11T09:45:00"/>
    <d v="1899-12-30T02:15:00"/>
    <s v="JC EPLEY  9"/>
    <s v=""/>
    <s v=""/>
    <s v="LABOR"/>
    <s v=""/>
    <s v=""/>
    <s v=""/>
    <s v=""/>
    <s v=""/>
    <s v=""/>
    <s v=""/>
    <s v=""/>
    <s v=""/>
    <s v=""/>
    <s v=""/>
    <s v=""/>
    <s v=""/>
    <s v=""/>
    <s v=""/>
    <s v=""/>
    <s v=""/>
    <n v="0"/>
    <s v="bbl"/>
    <s v=""/>
    <s v=""/>
    <s v=""/>
    <s v=""/>
    <s v="1000289500"/>
    <s v="EPLEY J. C. 9"/>
    <s v="Upstream"/>
    <s v="1046"/>
    <s v=""/>
    <s v=""/>
    <s v=""/>
    <s v=""/>
    <s v=""/>
    <s v=""/>
    <s v="Other"/>
    <n v="2.25"/>
    <s v="HR"/>
    <n v="90"/>
    <s v=""/>
    <n v="202.5"/>
    <s v="Pricebook"/>
    <s v="712950"/>
    <d v="2025-10-14T11:36:57"/>
    <s v=""/>
    <s v=""/>
    <s v="Coding/Location Issue"/>
    <s v=""/>
  </r>
  <r>
    <s v="02-16235"/>
    <s v="Arpco Valves &amp; Controls, LLC"/>
    <x v="10"/>
    <s v="Kyle Jordan"/>
    <s v="Dalton Gray"/>
    <s v="WELLHEAD PM MAINTENANCE: TARGET H BATTERY"/>
    <s v="5051052"/>
    <s v="Upstream"/>
    <s v="163771"/>
    <s v="USD"/>
    <n v="4725"/>
    <s v="Direct Entry"/>
    <s v="1"/>
    <s v="WELLHEAD-MAINTENANCE"/>
    <s v="WELLHEAD MAINTENANCE"/>
    <s v=""/>
    <d v="2025-10-03T09:01:46"/>
    <d v="2025-10-02T00:00:00"/>
    <d v="2025-10-02T00:00:00"/>
    <s v=""/>
    <s v=""/>
    <s v=""/>
    <s v=""/>
    <s v=""/>
    <s v=""/>
    <s v=""/>
    <s v=""/>
    <s v=""/>
    <s v=""/>
    <s v=""/>
    <s v=""/>
    <s v=""/>
    <s v=""/>
    <s v=""/>
    <s v=""/>
    <s v=""/>
    <s v=""/>
    <s v=""/>
    <s v=""/>
    <s v=""/>
    <s v=""/>
    <s v=""/>
    <s v=""/>
    <s v="Labor"/>
    <s v=""/>
    <s v=""/>
    <s v=""/>
    <s v="1000478300"/>
    <s v="TARGET O 3902WA"/>
    <s v="Upstream"/>
    <s v="1046"/>
    <s v=""/>
    <s v=""/>
    <s v=""/>
    <s v=""/>
    <s v=""/>
    <s v=""/>
    <s v=""/>
    <n v="1"/>
    <s v="each"/>
    <n v="315"/>
    <s v=""/>
    <n v="315"/>
    <s v="Pricebook"/>
    <s v="712965"/>
    <d v="2025-10-03T09:08:36"/>
    <s v=""/>
    <s v=""/>
    <s v=""/>
    <s v=""/>
  </r>
  <r>
    <s v="700188"/>
    <s v="Mission Flares and Combustion, LLC"/>
    <x v="3"/>
    <s v="Kyle Jordan"/>
    <s v="Fabian Lujan"/>
    <s v="Fasken 9-16-21"/>
    <s v="5051006"/>
    <s v="Upstream"/>
    <s v="158487"/>
    <s v="USD"/>
    <n v="6741"/>
    <s v="Direct Entry"/>
    <s v="1"/>
    <s v="Level 2 Service Technician"/>
    <s v="Technician Hourly Labor Rate"/>
    <s v=""/>
    <d v="2025-09-30T14:35:24"/>
    <d v="2025-09-12T07:00:00"/>
    <d v="2025-09-12T16:00:00"/>
    <s v=""/>
    <s v="Fasken 9-16-21"/>
    <s v=""/>
    <s v=""/>
    <s v=""/>
    <s v=""/>
    <s v=""/>
    <s v=""/>
    <s v=""/>
    <s v=""/>
    <s v=""/>
    <s v=""/>
    <s v=""/>
    <s v=""/>
    <s v=""/>
    <s v=""/>
    <s v=""/>
    <s v=""/>
    <s v=""/>
    <s v=""/>
    <s v=""/>
    <s v=""/>
    <s v=""/>
    <s v=""/>
    <s v="Labor"/>
    <s v=""/>
    <s v=""/>
    <s v=""/>
    <s v="8300098300"/>
    <s v="FASKEN 9-16-21 (2) BATTERY"/>
    <s v="Upstream"/>
    <s v="1046"/>
    <s v=""/>
    <s v=""/>
    <s v=""/>
    <s v=""/>
    <s v=""/>
    <s v=""/>
    <s v=""/>
    <n v="9"/>
    <s v="HR"/>
    <n v="135"/>
    <s v=""/>
    <n v="1215"/>
    <s v="--multiple--"/>
    <s v="710631"/>
    <d v="2025-09-30T14:38:21"/>
    <s v=""/>
    <s v=""/>
    <s v=""/>
    <s v=""/>
  </r>
  <r>
    <s v="02-16237"/>
    <s v="Arpco Valves &amp; Controls, LLC"/>
    <x v="10"/>
    <s v="Kyle Jordan"/>
    <s v="Fabian Lujan"/>
    <s v="WELLHEAD PM MAINTENANCE: KOONCE N A39-34/KOONCE S A46-3"/>
    <s v="5051052"/>
    <s v="Upstream"/>
    <s v="163772"/>
    <s v="USD"/>
    <n v="1892.48"/>
    <s v="Direct Entry"/>
    <s v="1"/>
    <s v="WELLHEAD-MAINTENANCE"/>
    <s v="WELLHEAD MAINTENANCE"/>
    <s v=""/>
    <d v="2025-10-03T09:09:44"/>
    <d v="2025-10-02T00:00:00"/>
    <d v="2025-10-02T00:00:00"/>
    <s v=""/>
    <s v=""/>
    <s v=""/>
    <s v=""/>
    <s v=""/>
    <s v=""/>
    <s v=""/>
    <s v=""/>
    <s v=""/>
    <s v=""/>
    <s v=""/>
    <s v=""/>
    <s v=""/>
    <s v=""/>
    <s v=""/>
    <s v=""/>
    <s v=""/>
    <s v=""/>
    <s v=""/>
    <s v=""/>
    <s v=""/>
    <s v=""/>
    <s v=""/>
    <s v=""/>
    <s v="Labor"/>
    <s v=""/>
    <s v=""/>
    <s v=""/>
    <s v="1001402700"/>
    <s v="KOONCE S46-3 1 213"/>
    <s v="Upstream"/>
    <s v="1046"/>
    <s v=""/>
    <s v=""/>
    <s v=""/>
    <s v=""/>
    <s v=""/>
    <s v=""/>
    <s v=""/>
    <n v="1"/>
    <s v="each"/>
    <n v="315"/>
    <s v=""/>
    <n v="315"/>
    <s v="Pricebook"/>
    <s v="712965"/>
    <d v="2025-10-03T09:13:51"/>
    <s v=""/>
    <s v=""/>
    <s v=""/>
    <s v=""/>
  </r>
  <r>
    <s v="QTS-160-954"/>
    <s v="JessCo Solutions, LLC"/>
    <x v="12"/>
    <s v="Kyle Jordan"/>
    <s v="Marco Rodriguez"/>
    <s v="CALL OUT"/>
    <s v="5051006"/>
    <s v="Upstream"/>
    <s v="159648"/>
    <s v="USD"/>
    <n v="949.51"/>
    <s v="Direct Entry"/>
    <s v="1"/>
    <s v="Labor"/>
    <s v="labor"/>
    <s v=""/>
    <d v="2025-09-25T08:48:01"/>
    <d v="2025-09-16T09:00:00"/>
    <d v="2025-09-16T15:00:00"/>
    <s v=""/>
    <s v=""/>
    <s v=""/>
    <s v=""/>
    <s v=""/>
    <s v=""/>
    <s v=""/>
    <s v=""/>
    <s v=""/>
    <s v=""/>
    <s v=""/>
    <s v=""/>
    <s v=""/>
    <s v=""/>
    <s v=""/>
    <s v=""/>
    <s v=""/>
    <s v=""/>
    <s v=""/>
    <s v=""/>
    <s v=""/>
    <s v=""/>
    <s v=""/>
    <s v=""/>
    <s v="Labor"/>
    <s v="HARRIS, DONALD"/>
    <s v=""/>
    <s v=""/>
    <s v="8300077000"/>
    <s v="ALEXANDER BIRD 43-6 BATTERY"/>
    <s v="Upstream"/>
    <s v="1046"/>
    <s v=""/>
    <s v=""/>
    <s v=""/>
    <s v=""/>
    <s v=""/>
    <s v=""/>
    <s v=""/>
    <n v="5"/>
    <s v="per hour"/>
    <n v="125"/>
    <s v=""/>
    <n v="625"/>
    <s v="--multiple--"/>
    <s v="711555"/>
    <d v="2025-09-25T08:55:01"/>
    <s v=""/>
    <s v=""/>
    <s v=""/>
    <s v=""/>
  </r>
  <r>
    <s v="35362"/>
    <s v="Raider Pump &amp; Supply Inc"/>
    <x v="6"/>
    <s v="Chris Mendoza"/>
    <s v="Mark Ramos"/>
    <s v="XH NIPPLE, XH 90, XH TEE"/>
    <s v="5051049"/>
    <s v="Upstream"/>
    <s v="155606"/>
    <s v="USD"/>
    <n v="59.89"/>
    <s v="Direct Entry"/>
    <s v="1"/>
    <s v="PLN-200-06-XH"/>
    <s v="2 X 6 XH NIPPLE"/>
    <s v=""/>
    <d v="2025-09-22T09:35:28"/>
    <d v="2025-09-03T00:00:00"/>
    <d v="2025-09-03T00:00:00"/>
    <s v=""/>
    <s v=""/>
    <s v=""/>
    <s v=""/>
    <s v=""/>
    <s v=""/>
    <s v=""/>
    <s v=""/>
    <s v=""/>
    <s v=""/>
    <s v=""/>
    <s v=""/>
    <s v=""/>
    <s v=""/>
    <s v=""/>
    <s v=""/>
    <s v=""/>
    <s v=""/>
    <s v=""/>
    <s v=""/>
    <s v=""/>
    <s v=""/>
    <s v=""/>
    <s v=""/>
    <s v="Material"/>
    <s v=""/>
    <s v=""/>
    <s v=""/>
    <s v="1001331700"/>
    <s v="MORRIS 33 1"/>
    <s v="Upstream"/>
    <s v="1046"/>
    <s v=""/>
    <s v=""/>
    <s v=""/>
    <s v=""/>
    <s v=""/>
    <s v=""/>
    <s v=""/>
    <n v="1"/>
    <s v="EA"/>
    <n v="8.5"/>
    <s v=""/>
    <n v="8.5"/>
    <s v="E-Maintenance"/>
    <s v="703264"/>
    <d v="2025-10-13T09:16:04"/>
    <s v=""/>
    <s v=""/>
    <s v="Requisitioner Error"/>
    <s v=""/>
  </r>
  <r>
    <s v="G5799996"/>
    <s v="Montero Energy Services LLC"/>
    <x v="6"/>
    <s v="Chris Mendoza"/>
    <s v="Mark Ramos"/>
    <s v="Production-Roustabout 3 man-The crew replaced a dump valve on the tester and proceeded to do the valve swap out from gas to air."/>
    <s v="5051049"/>
    <s v="Upstream"/>
    <s v="170012"/>
    <s v="USD"/>
    <n v="441.25"/>
    <s v="API"/>
    <s v="1"/>
    <s v="100007"/>
    <s v="Three man crew with roustabout truck"/>
    <s v="Roustabout Crew"/>
    <d v="2025-09-25T16:02:04"/>
    <d v="2025-09-24T14:28:00"/>
    <d v="2025-09-24T18:00:00"/>
    <s v=""/>
    <s v="MCALPINE-GRISHAM 47-35 UNIT 1 CTB"/>
    <s v=""/>
    <s v="MCALPINE GRISHAM 47-35 UNIT 1/1A  (WP6)"/>
    <s v=""/>
    <s v=""/>
    <s v=""/>
    <s v=""/>
    <s v=""/>
    <s v=""/>
    <s v=""/>
    <s v=""/>
    <s v=""/>
    <s v=""/>
    <s v=""/>
    <s v=""/>
    <s v=""/>
    <s v=""/>
    <s v=""/>
    <s v=""/>
    <s v=""/>
    <s v=""/>
    <s v=""/>
    <s v=""/>
    <s v="Labor"/>
    <s v="Baez, Edgar"/>
    <s v=""/>
    <s v=""/>
    <s v="8300189600"/>
    <s v="MCALPINE-GRISHAM 47-35 UNIT 1 CTB"/>
    <s v="Upstream"/>
    <s v="1046"/>
    <s v=""/>
    <s v=""/>
    <s v=""/>
    <s v=""/>
    <s v=""/>
    <s v=""/>
    <s v=""/>
    <n v="3.53"/>
    <s v="HR"/>
    <n v="125"/>
    <s v=""/>
    <n v="441.25"/>
    <s v="--multiple--"/>
    <s v="706718"/>
    <d v="2025-10-14T08:56:49"/>
    <s v=""/>
    <s v=""/>
    <s v="Altered or Handwritten | Attachment Issue | Altered or Handwritten | Ticket Reference Error | Coding/Location Issue"/>
    <s v=""/>
  </r>
  <r>
    <s v="35914"/>
    <s v="Raider Pump &amp; Supply Inc"/>
    <x v="5"/>
    <s v="Chris Mendoza"/>
    <s v="Mark Ramos"/>
    <s v="325 FMT-D LPHV D2"/>
    <s v="5051049"/>
    <s v="Upstream"/>
    <s v="166544"/>
    <s v="USD"/>
    <n v="2263.7399999999998"/>
    <s v="Direct Entry"/>
    <s v="1"/>
    <s v="VMV-325-FMT-LPHV"/>
    <s v="325 FMT LPHV"/>
    <s v=""/>
    <d v="2025-10-13T07:37:18"/>
    <d v="2025-09-25T00:00:00"/>
    <d v="2025-09-25T00:00:00"/>
    <s v=""/>
    <s v=""/>
    <s v=""/>
    <s v=""/>
    <s v=""/>
    <s v=""/>
    <s v=""/>
    <s v=""/>
    <s v=""/>
    <s v=""/>
    <s v=""/>
    <s v=""/>
    <s v=""/>
    <s v=""/>
    <s v=""/>
    <s v=""/>
    <s v=""/>
    <s v=""/>
    <s v=""/>
    <s v=""/>
    <s v=""/>
    <s v=""/>
    <s v=""/>
    <s v=""/>
    <s v="Material"/>
    <s v=""/>
    <s v=""/>
    <s v=""/>
    <s v="8300089200"/>
    <s v="COACHWHIP 17-20 BATTERY"/>
    <s v="Upstream"/>
    <s v="1046"/>
    <s v=""/>
    <s v=""/>
    <s v=""/>
    <s v=""/>
    <s v=""/>
    <s v=""/>
    <s v=""/>
    <n v="1"/>
    <s v="EA"/>
    <n v="2263.7399999999998"/>
    <s v=""/>
    <n v="2263.7399999999998"/>
    <s v="E-Maintenance"/>
    <s v="703264"/>
    <d v="2025-10-13T07:38:28"/>
    <s v=""/>
    <s v=""/>
    <s v=""/>
    <s v=""/>
  </r>
  <r>
    <s v="35991"/>
    <s v="Raider Pump &amp; Supply Inc"/>
    <x v="5"/>
    <s v="Chris Mendoza"/>
    <s v="Mark Ramos"/>
    <s v="METAL BUCKETS, WIRE BRUSH, PIPE PLUG"/>
    <s v="5051049"/>
    <s v="Upstream"/>
    <s v="167332"/>
    <s v="USD"/>
    <n v="164.43"/>
    <s v="Direct Entry"/>
    <s v="1"/>
    <s v="MB-5"/>
    <s v="METAL BUCKETS 5 GALLON"/>
    <s v=""/>
    <d v="2025-10-13T08:17:49"/>
    <d v="2025-09-29T00:00:00"/>
    <d v="2025-09-29T00:00:00"/>
    <s v=""/>
    <s v=""/>
    <s v=""/>
    <s v=""/>
    <s v=""/>
    <s v=""/>
    <s v=""/>
    <s v=""/>
    <s v=""/>
    <s v=""/>
    <s v=""/>
    <s v=""/>
    <s v=""/>
    <s v=""/>
    <s v=""/>
    <s v=""/>
    <s v=""/>
    <s v=""/>
    <s v=""/>
    <s v=""/>
    <s v=""/>
    <s v=""/>
    <s v=""/>
    <s v=""/>
    <s v="Material"/>
    <s v=""/>
    <s v=""/>
    <s v=""/>
    <s v="1001121300"/>
    <s v="HALSEY 3 103WD"/>
    <s v="Upstream"/>
    <s v="1046"/>
    <s v=""/>
    <s v=""/>
    <s v=""/>
    <s v=""/>
    <s v=""/>
    <s v=""/>
    <s v=""/>
    <n v="1"/>
    <s v="EA"/>
    <n v="35"/>
    <s v=""/>
    <n v="35"/>
    <s v="E-Maintenance"/>
    <s v="703264"/>
    <d v="2025-10-13T08:20:40"/>
    <s v=""/>
    <s v=""/>
    <s v=""/>
    <s v=""/>
  </r>
  <r>
    <s v="35993"/>
    <s v="Raider Pump &amp; Supply Inc"/>
    <x v="5"/>
    <s v="Chris Mendoza"/>
    <s v="Mark Ramos"/>
    <s v="PC GRVD 45, GRVD FLANGE, ENSEAL CLAMP"/>
    <s v="5051049"/>
    <s v="Upstream"/>
    <s v="167596"/>
    <s v="USD"/>
    <n v="858.42"/>
    <s v="Direct Entry"/>
    <s v="1"/>
    <s v="PLE-400-45-GC"/>
    <s v="4&quot; PLASTIC COATED GROOVED 45"/>
    <s v=""/>
    <d v="2025-10-13T08:24:24"/>
    <d v="2025-09-29T00:00:00"/>
    <d v="2025-09-29T00:00:00"/>
    <s v=""/>
    <s v=""/>
    <s v=""/>
    <s v=""/>
    <s v=""/>
    <s v=""/>
    <s v=""/>
    <s v=""/>
    <s v=""/>
    <s v=""/>
    <s v=""/>
    <s v=""/>
    <s v=""/>
    <s v=""/>
    <s v=""/>
    <s v=""/>
    <s v=""/>
    <s v=""/>
    <s v=""/>
    <s v=""/>
    <s v=""/>
    <s v=""/>
    <s v=""/>
    <s v=""/>
    <s v="Material"/>
    <s v=""/>
    <s v=""/>
    <s v=""/>
    <s v="8000079900"/>
    <s v="DRAGONFLY H BATTERY"/>
    <s v="Upstream"/>
    <s v="1046"/>
    <s v=""/>
    <s v=""/>
    <s v=""/>
    <s v=""/>
    <s v=""/>
    <s v=""/>
    <s v=""/>
    <n v="1"/>
    <s v="EA"/>
    <n v="60.41"/>
    <s v=""/>
    <n v="60.41"/>
    <s v="E-Maintenance"/>
    <s v="703264"/>
    <d v="2025-10-13T08:29:07"/>
    <s v=""/>
    <s v=""/>
    <s v=""/>
    <s v=""/>
  </r>
  <r>
    <s v="192927100"/>
    <s v="Dunagin Transport Company"/>
    <x v="6"/>
    <s v="Cody Palk"/>
    <s v="Mark Ramos"/>
    <s v="NANCE 6-B 1, drove to the tall city brine station and loaded up with 50 bbl. of brine water, unloaded into the pump truck, connected to the pump jack to catch water from the pump truck carried 5 bbl. onto the next job"/>
    <s v="5051049"/>
    <s v="Upstream"/>
    <s v="157947"/>
    <s v="USD"/>
    <n v="750"/>
    <s v="Direct Entry"/>
    <s v="1"/>
    <s v="Vacuum Truck"/>
    <s v="Vacuum Truck"/>
    <s v=""/>
    <d v="2025-10-13T09:04:02"/>
    <d v="2025-09-15T06:00:00"/>
    <d v="2025-09-15T12:00:00"/>
    <d v="1899-12-30T06:00:00"/>
    <s v="NANCE 6-B 1"/>
    <s v=""/>
    <s v=""/>
    <s v="BRINE WATER"/>
    <s v=""/>
    <s v=""/>
    <s v=""/>
    <s v=""/>
    <s v=""/>
    <s v=""/>
    <s v=""/>
    <s v=""/>
    <s v=""/>
    <s v=""/>
    <s v=""/>
    <s v=""/>
    <s v=""/>
    <s v=""/>
    <s v=""/>
    <s v=""/>
    <s v=""/>
    <n v="50"/>
    <s v="bbl"/>
    <s v=""/>
    <s v=""/>
    <s v=""/>
    <s v=""/>
    <s v="1000302100"/>
    <s v="NANCE 6-B 1"/>
    <s v="Upstream"/>
    <s v="1046"/>
    <s v=""/>
    <s v=""/>
    <s v=""/>
    <s v=""/>
    <s v=""/>
    <s v=""/>
    <s v="Hours Worked"/>
    <n v="6"/>
    <s v="hour"/>
    <n v="100"/>
    <s v=""/>
    <n v="600"/>
    <s v="--multiple--"/>
    <s v="704012"/>
    <d v="2025-10-13T09:09:21"/>
    <s v=""/>
    <s v=""/>
    <s v=""/>
    <s v=""/>
  </r>
  <r>
    <s v="192928100"/>
    <s v="Dunagin Transport Company"/>
    <x v="6"/>
    <s v="Cody Palk"/>
    <s v="Mark Ramos"/>
    <s v="NANCE 6 1, RIG UP TO CASING AND TUBING, KILL WELL FOR WELL CONTROL AND MAINTENANCE."/>
    <s v="5051049"/>
    <s v="Upstream"/>
    <s v="157947"/>
    <s v="USD"/>
    <n v="375"/>
    <s v="Direct Entry"/>
    <s v="1"/>
    <s v="Pump Truck"/>
    <s v="Pump Truck"/>
    <s v=""/>
    <d v="2025-10-13T08:50:38"/>
    <d v="2025-09-15T11:00:00"/>
    <d v="2025-09-15T14:00:00"/>
    <d v="1899-12-30T03:00:00"/>
    <s v="NANCE 6 1"/>
    <s v=""/>
    <s v=""/>
    <s v="NONE"/>
    <s v=""/>
    <s v=""/>
    <s v=""/>
    <s v=""/>
    <s v=""/>
    <s v=""/>
    <s v=""/>
    <s v=""/>
    <s v=""/>
    <s v=""/>
    <s v=""/>
    <s v=""/>
    <s v=""/>
    <s v=""/>
    <s v=""/>
    <s v=""/>
    <s v=""/>
    <n v="0"/>
    <s v="bbl"/>
    <s v=""/>
    <s v=""/>
    <s v=""/>
    <s v=""/>
    <s v="1000302000"/>
    <s v="NANCE 6 1"/>
    <s v="Upstream"/>
    <s v="1046"/>
    <s v=""/>
    <s v=""/>
    <s v=""/>
    <s v=""/>
    <s v=""/>
    <s v=""/>
    <s v="Hours Worked"/>
    <n v="3"/>
    <s v="hour"/>
    <n v="125"/>
    <s v=""/>
    <n v="375"/>
    <s v="--multiple--"/>
    <s v="704012"/>
    <d v="2025-10-13T08:52:27"/>
    <s v=""/>
    <s v=""/>
    <s v=""/>
    <s v=""/>
  </r>
  <r>
    <s v="192929100"/>
    <s v="Dunagin Transport Company"/>
    <x v="6"/>
    <s v="Cody Palk"/>
    <s v="Mark Ramos"/>
    <s v="NANCE 6 1 PUMPING UNIT, CATCHING WATER FOR THE PUMP TRUCK."/>
    <s v="5051049"/>
    <s v="Upstream"/>
    <s v="157947"/>
    <s v="USD"/>
    <n v="250"/>
    <s v="Direct Entry"/>
    <s v="1"/>
    <s v="Vacuum Truck"/>
    <s v="Vacuum Truck"/>
    <s v=""/>
    <d v="2025-10-13T08:17:38"/>
    <d v="2025-09-15T12:00:00"/>
    <d v="2025-09-15T14:30:00"/>
    <d v="1899-12-30T02:30:00"/>
    <s v="NANCE 6 1"/>
    <s v=""/>
    <s v=""/>
    <s v="NONE"/>
    <s v=""/>
    <s v=""/>
    <s v=""/>
    <s v=""/>
    <s v=""/>
    <s v=""/>
    <s v=""/>
    <s v=""/>
    <s v=""/>
    <s v=""/>
    <s v=""/>
    <s v=""/>
    <s v=""/>
    <s v=""/>
    <s v=""/>
    <s v=""/>
    <s v=""/>
    <n v="0"/>
    <s v="bbl"/>
    <s v=""/>
    <s v=""/>
    <s v=""/>
    <s v=""/>
    <s v="1000302000"/>
    <s v="NANCE 6 1"/>
    <s v="Upstream"/>
    <s v="1046"/>
    <s v=""/>
    <s v=""/>
    <s v=""/>
    <s v=""/>
    <s v=""/>
    <s v=""/>
    <s v="Hours Worked"/>
    <n v="2.5"/>
    <s v="hour"/>
    <n v="100"/>
    <s v=""/>
    <n v="250"/>
    <s v="--multiple--"/>
    <s v="704012"/>
    <d v="2025-10-13T08:32:19"/>
    <s v=""/>
    <s v=""/>
    <s v=""/>
    <s v=""/>
  </r>
  <r>
    <s v="192951100"/>
    <s v="Dunagin Transport Company"/>
    <x v="6"/>
    <s v="Cody Palk"/>
    <s v="Mark Ramos"/>
    <s v="MYRICK 48 1, RIG UP TO TUBING, PUMP BRINE, KILL WELL FOR WELL CONTROL AND MAINTENANCE."/>
    <s v="5051049"/>
    <s v="Upstream"/>
    <s v="157946"/>
    <s v="USD"/>
    <n v="625"/>
    <s v="Direct Entry"/>
    <s v="1"/>
    <s v="Pump Truck"/>
    <s v="Pump Truck"/>
    <s v=""/>
    <d v="2025-10-13T07:57:45"/>
    <d v="2025-09-15T14:00:00"/>
    <d v="2025-09-15T19:00:00"/>
    <d v="1899-12-30T05:00:00"/>
    <s v="MYRICK 48 1"/>
    <s v=""/>
    <s v=""/>
    <s v="NONE"/>
    <s v=""/>
    <s v=""/>
    <s v=""/>
    <s v=""/>
    <s v=""/>
    <s v=""/>
    <s v=""/>
    <s v=""/>
    <s v=""/>
    <s v=""/>
    <s v=""/>
    <s v=""/>
    <s v=""/>
    <s v=""/>
    <s v=""/>
    <s v=""/>
    <s v=""/>
    <n v="0"/>
    <s v="bbl"/>
    <s v=""/>
    <s v=""/>
    <s v=""/>
    <s v=""/>
    <s v="1000301900"/>
    <s v="MYRICK 48 1"/>
    <s v="Upstream"/>
    <s v="1046"/>
    <s v=""/>
    <s v=""/>
    <s v=""/>
    <s v=""/>
    <s v=""/>
    <s v=""/>
    <s v="Hours Worked"/>
    <n v="5"/>
    <s v="hour"/>
    <n v="125"/>
    <s v=""/>
    <n v="625"/>
    <s v="--multiple--"/>
    <s v="704012"/>
    <d v="2025-10-13T08:04:33"/>
    <s v=""/>
    <s v=""/>
    <s v=""/>
    <s v=""/>
  </r>
  <r>
    <s v="109923"/>
    <s v="ProLift Rigging Company LLC"/>
    <x v="3"/>
    <s v="Cody Palk"/>
    <s v="Mark Ramos"/>
    <s v="Travel to location, safety meeting, remove catwalk and swap ouy 300 BBL tank, return to PLR yard."/>
    <s v="5051049"/>
    <s v="Upstream"/>
    <s v="163292"/>
    <s v="USD"/>
    <n v="3887.5"/>
    <s v="Direct Entry"/>
    <s v="1"/>
    <s v=""/>
    <s v="Rigger Hourly Rate"/>
    <s v="Drilling Services, Exploration, &amp; Wellwork"/>
    <d v="2025-10-08T15:45:20"/>
    <d v="2025-10-07T07:00:00"/>
    <d v="2025-10-07T14:30:00"/>
    <s v=""/>
    <s v="Damselfly"/>
    <s v=""/>
    <s v=""/>
    <s v=""/>
    <s v=""/>
    <s v=""/>
    <s v=""/>
    <s v=""/>
    <s v=""/>
    <s v=""/>
    <s v=""/>
    <s v=""/>
    <s v=""/>
    <s v=""/>
    <s v=""/>
    <s v=""/>
    <s v=""/>
    <s v=""/>
    <s v=""/>
    <s v=""/>
    <s v=""/>
    <s v=""/>
    <s v=""/>
    <s v="Labor"/>
    <s v="Edmonds, Justin"/>
    <s v=""/>
    <s v=""/>
    <s v="8000134400"/>
    <s v="DAMSELFLY H BATTERY"/>
    <s v="Upstream"/>
    <s v="1046"/>
    <s v=""/>
    <s v=""/>
    <s v=""/>
    <s v=""/>
    <s v=""/>
    <s v=""/>
    <s v=""/>
    <n v="7.5"/>
    <s v="HR"/>
    <n v="100"/>
    <s v=""/>
    <n v="750"/>
    <s v=""/>
    <s v="713009"/>
    <d v="2025-10-13T13:22:53"/>
    <s v=""/>
    <s v=""/>
    <s v="Attachment Issue"/>
    <s v=""/>
  </r>
  <r>
    <s v="52615"/>
    <s v="Redhead Services LLC"/>
    <x v="4"/>
    <s v="Cody Palk"/>
    <s v="Mark Ramos"/>
    <s v="Monthly Pm Service"/>
    <s v="5051064"/>
    <s v="Upstream"/>
    <s v="164375"/>
    <s v="USD"/>
    <n v="770"/>
    <s v="B2B"/>
    <s v="1"/>
    <s v="Oil Change"/>
    <s v="Monthly Service PM"/>
    <s v=""/>
    <d v="2025-10-10T09:28:44"/>
    <d v="2025-10-09T00:00:00"/>
    <d v="2025-10-09T00:00:00"/>
    <s v=""/>
    <s v="Temple Drawer H Battery"/>
    <s v=""/>
    <s v=""/>
    <s v=""/>
    <s v=""/>
    <s v=""/>
    <s v=""/>
    <s v=""/>
    <s v=""/>
    <s v=""/>
    <s v=""/>
    <s v=""/>
    <s v=""/>
    <s v=""/>
    <s v=""/>
    <s v=""/>
    <s v=""/>
    <s v=""/>
    <s v=""/>
    <s v=""/>
    <s v=""/>
    <s v=""/>
    <s v=""/>
    <s v="Labor"/>
    <s v=""/>
    <s v=""/>
    <s v=""/>
    <s v="8000311900"/>
    <s v="TEMPLE DRAWER H BATTERY"/>
    <s v="Upstream"/>
    <s v="1046"/>
    <s v=""/>
    <s v=""/>
    <s v=""/>
    <s v=""/>
    <s v=""/>
    <s v=""/>
    <s v="Other"/>
    <n v="1"/>
    <s v="each"/>
    <n v="385"/>
    <s v=""/>
    <n v="385"/>
    <s v="--multiple--"/>
    <s v="709146"/>
    <d v="2025-10-10T09:29:09"/>
    <s v=""/>
    <s v=""/>
    <s v=""/>
    <s v=""/>
  </r>
  <r>
    <s v="PRV-82204"/>
    <s v="Roto-Versal Compression Services LLC"/>
    <x v="0"/>
    <s v="Kyle Jordan"/>
    <s v="P.A. Gonzales"/>
    <s v="Relief Valve Test Repair Field"/>
    <s v="5051052"/>
    <s v="Upstream"/>
    <s v="153560"/>
    <s v="USD"/>
    <n v="770"/>
    <s v="Direct Entry"/>
    <s v="1"/>
    <s v="PRV-4WKL4"/>
    <s v="Cable Seals, Aluminum, Red, 12 in Cable Length"/>
    <s v="Part"/>
    <d v="2025-09-30T08:43:56"/>
    <d v="2025-09-25T09:00:00"/>
    <d v="2025-09-25T12:00:00"/>
    <s v=""/>
    <s v="Ona Wells B-1 Battery"/>
    <s v=""/>
    <s v=""/>
    <s v=""/>
    <s v=""/>
    <s v=""/>
    <s v=""/>
    <s v=""/>
    <s v=""/>
    <s v=""/>
    <s v=""/>
    <s v=""/>
    <s v=""/>
    <s v=""/>
    <s v=""/>
    <s v=""/>
    <s v=""/>
    <s v=""/>
    <s v=""/>
    <s v=""/>
    <s v=""/>
    <s v=""/>
    <s v=""/>
    <s v="Material"/>
    <s v=""/>
    <s v=""/>
    <s v=""/>
    <s v="8300131700"/>
    <s v="ONA WELLS B-1 BATTERY"/>
    <s v="Upstream"/>
    <s v="1046"/>
    <s v=""/>
    <s v=""/>
    <s v=""/>
    <s v=""/>
    <s v=""/>
    <s v=""/>
    <s v=""/>
    <n v="4"/>
    <s v="EA"/>
    <n v="5"/>
    <s v=""/>
    <n v="20"/>
    <s v="--multiple--"/>
    <s v="712955"/>
    <d v="2025-09-30T08:45:32"/>
    <s v=""/>
    <s v=""/>
    <s v=""/>
    <s v=""/>
  </r>
  <r>
    <s v="213983"/>
    <s v="TANKLOGIX LLC"/>
    <x v="7"/>
    <s v="Luis Martinez"/>
    <s v="Dusty Gutierrez"/>
    <s v="Jaguar H Battery, Luis Martinez, Automation"/>
    <s v="5051043"/>
    <s v="Upstream"/>
    <s v=""/>
    <s v="USD"/>
    <n v="1285.5"/>
    <s v="Direct Entry"/>
    <s v="1"/>
    <s v=""/>
    <s v="Vehichle Expenses/Mileage"/>
    <s v=""/>
    <d v="2025-10-13T10:42:22"/>
    <d v="2025-09-23T07:00:00"/>
    <d v="2025-09-23T13:00:00"/>
    <s v=""/>
    <s v="Jaguar H Battery"/>
    <s v=""/>
    <s v=""/>
    <s v=""/>
    <s v=""/>
    <s v=""/>
    <s v=""/>
    <s v=""/>
    <s v=""/>
    <s v=""/>
    <s v=""/>
    <s v=""/>
    <s v=""/>
    <s v=""/>
    <s v=""/>
    <s v=""/>
    <s v=""/>
    <s v=""/>
    <s v=""/>
    <s v=""/>
    <s v=""/>
    <s v=""/>
    <s v=""/>
    <s v="Labor"/>
    <s v=""/>
    <s v=""/>
    <s v=""/>
    <s v="8000040400"/>
    <s v="JAGUAR H BATTERY"/>
    <s v="Upstream"/>
    <s v="1046"/>
    <s v=""/>
    <s v=""/>
    <s v=""/>
    <s v=""/>
    <s v=""/>
    <s v=""/>
    <s v=""/>
    <n v="26"/>
    <s v="HR"/>
    <n v="2"/>
    <s v=""/>
    <n v="52"/>
    <s v="--multiple--"/>
    <s v="709725"/>
    <d v="2025-10-13T10:45:07"/>
    <s v=""/>
    <s v=""/>
    <s v=""/>
    <s v=""/>
  </r>
  <r>
    <s v="1002665"/>
    <s v="B-P Supply Inc"/>
    <x v="5"/>
    <s v="Josh Barrera"/>
    <s v="Mark Ramos"/>
    <s v="PARTS ORDERED BY JOSH BARRERA - DAMSELFLY H BATTERY"/>
    <s v="5051049"/>
    <s v="Upstream"/>
    <s v="167738"/>
    <s v="USD"/>
    <n v="3957.38"/>
    <s v="B2B"/>
    <s v="1"/>
    <s v="0051M-425-FMT-MYRD2"/>
    <s v="425 FMT-D LPHV D2 MOTOR VALVE"/>
    <s v=""/>
    <d v="2025-10-07T15:14:41"/>
    <d v="2025-09-29T00:00:00"/>
    <d v="2025-09-29T00:00:00"/>
    <s v=""/>
    <s v=""/>
    <s v=""/>
    <s v=""/>
    <s v=""/>
    <s v=""/>
    <s v=""/>
    <s v=""/>
    <s v=""/>
    <s v=""/>
    <s v=""/>
    <s v=""/>
    <s v=""/>
    <s v=""/>
    <s v=""/>
    <s v=""/>
    <s v=""/>
    <s v=""/>
    <s v=""/>
    <s v=""/>
    <s v=""/>
    <s v=""/>
    <s v=""/>
    <s v=""/>
    <s v="Material"/>
    <s v=""/>
    <s v=""/>
    <s v=""/>
    <s v="8000134400"/>
    <s v="DAMSELFLY H BATTERY"/>
    <s v="Upstream"/>
    <s v="1046"/>
    <s v=""/>
    <s v=""/>
    <s v=""/>
    <s v=""/>
    <s v=""/>
    <s v=""/>
    <s v=""/>
    <n v="1"/>
    <s v="EA"/>
    <n v="3901.83"/>
    <s v=""/>
    <n v="3901.83"/>
    <s v="--multiple--"/>
    <s v="705219"/>
    <d v="2025-10-13T14:16:58"/>
    <s v=""/>
    <s v=""/>
    <s v=""/>
    <s v=""/>
  </r>
  <r>
    <s v="213986"/>
    <s v="TANKLOGIX LLC"/>
    <x v="7"/>
    <s v="Luis Martinez"/>
    <s v="Dusty Gutierrez"/>
    <s v="Mabee Breedlove North H, Luis Martinesz, Automation"/>
    <s v="5051043"/>
    <s v="Upstream"/>
    <s v=""/>
    <s v="USD"/>
    <n v="201"/>
    <s v="Direct Entry"/>
    <s v="1"/>
    <s v=""/>
    <s v="Vehichle Expenses/Mileage"/>
    <s v=""/>
    <d v="2025-10-13T13:17:44"/>
    <d v="2025-09-24T12:00:00"/>
    <d v="2025-09-24T13:00:00"/>
    <s v=""/>
    <s v="Mabee Breedlove North H"/>
    <s v=""/>
    <s v=""/>
    <s v=""/>
    <s v=""/>
    <s v=""/>
    <s v=""/>
    <s v=""/>
    <s v=""/>
    <s v=""/>
    <s v=""/>
    <s v=""/>
    <s v=""/>
    <s v=""/>
    <s v=""/>
    <s v=""/>
    <s v=""/>
    <s v=""/>
    <s v=""/>
    <s v=""/>
    <s v=""/>
    <s v=""/>
    <s v=""/>
    <s v="Labor"/>
    <s v=""/>
    <s v=""/>
    <s v=""/>
    <s v="8000040500"/>
    <s v="MABEE BREEDLOVE NORTH BATTERY"/>
    <s v="Upstream"/>
    <s v="1046"/>
    <s v=""/>
    <s v=""/>
    <s v=""/>
    <s v=""/>
    <s v=""/>
    <s v=""/>
    <s v=""/>
    <n v="31"/>
    <s v="HR"/>
    <n v="2"/>
    <s v=""/>
    <n v="62"/>
    <s v="--multiple--"/>
    <s v="709725"/>
    <d v="2025-10-13T13:20:21"/>
    <s v=""/>
    <s v=""/>
    <s v=""/>
    <s v=""/>
  </r>
  <r>
    <s v="R-5358"/>
    <s v="ACH Services, LLC"/>
    <x v="10"/>
    <s v="Kyle Jordan"/>
    <s v="Christopher Cain"/>
    <s v="Drove to location to do weed control."/>
    <s v="5051054"/>
    <s v="Upstream"/>
    <s v="169208"/>
    <s v="USD"/>
    <n v="1749.4"/>
    <s v="Direct Entry"/>
    <s v="1"/>
    <s v="Roustabout - 3-Man"/>
    <s v="Roustabout - 3-Man"/>
    <s v=""/>
    <d v="2025-10-07T07:15:33"/>
    <d v="2025-10-03T06:00:00"/>
    <d v="2025-10-03T18:00:00"/>
    <s v=""/>
    <s v="GLENN RILEY H BATTERY"/>
    <s v=""/>
    <s v=""/>
    <s v=""/>
    <s v=""/>
    <s v=""/>
    <s v=""/>
    <s v=""/>
    <s v=""/>
    <s v=""/>
    <s v=""/>
    <s v=""/>
    <s v=""/>
    <s v=""/>
    <s v=""/>
    <s v=""/>
    <s v=""/>
    <s v=""/>
    <s v=""/>
    <s v=""/>
    <s v=""/>
    <s v=""/>
    <s v=""/>
    <s v="Labor"/>
    <s v=""/>
    <s v=""/>
    <s v=""/>
    <s v="8000134500"/>
    <s v="GLENN RILEY H BATTERY"/>
    <s v="Upstream"/>
    <s v="1046"/>
    <s v=""/>
    <s v=""/>
    <s v=""/>
    <s v=""/>
    <s v=""/>
    <s v=""/>
    <s v=""/>
    <n v="12"/>
    <s v="HR"/>
    <n v="135"/>
    <s v=""/>
    <n v="1620"/>
    <s v="Pricebook"/>
    <s v="712932"/>
    <d v="2025-10-07T07:20:07"/>
    <s v=""/>
    <s v=""/>
    <s v=""/>
    <s v=""/>
  </r>
  <r>
    <s v="21741"/>
    <s v="Belloc Energy Services &amp; Transport,LLC"/>
    <x v="9"/>
    <s v="Luis Figueroa"/>
    <s v="Jamie Willingham"/>
    <s v="TRASH TRAILER CLEANING FEE _x000a_JUNE SANDER SWD"/>
    <s v="5051037"/>
    <s v="Upstream"/>
    <s v=""/>
    <s v="USD"/>
    <n v="1550"/>
    <s v="Direct Entry"/>
    <s v="1"/>
    <s v="Combo Trailer (Trash/Port- a-John)"/>
    <s v="Combo Trailer (Trash/Port- a-John)"/>
    <s v=""/>
    <d v="2025-10-01T10:30:34"/>
    <d v="2025-09-01T00:00:00"/>
    <d v="2025-09-28T00:00:00"/>
    <s v=""/>
    <s v="JUNE SANDERS SWD"/>
    <s v=""/>
    <s v=""/>
    <s v=""/>
    <s v=""/>
    <s v=""/>
    <s v=""/>
    <s v=""/>
    <s v=""/>
    <s v=""/>
    <s v=""/>
    <s v=""/>
    <s v=""/>
    <s v=""/>
    <s v=""/>
    <s v=""/>
    <s v=""/>
    <s v=""/>
    <s v=""/>
    <s v=""/>
    <s v=""/>
    <s v=""/>
    <s v=""/>
    <s v="Equipment"/>
    <s v=""/>
    <s v=""/>
    <s v=""/>
    <s v="8300115400"/>
    <s v="JUNE SANDERS A - SWD BATTERY"/>
    <s v="Upstream"/>
    <s v="1046"/>
    <s v=""/>
    <s v=""/>
    <s v=""/>
    <s v=""/>
    <s v=""/>
    <s v=""/>
    <s v=""/>
    <n v="28"/>
    <s v="Day"/>
    <n v="50"/>
    <s v=""/>
    <n v="1400"/>
    <s v="Pricebook"/>
    <s v="712945"/>
    <d v="2025-10-02T11:30:27"/>
    <s v=""/>
    <s v=""/>
    <s v=""/>
    <s v=""/>
  </r>
  <r>
    <s v="18337"/>
    <s v="Belloc Energy Services &amp; Transport,LLC"/>
    <x v="9"/>
    <s v="Luis Figueroa"/>
    <s v="Jamie Willingham"/>
    <s v="PULLED 70 BBLS OF PW FROM LOCATION AND HAULED TO SWD"/>
    <s v="5051054"/>
    <s v="Upstream"/>
    <s v=""/>
    <s v="USD"/>
    <n v="232.5"/>
    <s v="Direct Entry"/>
    <s v="1"/>
    <s v="Vacuum Truck"/>
    <s v="Vacuum Truck"/>
    <s v=""/>
    <d v="2025-09-26T09:59:11"/>
    <d v="2025-09-19T17:15:00"/>
    <d v="2025-09-19T19:45:00"/>
    <d v="1899-12-30T02:30:00"/>
    <s v="LYNCH 17 1 BATTERY"/>
    <s v="04134"/>
    <s v="ENVIRONMENTAL DISPOSAL SYSYTEMS"/>
    <s v="PRODUCED WATER"/>
    <s v=""/>
    <s v=""/>
    <s v=""/>
    <s v=""/>
    <s v=""/>
    <s v=""/>
    <s v=""/>
    <s v=""/>
    <s v=""/>
    <s v=""/>
    <s v=""/>
    <s v=""/>
    <s v=""/>
    <s v=""/>
    <s v=""/>
    <s v=""/>
    <s v=""/>
    <n v="70"/>
    <s v="bbl"/>
    <s v=""/>
    <s v=""/>
    <s v=""/>
    <s v=""/>
    <s v="8300120800"/>
    <s v="LYNCH 17 1 BATTERY"/>
    <s v="Upstream"/>
    <s v="1046"/>
    <s v=""/>
    <s v=""/>
    <s v=""/>
    <s v=""/>
    <s v=""/>
    <s v=""/>
    <s v="Hours Worked"/>
    <n v="2.5"/>
    <s v="hour"/>
    <n v="93"/>
    <s v=""/>
    <n v="232.5"/>
    <s v="Pricebook"/>
    <s v="712945"/>
    <d v="2025-10-02T16:07:34"/>
    <s v=""/>
    <s v=""/>
    <s v=""/>
    <s v=""/>
  </r>
  <r>
    <s v="3520848"/>
    <s v="Buchanan Disposal Solutions"/>
    <x v="5"/>
    <s v="Nathaniel Cody"/>
    <s v="Mark Ramos"/>
    <s v="Tank bottoms disposal_x000a_Internal truck wash"/>
    <s v="5051013"/>
    <s v="Upstream"/>
    <s v=""/>
    <s v="USD"/>
    <n v="375"/>
    <s v="Direct Entry"/>
    <s v="1"/>
    <s v="Sludge (Drying Pad)"/>
    <s v="Sludge (Drying Pad)"/>
    <s v=""/>
    <d v="2025-10-02T07:42:52"/>
    <d v="2025-09-22T04:56:00"/>
    <d v="2025-09-22T04:56:00"/>
    <d v="1899-12-30T00:00:00"/>
    <s v="TEMPLE DRAWER H BATTERY"/>
    <s v=""/>
    <s v=""/>
    <s v="Tank bottoms"/>
    <s v=""/>
    <s v=""/>
    <s v=""/>
    <s v=""/>
    <s v=""/>
    <s v=""/>
    <s v=""/>
    <s v=""/>
    <s v=""/>
    <s v=""/>
    <s v=""/>
    <s v=""/>
    <s v=""/>
    <s v=""/>
    <s v=""/>
    <s v=""/>
    <s v=""/>
    <n v="20"/>
    <s v="bbl"/>
    <s v=""/>
    <s v=""/>
    <s v=""/>
    <s v=""/>
    <s v="8000311900"/>
    <s v="TEMPLE DRAWER H BATTERY"/>
    <s v="Upstream"/>
    <s v="1046"/>
    <s v=""/>
    <s v=""/>
    <s v=""/>
    <s v=""/>
    <s v=""/>
    <s v=""/>
    <s v="Volume"/>
    <n v="20"/>
    <s v="BBL"/>
    <n v="8.25"/>
    <s v=""/>
    <n v="165"/>
    <s v="Pricebook"/>
    <s v="710778"/>
    <d v="2025-10-02T07:44:59"/>
    <s v=""/>
    <s v=""/>
    <s v=""/>
    <s v=""/>
  </r>
  <r>
    <s v="118704"/>
    <s v="Premier Energy Services, LLC"/>
    <x v="4"/>
    <s v="Robert Flores"/>
    <s v="Mark Ramos"/>
    <s v="WE DROVE TO THE LOCATION TO CHECK WHAT PARTS WERE NEEDED TO DO THE JOB FROM THERE WE WENT TO THE STORE TO GET THE PARTS WHEN WE RETURNED WE WAITED A BIT AND WERE TOLD TO COME BACK TOMORROW"/>
    <s v="5051049"/>
    <s v="Upstream"/>
    <s v="170014"/>
    <s v="USD"/>
    <n v="625"/>
    <s v="Direct Entry"/>
    <s v="1"/>
    <s v="Pusher and 2 Hands"/>
    <s v="3 MAN CREW DIAMONDBACK"/>
    <s v=""/>
    <d v="2025-10-10T11:54:50"/>
    <d v="2025-10-09T07:00:00"/>
    <d v="2025-10-09T12:00:00"/>
    <s v=""/>
    <s v="TEMPLE DRAWER H BATTERY"/>
    <s v=""/>
    <s v=""/>
    <s v=""/>
    <s v=""/>
    <s v=""/>
    <s v=""/>
    <s v=""/>
    <s v=""/>
    <s v=""/>
    <s v=""/>
    <s v=""/>
    <s v=""/>
    <s v=""/>
    <s v=""/>
    <s v=""/>
    <s v=""/>
    <s v=""/>
    <s v=""/>
    <s v=""/>
    <s v=""/>
    <s v=""/>
    <s v=""/>
    <s v="Labor"/>
    <s v="ROJAS, IVAN"/>
    <s v="118704"/>
    <s v=""/>
    <s v="8000311900"/>
    <s v="TEMPLE DRAWER H BATTERY"/>
    <s v="Upstream"/>
    <s v="1046"/>
    <s v=""/>
    <s v=""/>
    <s v=""/>
    <s v=""/>
    <s v=""/>
    <s v=""/>
    <s v=""/>
    <n v="5"/>
    <s v="HR"/>
    <n v="125"/>
    <s v=""/>
    <n v="625"/>
    <s v="--multiple--"/>
    <s v="702081"/>
    <d v="2025-10-10T11:57:54"/>
    <s v=""/>
    <s v=""/>
    <s v=""/>
    <s v=""/>
  </r>
  <r>
    <s v="24013"/>
    <s v="Belloc Energy Services &amp; Transport,LLC"/>
    <x v="2"/>
    <s v="Luis Figueroa"/>
    <s v="Jamie Willingham"/>
    <s v="PULLED 120 BBLS OF PW FROM LOCATION"/>
    <s v="5051054"/>
    <s v="Upstream"/>
    <s v=""/>
    <s v="USD"/>
    <n v="232.5"/>
    <s v="Direct Entry"/>
    <s v="1"/>
    <s v="Vacuum Truck"/>
    <s v="Vacuum Truck"/>
    <s v=""/>
    <d v="2025-09-29T15:21:59"/>
    <d v="2025-09-23T20:30:00"/>
    <d v="2025-09-23T23:00:00"/>
    <d v="1899-12-30T02:30:00"/>
    <s v="PECK A"/>
    <s v=""/>
    <s v=""/>
    <s v="PRODUCED WATER"/>
    <s v=""/>
    <s v=""/>
    <s v=""/>
    <s v=""/>
    <s v=""/>
    <s v=""/>
    <s v=""/>
    <s v=""/>
    <s v=""/>
    <s v=""/>
    <s v=""/>
    <s v=""/>
    <s v=""/>
    <s v=""/>
    <s v=""/>
    <s v=""/>
    <s v=""/>
    <n v="120"/>
    <s v="bbl"/>
    <s v=""/>
    <s v=""/>
    <s v=""/>
    <s v=""/>
    <s v="8300135500"/>
    <s v="PECK A BATTERY"/>
    <s v="Upstream"/>
    <s v="1046"/>
    <s v=""/>
    <s v=""/>
    <s v=""/>
    <s v=""/>
    <s v=""/>
    <s v=""/>
    <s v="Hours Worked"/>
    <n v="2.5"/>
    <s v="hour"/>
    <n v="93"/>
    <s v=""/>
    <n v="232.5"/>
    <s v="Pricebook"/>
    <s v="712945"/>
    <d v="2025-10-13T09:12:35"/>
    <s v=""/>
    <s v=""/>
    <s v="Coding/Location Issue"/>
    <s v=""/>
  </r>
  <r>
    <s v="1001197"/>
    <s v="B-P Supply Inc"/>
    <x v="5"/>
    <s v="Ryan Ray"/>
    <s v="Mark Ramos"/>
    <s v="PARTS ORDERED BY ryan ray - TEMPLE DRAWER H BATTERY"/>
    <s v="5051049"/>
    <s v="Upstream"/>
    <s v=""/>
    <s v="USD"/>
    <n v="1933.26"/>
    <s v="B2B"/>
    <s v="1"/>
    <s v="SPECIALORDER"/>
    <s v="B/S SIL/NITRIDE/CARB 2-3/4"/>
    <s v=""/>
    <d v="2025-10-07T15:14:16"/>
    <d v="2025-09-16T00:00:00"/>
    <d v="2025-09-16T00:00:00"/>
    <s v=""/>
    <s v=""/>
    <s v=""/>
    <s v=""/>
    <s v=""/>
    <s v=""/>
    <s v=""/>
    <s v=""/>
    <s v=""/>
    <s v=""/>
    <s v=""/>
    <s v=""/>
    <s v=""/>
    <s v=""/>
    <s v=""/>
    <s v=""/>
    <s v=""/>
    <s v=""/>
    <s v=""/>
    <s v=""/>
    <s v=""/>
    <s v=""/>
    <s v=""/>
    <s v=""/>
    <s v="Material"/>
    <s v=""/>
    <s v=""/>
    <s v=""/>
    <s v="8000311900"/>
    <s v="TEMPLE DRAWER H BATTERY"/>
    <s v="Upstream"/>
    <s v="1046"/>
    <s v=""/>
    <s v=""/>
    <s v=""/>
    <s v=""/>
    <s v=""/>
    <s v=""/>
    <s v=""/>
    <n v="6"/>
    <s v="EA"/>
    <n v="322.20999999999998"/>
    <s v=""/>
    <n v="1933.26"/>
    <s v="--multiple--"/>
    <s v="705219"/>
    <d v="2025-10-07T15:37:18"/>
    <s v=""/>
    <s v=""/>
    <s v=""/>
    <s v=""/>
  </r>
  <r>
    <s v="35799"/>
    <s v="Raider Pump &amp; Supply Inc"/>
    <x v="5"/>
    <s v="Ryan Ray"/>
    <s v="Mark Ramos"/>
    <s v="GAUGE COCK, TEFLON TAPE, SS COMP STRAIGHT"/>
    <s v="5051049"/>
    <s v="Upstream"/>
    <s v=""/>
    <s v="USD"/>
    <n v="257.58999999999997"/>
    <s v="Direct Entry"/>
    <s v="1"/>
    <s v="GSVK-625-050"/>
    <s v="5/8 X 1/2&quot; KENCO GAUGE COCK"/>
    <s v=""/>
    <d v="2025-10-10T10:54:40"/>
    <d v="2025-09-22T00:00:00"/>
    <d v="2025-09-22T00:00:00"/>
    <s v=""/>
    <s v=""/>
    <s v=""/>
    <s v=""/>
    <s v=""/>
    <s v=""/>
    <s v=""/>
    <s v=""/>
    <s v=""/>
    <s v=""/>
    <s v=""/>
    <s v=""/>
    <s v=""/>
    <s v=""/>
    <s v=""/>
    <s v=""/>
    <s v=""/>
    <s v=""/>
    <s v=""/>
    <s v=""/>
    <s v=""/>
    <s v=""/>
    <s v=""/>
    <s v=""/>
    <s v="Material"/>
    <s v=""/>
    <s v=""/>
    <s v=""/>
    <s v="1000286500"/>
    <s v="BESSIE 44-41 (ALLOC-2NH) 1LL"/>
    <s v="Upstream"/>
    <s v="1046"/>
    <s v=""/>
    <s v=""/>
    <s v=""/>
    <s v=""/>
    <s v=""/>
    <s v=""/>
    <s v=""/>
    <n v="1"/>
    <s v="EA"/>
    <n v="211.68"/>
    <s v=""/>
    <n v="211.68"/>
    <s v="E-Maintenance"/>
    <s v="703264"/>
    <d v="2025-10-13T07:17:04"/>
    <s v=""/>
    <s v=""/>
    <s v=""/>
    <s v=""/>
  </r>
  <r>
    <s v="35800"/>
    <s v="Raider Pump &amp; Supply Inc"/>
    <x v="5"/>
    <s v="Ryan Ray"/>
    <s v="Mark Ramos"/>
    <s v="DI VALVE SEAT-VITON, SS FF GAUGE, TOWELS"/>
    <s v="5051049"/>
    <s v="Upstream"/>
    <s v=""/>
    <s v="USD"/>
    <n v="385.44"/>
    <s v="Direct Entry"/>
    <s v="1"/>
    <s v="CV2-SEAT"/>
    <s v="2&quot; DI VALVE SEAT- VITON"/>
    <s v=""/>
    <d v="2025-10-13T07:17:59"/>
    <d v="2025-09-22T00:00:00"/>
    <d v="2025-09-22T00:00:00"/>
    <s v=""/>
    <s v=""/>
    <s v=""/>
    <s v=""/>
    <s v=""/>
    <s v=""/>
    <s v=""/>
    <s v=""/>
    <s v=""/>
    <s v=""/>
    <s v=""/>
    <s v=""/>
    <s v=""/>
    <s v=""/>
    <s v=""/>
    <s v=""/>
    <s v=""/>
    <s v=""/>
    <s v=""/>
    <s v=""/>
    <s v=""/>
    <s v=""/>
    <s v=""/>
    <s v=""/>
    <s v="Material"/>
    <s v=""/>
    <s v=""/>
    <s v=""/>
    <s v="8300089200"/>
    <s v="COACHWHIP 17-20 BATTERY"/>
    <s v="Upstream"/>
    <s v="1046"/>
    <s v=""/>
    <s v=""/>
    <s v=""/>
    <s v=""/>
    <s v=""/>
    <s v=""/>
    <s v=""/>
    <n v="5"/>
    <s v="EA"/>
    <n v="21"/>
    <s v=""/>
    <n v="105"/>
    <s v="E-Maintenance"/>
    <s v="703264"/>
    <d v="2025-10-13T07:19:53"/>
    <s v=""/>
    <s v=""/>
    <s v=""/>
    <s v=""/>
  </r>
  <r>
    <s v="35816"/>
    <s v="Raider Pump &amp; Supply Inc"/>
    <x v="5"/>
    <s v="Ryan Ray"/>
    <s v="Mark Ramos"/>
    <s v="KENCO GAUGE COCK, TEFLON TAPE, SS COMP STRAIGHT"/>
    <s v="5051049"/>
    <s v="Upstream"/>
    <s v=""/>
    <s v="USD"/>
    <n v="257.58999999999997"/>
    <s v="Direct Entry"/>
    <s v="1"/>
    <s v="GSVK-625-050"/>
    <s v="5/8 X 1/2&quot; KENCO GAUGE COCK"/>
    <s v=""/>
    <d v="2025-10-13T07:25:27"/>
    <d v="2025-09-22T00:00:00"/>
    <d v="2025-09-22T00:00:00"/>
    <s v=""/>
    <s v=""/>
    <s v=""/>
    <s v=""/>
    <s v=""/>
    <s v=""/>
    <s v=""/>
    <s v=""/>
    <s v=""/>
    <s v=""/>
    <s v=""/>
    <s v=""/>
    <s v=""/>
    <s v=""/>
    <s v=""/>
    <s v=""/>
    <s v=""/>
    <s v=""/>
    <s v=""/>
    <s v=""/>
    <s v=""/>
    <s v=""/>
    <s v=""/>
    <s v=""/>
    <s v="Material"/>
    <s v=""/>
    <s v=""/>
    <s v=""/>
    <s v="1000286500"/>
    <s v="BESSIE 44-41 (ALLOC-2NH) 1LL"/>
    <s v="Upstream"/>
    <s v="1046"/>
    <s v=""/>
    <s v=""/>
    <s v=""/>
    <s v=""/>
    <s v=""/>
    <s v=""/>
    <s v=""/>
    <n v="1"/>
    <s v="EA"/>
    <n v="211.68"/>
    <s v=""/>
    <n v="211.68"/>
    <s v="E-Maintenance"/>
    <s v="703264"/>
    <d v="2025-10-13T07:27:24"/>
    <s v=""/>
    <s v=""/>
    <s v=""/>
    <s v=""/>
  </r>
  <r>
    <s v="1002497"/>
    <s v="B-P Supply Inc"/>
    <x v="5"/>
    <s v="Ryan Ray"/>
    <s v="Mark Ramos"/>
    <s v="PARTS ORDERED BY MARK RAMOS - FRM RTE-RAMOS MARK 9100019900"/>
    <s v="5051028"/>
    <s v="Upstream"/>
    <s v=""/>
    <s v="USD"/>
    <n v="997.5"/>
    <s v="B2B"/>
    <s v="1"/>
    <s v="SPECIALORDER"/>
    <s v="MILWAUKEE M18V  PESTICIDE SPRAYER"/>
    <s v=""/>
    <d v="2025-09-29T14:54:48"/>
    <d v="2025-09-26T00:00:00"/>
    <d v="2025-09-26T00:00:00"/>
    <s v=""/>
    <s v=""/>
    <s v=""/>
    <s v=""/>
    <s v=""/>
    <s v=""/>
    <s v=""/>
    <s v=""/>
    <s v=""/>
    <s v=""/>
    <s v=""/>
    <s v=""/>
    <s v=""/>
    <s v=""/>
    <s v=""/>
    <s v=""/>
    <s v=""/>
    <s v=""/>
    <s v=""/>
    <s v=""/>
    <s v=""/>
    <s v=""/>
    <s v=""/>
    <s v=""/>
    <s v="Material"/>
    <s v=""/>
    <s v=""/>
    <s v=""/>
    <s v="9100019900"/>
    <s v="FRM RTE-RAMOS MARK"/>
    <s v="Upstream"/>
    <s v="1046"/>
    <s v=""/>
    <s v=""/>
    <s v=""/>
    <s v=""/>
    <s v=""/>
    <s v=""/>
    <s v=""/>
    <n v="2"/>
    <s v="EA"/>
    <n v="498.75"/>
    <s v=""/>
    <n v="997.5"/>
    <s v="--multiple--"/>
    <s v="705219"/>
    <d v="2025-10-10T13:49:55"/>
    <s v=""/>
    <s v=""/>
    <s v=""/>
    <s v=""/>
  </r>
  <r>
    <s v="36083"/>
    <s v="Raider Pump &amp; Supply Inc"/>
    <x v="5"/>
    <s v="Ryan Ray"/>
    <s v="Mark Ramos"/>
    <s v="REGULATOR BACK PRESSURE CAGE, SEAT RETAINER, SPRING KEEPER"/>
    <s v="5051049"/>
    <s v="Upstream"/>
    <s v=""/>
    <s v="USD"/>
    <n v="1644.84"/>
    <s v="Direct Entry"/>
    <s v="1"/>
    <s v="RBPC-300"/>
    <s v="REGULATOR BACK PRESSURE CAGE 3&quot;"/>
    <s v=""/>
    <d v="2025-10-13T08:40:38"/>
    <d v="2025-09-30T00:00:00"/>
    <d v="2025-09-30T00:00:00"/>
    <s v=""/>
    <s v=""/>
    <s v=""/>
    <s v=""/>
    <s v=""/>
    <s v=""/>
    <s v=""/>
    <s v=""/>
    <s v=""/>
    <s v=""/>
    <s v=""/>
    <s v=""/>
    <s v=""/>
    <s v=""/>
    <s v=""/>
    <s v=""/>
    <s v=""/>
    <s v=""/>
    <s v=""/>
    <s v=""/>
    <s v=""/>
    <s v=""/>
    <s v=""/>
    <s v=""/>
    <s v="Material"/>
    <s v=""/>
    <s v=""/>
    <s v=""/>
    <s v="8000311900"/>
    <s v="TEMPLE DRAWER H BATTERY"/>
    <s v="Upstream"/>
    <s v="1046"/>
    <s v=""/>
    <s v=""/>
    <s v=""/>
    <s v=""/>
    <s v=""/>
    <s v=""/>
    <s v=""/>
    <n v="2"/>
    <s v="EA"/>
    <n v="225.82"/>
    <s v=""/>
    <n v="451.64"/>
    <s v="E-Maintenance"/>
    <s v="703264"/>
    <d v="2025-10-13T08:46:22"/>
    <s v=""/>
    <s v=""/>
    <s v=""/>
    <s v=""/>
  </r>
  <r>
    <s v="213987"/>
    <s v="TANKLOGIX LLC"/>
    <x v="7"/>
    <s v="Luis Martinez"/>
    <s v="Dusty Gutierrez"/>
    <s v="Mabee Breedlove H Battery, Luis Martinez, Automation"/>
    <s v="5051043"/>
    <s v="Upstream"/>
    <s v=""/>
    <s v="USD"/>
    <n v="131.5"/>
    <s v="Direct Entry"/>
    <s v="1"/>
    <s v=""/>
    <s v="Vehichle Expenses/Mileage"/>
    <s v=""/>
    <d v="2025-10-13T13:29:10"/>
    <d v="2025-09-24T13:00:00"/>
    <d v="2025-09-24T13:30:00"/>
    <s v=""/>
    <s v="Mabee Breedlove H Battery"/>
    <s v=""/>
    <s v=""/>
    <s v=""/>
    <s v=""/>
    <s v=""/>
    <s v=""/>
    <s v=""/>
    <s v=""/>
    <s v=""/>
    <s v=""/>
    <s v=""/>
    <s v=""/>
    <s v=""/>
    <s v=""/>
    <s v=""/>
    <s v=""/>
    <s v=""/>
    <s v=""/>
    <s v=""/>
    <s v=""/>
    <s v=""/>
    <s v=""/>
    <s v="Labor"/>
    <s v=""/>
    <s v=""/>
    <s v=""/>
    <s v="8000040100"/>
    <s v="MABEE BREEDLOVE H BATTERY"/>
    <s v="Upstream"/>
    <s v="1046"/>
    <s v=""/>
    <s v=""/>
    <s v=""/>
    <s v=""/>
    <s v=""/>
    <s v=""/>
    <s v=""/>
    <n v="31"/>
    <s v="HR"/>
    <n v="2"/>
    <s v=""/>
    <n v="62"/>
    <s v="--multiple--"/>
    <s v="709725"/>
    <d v="2025-10-13T13:30:54"/>
    <s v=""/>
    <s v=""/>
    <s v=""/>
    <s v=""/>
  </r>
  <r>
    <s v="213996"/>
    <s v="TANKLOGIX LLC"/>
    <x v="7"/>
    <s v="Luis Martinez"/>
    <s v="Dusty Gutierrez"/>
    <s v="Mabee Y UL Battery, Luis Martinez, Automation"/>
    <s v="5051043"/>
    <s v="Upstream"/>
    <s v=""/>
    <s v="USD"/>
    <n v="497"/>
    <s v="Direct Entry"/>
    <s v="1"/>
    <s v=""/>
    <s v="Vehichle Expenses/Mileage"/>
    <s v=""/>
    <d v="2025-10-13T13:01:37"/>
    <d v="2025-09-26T14:00:00"/>
    <d v="2025-09-26T17:00:00"/>
    <s v=""/>
    <s v="Mabee Y UL Battery"/>
    <s v=""/>
    <s v=""/>
    <s v=""/>
    <s v=""/>
    <s v=""/>
    <s v=""/>
    <s v=""/>
    <s v=""/>
    <s v=""/>
    <s v=""/>
    <s v=""/>
    <s v=""/>
    <s v=""/>
    <s v=""/>
    <s v=""/>
    <s v=""/>
    <s v=""/>
    <s v=""/>
    <s v=""/>
    <s v=""/>
    <s v=""/>
    <s v=""/>
    <s v="Labor"/>
    <s v=""/>
    <s v=""/>
    <s v=""/>
    <s v="8000131400"/>
    <s v="MABEE Y UL CTB"/>
    <s v="Upstream"/>
    <s v="1046"/>
    <s v=""/>
    <s v=""/>
    <s v=""/>
    <s v=""/>
    <s v=""/>
    <s v=""/>
    <s v=""/>
    <n v="40"/>
    <s v="HR"/>
    <n v="2"/>
    <s v=""/>
    <n v="80"/>
    <s v="--multiple--"/>
    <s v="709725"/>
    <d v="2025-10-13T13:03:36"/>
    <s v=""/>
    <s v=""/>
    <s v=""/>
    <s v=""/>
  </r>
  <r>
    <s v="212325"/>
    <s v="Basin Trucking LLC"/>
    <x v="9"/>
    <s v="Luis Ortega"/>
    <s v="Fabian Lujan"/>
    <s v="Drove to location and changed thief hatch on water tank."/>
    <s v="5051006"/>
    <s v="Upstream"/>
    <s v="166976"/>
    <s v="USD"/>
    <n v="617.5"/>
    <s v="Direct Entry"/>
    <s v="1"/>
    <s v="3 Man Crew"/>
    <s v="3 Man Crew"/>
    <s v="Roustabout Crew"/>
    <d v="2025-10-07T15:33:54"/>
    <d v="2025-09-26T08:45:00"/>
    <d v="2025-09-26T13:30:00"/>
    <s v=""/>
    <s v="Koonce NA 39-31/Koonce SA46 -3"/>
    <s v=""/>
    <s v=""/>
    <s v=""/>
    <s v=""/>
    <s v=""/>
    <s v=""/>
    <s v=""/>
    <s v=""/>
    <s v=""/>
    <s v=""/>
    <s v=""/>
    <s v=""/>
    <s v=""/>
    <s v=""/>
    <s v=""/>
    <s v=""/>
    <s v=""/>
    <s v=""/>
    <s v=""/>
    <s v=""/>
    <s v=""/>
    <s v=""/>
    <s v="Labor"/>
    <s v=""/>
    <s v=""/>
    <s v=""/>
    <s v="8300187500"/>
    <s v="KOONCE N A39-34/KOONCE S A46-3 BATTERY"/>
    <s v="Upstream"/>
    <s v="1046"/>
    <s v=""/>
    <s v=""/>
    <s v=""/>
    <s v=""/>
    <s v=""/>
    <s v=""/>
    <s v=""/>
    <n v="4.75"/>
    <s v="HR"/>
    <n v="130"/>
    <s v=""/>
    <n v="617.5"/>
    <s v="--multiple--"/>
    <s v="703517"/>
    <d v="2025-10-07T16:04:58"/>
    <s v=""/>
    <s v=""/>
    <s v=""/>
    <s v=""/>
  </r>
  <r>
    <s v="100108"/>
    <s v="BLS Electrical, Inc."/>
    <x v="9"/>
    <s v="Mauro Barraza"/>
    <s v="Jesse Melendez"/>
    <s v="Ordered and picked up equipment, wire and material from electrical supplier haul to location took down burnt meter base, safety switch and riser wire installed 1- new 200 amp, 7- terminal meter base, 4- wire service, 100- amp safety switch and 2/0 thhn riser wire grounded equipment left for Oncor to run jumpers and energize let electrician know after Oncor energized to check rotation on well"/>
    <s v="5051044"/>
    <s v="Upstream"/>
    <s v=""/>
    <s v="USD"/>
    <n v="3350.3"/>
    <s v="Direct Entry"/>
    <s v="1"/>
    <s v="Line Foreman"/>
    <s v="Line Foreman"/>
    <s v="Labor"/>
    <d v="2025-10-03T05:22:20"/>
    <d v="2025-09-17T10:00:00"/>
    <d v="2025-09-17T14:00:00"/>
    <s v=""/>
    <s v="COLE RANCH 35-4403"/>
    <s v=""/>
    <s v=""/>
    <s v=""/>
    <s v=""/>
    <s v=""/>
    <s v=""/>
    <s v=""/>
    <s v=""/>
    <s v=""/>
    <s v=""/>
    <s v=""/>
    <s v=""/>
    <s v=""/>
    <s v=""/>
    <s v=""/>
    <s v=""/>
    <s v=""/>
    <s v=""/>
    <s v=""/>
    <s v=""/>
    <s v=""/>
    <s v=""/>
    <s v="Labor"/>
    <s v=""/>
    <s v=""/>
    <s v=""/>
    <s v="1000053900"/>
    <s v="COLE RANCH 35 4403"/>
    <s v="Upstream"/>
    <s v="1046"/>
    <s v=""/>
    <s v=""/>
    <s v=""/>
    <s v=""/>
    <s v=""/>
    <s v=""/>
    <s v=""/>
    <n v="4"/>
    <s v="per hour"/>
    <n v="72"/>
    <s v=""/>
    <n v="288"/>
    <s v="--multiple--"/>
    <s v="710565"/>
    <d v="2025-10-03T05:32:57"/>
    <s v=""/>
    <s v=""/>
    <s v=""/>
    <s v=""/>
  </r>
  <r>
    <s v="25093406"/>
    <s v="Lone Star Instrumentation &amp; Electric Corp"/>
    <x v="8"/>
    <s v="Mauro Barraza"/>
    <s v="Jesse Melendez"/>
    <s v="WORK DESCRIPTION: Arrived on location isolated power to unit that collapsed. Disconnected all electrical and instrumentation to allow unit to be moved/Replaced. Notified company man_x000d__x000a_when completed"/>
    <s v="5051044"/>
    <s v="Upstream"/>
    <s v=""/>
    <s v="USD"/>
    <n v="996"/>
    <s v="B2B"/>
    <s v="1"/>
    <s v=""/>
    <s v="SUPERINTENDENT OT/HOLIDAY/WEEKEND"/>
    <s v=""/>
    <d v="2025-09-26T14:10:35"/>
    <d v="2025-09-21T17:15:00"/>
    <d v="2025-09-21T21:15:00"/>
    <s v=""/>
    <s v="BRADLEY 2 102WA"/>
    <s v=""/>
    <s v=""/>
    <s v=""/>
    <s v=""/>
    <s v=""/>
    <s v=""/>
    <s v=""/>
    <s v=""/>
    <s v=""/>
    <s v=""/>
    <s v=""/>
    <s v=""/>
    <s v=""/>
    <s v=""/>
    <s v=""/>
    <s v=""/>
    <s v=""/>
    <s v=""/>
    <s v=""/>
    <s v=""/>
    <s v=""/>
    <s v=""/>
    <s v="Labor"/>
    <s v=""/>
    <s v=""/>
    <s v=""/>
    <s v="1001115700"/>
    <s v="BRADLEY 2 102 WA"/>
    <s v="Upstream"/>
    <s v="1046"/>
    <s v=""/>
    <s v=""/>
    <s v=""/>
    <s v=""/>
    <s v=""/>
    <s v=""/>
    <s v=""/>
    <n v="4"/>
    <s v="HR"/>
    <n v="135"/>
    <s v=""/>
    <n v="540"/>
    <s v="--multiple--"/>
    <s v="708305"/>
    <d v="2025-10-01T13:19:38"/>
    <s v=""/>
    <s v=""/>
    <s v=""/>
    <s v=""/>
  </r>
  <r>
    <s v="T-61435"/>
    <s v="ACH Services, LLC"/>
    <x v="9"/>
    <s v="Luis Figueroa"/>
    <s v="Jamie Willingham"/>
    <s v="Drove to location to haul loads of PW to disposal."/>
    <s v="5051054"/>
    <s v="Upstream"/>
    <s v=""/>
    <s v="USD"/>
    <n v="1449"/>
    <s v="Direct Entry"/>
    <s v="1"/>
    <s v="Vacuum Truck"/>
    <s v="Vacuum Truck"/>
    <s v="Vacuum Truck Services"/>
    <d v="2025-10-02T12:48:00"/>
    <d v="2025-09-29T16:30:00"/>
    <d v="2025-09-30T05:00:00"/>
    <d v="1899-12-30T12:30:00"/>
    <s v="CARBON 12-13 BATTERY"/>
    <s v=""/>
    <s v=""/>
    <s v="-"/>
    <s v=""/>
    <s v=""/>
    <s v=""/>
    <s v=""/>
    <s v=""/>
    <s v=""/>
    <s v=""/>
    <s v=""/>
    <s v=""/>
    <s v=""/>
    <s v=""/>
    <s v=""/>
    <s v=""/>
    <s v=""/>
    <s v=""/>
    <s v=""/>
    <s v=""/>
    <n v="0"/>
    <s v="bbl"/>
    <s v=""/>
    <s v=""/>
    <s v=""/>
    <s v=""/>
    <s v="8300086400"/>
    <s v="CARBON 12-13 BATTERY"/>
    <s v="Upstream"/>
    <s v="1046"/>
    <s v=""/>
    <s v=""/>
    <s v=""/>
    <s v=""/>
    <s v=""/>
    <s v=""/>
    <s v="Hours Worked"/>
    <n v="12.5"/>
    <s v="hour"/>
    <n v="90"/>
    <s v=""/>
    <n v="1125"/>
    <s v="Pricebook"/>
    <s v="712932"/>
    <d v="2025-10-02T12:51:26"/>
    <s v=""/>
    <s v=""/>
    <s v=""/>
    <s v=""/>
  </r>
  <r>
    <s v="252801"/>
    <s v="NLP Enterprises, LLC"/>
    <x v="0"/>
    <s v="Dennis Jackson"/>
    <s v="Mark Vasquez"/>
    <s v="Fixed road cover hole move dirt"/>
    <s v="5051027"/>
    <s v="Upstream"/>
    <s v="168889"/>
    <s v="USD"/>
    <n v="892.5"/>
    <s v="Direct Entry"/>
    <s v="1"/>
    <s v="D6"/>
    <s v="Diamondback - Backhoe &amp; Operator"/>
    <s v=""/>
    <d v="2025-10-10T10:49:52"/>
    <d v="2025-09-29T08:00:00"/>
    <d v="2025-09-29T16:30:00"/>
    <s v=""/>
    <s v=""/>
    <s v=""/>
    <s v=""/>
    <s v=""/>
    <s v=""/>
    <s v=""/>
    <s v=""/>
    <s v=""/>
    <s v=""/>
    <s v=""/>
    <s v=""/>
    <s v=""/>
    <s v=""/>
    <s v=""/>
    <s v=""/>
    <s v=""/>
    <s v=""/>
    <s v=""/>
    <s v=""/>
    <s v=""/>
    <s v=""/>
    <s v=""/>
    <s v=""/>
    <s v="Labor"/>
    <s v=""/>
    <s v=""/>
    <s v=""/>
    <s v="9100031700"/>
    <s v="SMB-STR 16"/>
    <s v="Upstream"/>
    <s v="1046"/>
    <s v=""/>
    <s v=""/>
    <s v=""/>
    <s v=""/>
    <s v=""/>
    <s v=""/>
    <s v=""/>
    <n v="8.5"/>
    <s v="HR"/>
    <n v="105"/>
    <s v=""/>
    <n v="892.5"/>
    <s v="--multiple--"/>
    <s v="700289"/>
    <d v="2025-10-10T10:52:56"/>
    <s v=""/>
    <s v=""/>
    <s v=""/>
    <s v=""/>
  </r>
  <r>
    <s v="252803"/>
    <s v="NLP Enterprises, LLC"/>
    <x v="0"/>
    <s v="Dennis Jackson"/>
    <s v="Mark Vasquez"/>
    <s v="Fixed road cover hole move dirt"/>
    <s v="5051027"/>
    <s v="Upstream"/>
    <s v="168889"/>
    <s v="USD"/>
    <n v="1050"/>
    <s v="Direct Entry"/>
    <s v="1"/>
    <s v="D6"/>
    <s v="Diamondback - Backhoe &amp; Operator"/>
    <s v=""/>
    <d v="2025-10-10T09:19:43"/>
    <d v="2025-10-01T06:30:00"/>
    <d v="2025-10-01T16:30:00"/>
    <s v=""/>
    <s v=""/>
    <s v=""/>
    <s v=""/>
    <s v=""/>
    <s v=""/>
    <s v=""/>
    <s v=""/>
    <s v=""/>
    <s v=""/>
    <s v=""/>
    <s v=""/>
    <s v=""/>
    <s v=""/>
    <s v=""/>
    <s v=""/>
    <s v=""/>
    <s v=""/>
    <s v=""/>
    <s v=""/>
    <s v=""/>
    <s v=""/>
    <s v=""/>
    <s v=""/>
    <s v="Labor"/>
    <s v=""/>
    <s v=""/>
    <s v=""/>
    <s v="9100031800"/>
    <s v="SMB-STR 15"/>
    <s v="Upstream"/>
    <s v="1046"/>
    <s v=""/>
    <s v=""/>
    <s v=""/>
    <s v=""/>
    <s v=""/>
    <s v=""/>
    <s v=""/>
    <n v="10"/>
    <s v="HR"/>
    <n v="105"/>
    <s v=""/>
    <n v="1050"/>
    <s v="--multiple--"/>
    <s v="700289"/>
    <d v="2025-10-10T09:22:07"/>
    <s v=""/>
    <s v=""/>
    <s v=""/>
    <s v=""/>
  </r>
  <r>
    <s v="252804"/>
    <s v="NLP Enterprises, LLC"/>
    <x v="0"/>
    <s v="Dennis Jackson"/>
    <s v="Mark Vasquez"/>
    <s v="Fixed road back dragged the road. move dirt."/>
    <s v="5051027"/>
    <s v="Upstream"/>
    <s v="168889"/>
    <s v="USD"/>
    <n v="1050"/>
    <s v="Direct Entry"/>
    <s v="1"/>
    <s v="D6"/>
    <s v="Diamondback - Backhoe &amp; Operator"/>
    <s v=""/>
    <d v="2025-10-10T07:59:42"/>
    <d v="2025-10-02T06:30:00"/>
    <d v="2025-10-02T16:30:00"/>
    <s v=""/>
    <s v=""/>
    <s v=""/>
    <s v=""/>
    <s v=""/>
    <s v=""/>
    <s v=""/>
    <s v=""/>
    <s v=""/>
    <s v=""/>
    <s v=""/>
    <s v=""/>
    <s v=""/>
    <s v=""/>
    <s v=""/>
    <s v=""/>
    <s v=""/>
    <s v=""/>
    <s v=""/>
    <s v=""/>
    <s v=""/>
    <s v=""/>
    <s v=""/>
    <s v=""/>
    <s v="Labor"/>
    <s v=""/>
    <s v=""/>
    <s v=""/>
    <s v="9100031700"/>
    <s v="SMB-STR 16"/>
    <s v="Upstream"/>
    <s v="1046"/>
    <s v=""/>
    <s v=""/>
    <s v=""/>
    <s v=""/>
    <s v=""/>
    <s v=""/>
    <s v=""/>
    <n v="10"/>
    <s v="HR"/>
    <n v="105"/>
    <s v=""/>
    <n v="1050"/>
    <s v="--multiple--"/>
    <s v="700289"/>
    <d v="2025-10-10T08:03:36"/>
    <s v=""/>
    <s v=""/>
    <s v=""/>
    <s v=""/>
  </r>
  <r>
    <s v="252805"/>
    <s v="NLP Enterprises, LLC"/>
    <x v="0"/>
    <s v="Dennis Jackson"/>
    <s v="Mark Vasquez"/>
    <s v="Moved dirt. Cover hole. Fixed road."/>
    <s v="5051027"/>
    <s v="Upstream"/>
    <s v="168889"/>
    <s v="USD"/>
    <n v="1050"/>
    <s v="Direct Entry"/>
    <s v="1"/>
    <s v="D6"/>
    <s v="Diamondback - Backhoe &amp; Operator"/>
    <s v=""/>
    <d v="2025-10-10T08:04:24"/>
    <d v="2025-10-03T06:30:00"/>
    <d v="2025-10-03T16:30:00"/>
    <s v=""/>
    <s v=""/>
    <s v=""/>
    <s v=""/>
    <s v=""/>
    <s v=""/>
    <s v=""/>
    <s v=""/>
    <s v=""/>
    <s v=""/>
    <s v=""/>
    <s v=""/>
    <s v=""/>
    <s v=""/>
    <s v=""/>
    <s v=""/>
    <s v=""/>
    <s v=""/>
    <s v=""/>
    <s v=""/>
    <s v=""/>
    <s v=""/>
    <s v=""/>
    <s v=""/>
    <s v="Labor"/>
    <s v=""/>
    <s v=""/>
    <s v=""/>
    <s v="9100031800"/>
    <s v="SMB-STR 15"/>
    <s v="Upstream"/>
    <s v="1046"/>
    <s v=""/>
    <s v=""/>
    <s v=""/>
    <s v=""/>
    <s v=""/>
    <s v=""/>
    <s v=""/>
    <n v="10"/>
    <s v="HR"/>
    <n v="105"/>
    <s v=""/>
    <n v="1050"/>
    <s v="--multiple--"/>
    <s v="700289"/>
    <d v="2025-10-10T08:06:50"/>
    <s v=""/>
    <s v=""/>
    <s v=""/>
    <s v=""/>
  </r>
  <r>
    <s v="51118592"/>
    <s v="Lufkin US Acquisition Company LLC"/>
    <x v="3"/>
    <s v="Marc Davidson"/>
    <s v="Mark Vasquez"/>
    <s v="PARTS"/>
    <s v="5051035"/>
    <s v="Upstream"/>
    <s v=""/>
    <s v="USD"/>
    <n v="1500"/>
    <s v="Direct Entry"/>
    <s v="1"/>
    <s v="062.1001"/>
    <s v="Load Cell 50K"/>
    <s v=""/>
    <d v="2025-09-10T08:48:42"/>
    <d v="2025-09-10T00:00:00"/>
    <d v="2025-09-10T00:00:00"/>
    <s v=""/>
    <s v="MABEE D 4-3 4204H"/>
    <s v=""/>
    <s v=""/>
    <s v=""/>
    <s v=""/>
    <s v=""/>
    <s v=""/>
    <s v=""/>
    <s v=""/>
    <s v=""/>
    <s v=""/>
    <s v=""/>
    <s v=""/>
    <s v=""/>
    <s v=""/>
    <s v=""/>
    <s v=""/>
    <s v=""/>
    <s v=""/>
    <s v=""/>
    <s v=""/>
    <s v=""/>
    <s v=""/>
    <s v="Material"/>
    <s v=""/>
    <s v=""/>
    <s v=""/>
    <s v="1001772400"/>
    <s v="MABEE D 4-3 4204H"/>
    <s v="Upstream"/>
    <s v="1046"/>
    <s v=""/>
    <s v=""/>
    <s v=""/>
    <s v=""/>
    <s v=""/>
    <s v=""/>
    <s v=""/>
    <n v="1"/>
    <s v="EA"/>
    <n v="595"/>
    <s v=""/>
    <n v="595"/>
    <s v="--multiple--"/>
    <s v="706723"/>
    <d v="2025-10-02T08:37:54"/>
    <s v=""/>
    <s v=""/>
    <s v="VC General"/>
    <s v=""/>
  </r>
  <r>
    <s v="1001706"/>
    <s v="B-P Supply Inc"/>
    <x v="9"/>
    <s v="Marc Davidson"/>
    <s v="Mark Vasquez"/>
    <s v="PARTS ORDERED BY MARC DAVIDSON - GRIDIRON N006MS"/>
    <s v="5051049"/>
    <s v="Upstream"/>
    <s v=""/>
    <s v="USD"/>
    <n v="307.64"/>
    <s v="B2B"/>
    <s v="1"/>
    <s v="0146A-11-2-40HD"/>
    <s v="1 1/2&quot; 2 BOLT COARSE THD PR CLAMP"/>
    <s v="Other"/>
    <d v="2025-10-07T15:14:39"/>
    <d v="2025-09-19T00:00:00"/>
    <d v="2025-09-19T00:00:00"/>
    <s v=""/>
    <s v=""/>
    <s v=""/>
    <s v=""/>
    <s v=""/>
    <s v=""/>
    <s v=""/>
    <s v=""/>
    <s v=""/>
    <s v=""/>
    <s v=""/>
    <s v=""/>
    <s v=""/>
    <s v=""/>
    <s v=""/>
    <s v=""/>
    <s v=""/>
    <s v=""/>
    <s v=""/>
    <s v=""/>
    <s v=""/>
    <s v=""/>
    <s v=""/>
    <s v=""/>
    <s v="Material"/>
    <s v=""/>
    <s v=""/>
    <s v=""/>
    <s v="1000252200"/>
    <s v="GRIDIRON N006MS"/>
    <s v="Upstream"/>
    <s v="1046"/>
    <s v=""/>
    <s v=""/>
    <s v=""/>
    <s v=""/>
    <s v=""/>
    <s v=""/>
    <s v=""/>
    <n v="2"/>
    <s v="EA"/>
    <n v="153.82"/>
    <s v=""/>
    <n v="307.64"/>
    <s v="--multiple--"/>
    <s v="705219"/>
    <d v="2025-10-07T15:49:16"/>
    <s v=""/>
    <s v=""/>
    <s v=""/>
    <s v=""/>
  </r>
  <r>
    <s v="338454"/>
    <s v="Lufkin US Acquisition Company LLC"/>
    <x v="3"/>
    <s v="Marc Davidson"/>
    <s v="Mark Vasquez"/>
    <s v="installation of J-BOX._x000a_An additional J-Box was installed at the client's request, for the connection of the EPot"/>
    <s v="5051035"/>
    <s v="Upstream"/>
    <s v=""/>
    <s v="USD"/>
    <n v="1275.5"/>
    <s v="Direct Entry"/>
    <s v="1"/>
    <s v="509.8008"/>
    <s v="Cable Raw 8 Conductor per ft"/>
    <s v=""/>
    <d v="2025-10-01T08:23:34"/>
    <d v="2025-09-24T15:00:00"/>
    <d v="2025-09-24T17:00:00"/>
    <s v=""/>
    <s v=""/>
    <s v=""/>
    <s v=""/>
    <s v=""/>
    <s v=""/>
    <s v=""/>
    <s v=""/>
    <s v=""/>
    <s v=""/>
    <s v=""/>
    <s v=""/>
    <s v=""/>
    <s v=""/>
    <s v=""/>
    <s v=""/>
    <s v=""/>
    <s v=""/>
    <s v=""/>
    <s v=""/>
    <s v=""/>
    <s v=""/>
    <s v=""/>
    <s v=""/>
    <s v="Material"/>
    <s v=""/>
    <s v=""/>
    <s v=""/>
    <s v="1000650200"/>
    <s v="BLACKFOOT EAST H 707LS"/>
    <s v="Upstream"/>
    <s v="1046"/>
    <s v=""/>
    <s v=""/>
    <s v=""/>
    <s v=""/>
    <s v=""/>
    <s v=""/>
    <s v=""/>
    <n v="70"/>
    <s v="PC"/>
    <n v="3"/>
    <s v=""/>
    <n v="210"/>
    <s v="--multiple--"/>
    <s v="706723"/>
    <d v="2025-10-01T08:29:28"/>
    <s v=""/>
    <s v=""/>
    <s v=""/>
    <s v=""/>
  </r>
  <r>
    <s v="338476"/>
    <s v="Lufkin US Acquisition Company LLC"/>
    <x v="3"/>
    <s v="Marc Davidson"/>
    <s v="Mark Vasquez"/>
    <s v="Installation of J-BOX._x000a_The JSA is performed, then the installation of the j-box is carried out, the 8 conductor is run, the 1/2 seal tile is installed, terminations _x000a_are_x000a_made in the j-box and in the Mark VI. A splice is left to connect to the EPot"/>
    <s v="5051035"/>
    <s v="Upstream"/>
    <s v=""/>
    <s v="USD"/>
    <n v="1664.65"/>
    <s v="Direct Entry"/>
    <s v="1"/>
    <s v="060.8000"/>
    <s v="J-Box Assembly"/>
    <s v=""/>
    <d v="2025-10-01T13:33:22"/>
    <d v="2025-09-25T15:00:00"/>
    <d v="2025-09-25T17:00:00"/>
    <s v=""/>
    <s v=""/>
    <s v=""/>
    <s v=""/>
    <s v=""/>
    <s v=""/>
    <s v=""/>
    <s v=""/>
    <s v=""/>
    <s v=""/>
    <s v=""/>
    <s v=""/>
    <s v=""/>
    <s v=""/>
    <s v=""/>
    <s v=""/>
    <s v=""/>
    <s v=""/>
    <s v=""/>
    <s v=""/>
    <s v=""/>
    <s v=""/>
    <s v=""/>
    <s v=""/>
    <s v="Material"/>
    <s v=""/>
    <s v=""/>
    <s v=""/>
    <s v="1000256600"/>
    <s v="BLACKFOOT EAST B 705JM"/>
    <s v="Upstream"/>
    <s v="1046"/>
    <s v=""/>
    <s v=""/>
    <s v=""/>
    <s v=""/>
    <s v=""/>
    <s v=""/>
    <s v=""/>
    <n v="1"/>
    <s v="EA"/>
    <n v="325"/>
    <s v=""/>
    <n v="325"/>
    <s v="--multiple--"/>
    <s v="706723"/>
    <d v="2025-10-01T13:50:43"/>
    <s v=""/>
    <s v=""/>
    <s v=""/>
    <s v=""/>
  </r>
  <r>
    <s v="T-61436"/>
    <s v="ACH Services, LLC"/>
    <x v="9"/>
    <s v="Luis Figueroa"/>
    <s v="Jamie Willingham"/>
    <s v="Drove to location to haul loads of PW to disposal."/>
    <s v="5051054"/>
    <s v="Upstream"/>
    <s v=""/>
    <s v="USD"/>
    <n v="1404"/>
    <s v="Direct Entry"/>
    <s v="1"/>
    <s v="Vacuum Truck"/>
    <s v="Vacuum Truck"/>
    <s v="Vacuum Truck Services"/>
    <d v="2025-10-02T12:55:01"/>
    <d v="2025-09-30T05:00:00"/>
    <d v="2025-09-30T17:00:00"/>
    <d v="1899-12-30T12:00:00"/>
    <s v="CARBON 12-13 BATTERY"/>
    <s v=""/>
    <s v=""/>
    <s v="-"/>
    <s v=""/>
    <s v=""/>
    <s v=""/>
    <s v=""/>
    <s v=""/>
    <s v=""/>
    <s v=""/>
    <s v=""/>
    <s v=""/>
    <s v=""/>
    <s v=""/>
    <s v=""/>
    <s v=""/>
    <s v=""/>
    <s v=""/>
    <s v=""/>
    <s v=""/>
    <n v="0"/>
    <s v="bbl"/>
    <s v=""/>
    <s v=""/>
    <s v=""/>
    <s v=""/>
    <s v="8300086400"/>
    <s v="CARBON 12-13 BATTERY"/>
    <s v="Upstream"/>
    <s v="1046"/>
    <s v=""/>
    <s v=""/>
    <s v=""/>
    <s v=""/>
    <s v=""/>
    <s v=""/>
    <s v="Hours Worked"/>
    <n v="12"/>
    <s v="hour"/>
    <n v="90"/>
    <s v=""/>
    <n v="1080"/>
    <s v="Pricebook"/>
    <s v="712932"/>
    <d v="2025-10-02T12:58:27"/>
    <s v=""/>
    <s v=""/>
    <s v=""/>
    <s v=""/>
  </r>
  <r>
    <s v="338676"/>
    <s v="Lufkin US Acquisition Company LLC"/>
    <x v="3"/>
    <s v="Marc Davidson"/>
    <s v="Mark Vasquez"/>
    <s v="Drove to location, filled out JSA, tried to power on POC and noticed it wouldn’t, checked power to board and had 12V, temporarily plugged in_x000a_new board and it powered on, replaced board and found screen was bad, replaced screen, re programmed and ran unit, noticed Hall effects_x000a_and loadcell weren’t reading, checked Hall effects and they were bad, checked loadcell and found cable and loadcell were melted, replaced_x000a_loadcell cable and Hall effects, ran unit and calibrated, left loadcell unplugged for crew to plug in after replacement, left unit running in auto on_x000a_timer, cleaned up and left location"/>
    <s v="5051035"/>
    <s v="Upstream"/>
    <s v=""/>
    <s v="USD"/>
    <n v="2676"/>
    <s v="Direct Entry"/>
    <s v="1"/>
    <s v="980.0040"/>
    <s v="Miles Traveled"/>
    <s v=""/>
    <d v="2025-09-30T13:59:19"/>
    <d v="2025-09-26T07:00:00"/>
    <d v="2025-09-26T13:00:00"/>
    <s v=""/>
    <s v=""/>
    <s v=""/>
    <s v=""/>
    <s v=""/>
    <s v=""/>
    <s v=""/>
    <s v=""/>
    <s v=""/>
    <s v=""/>
    <s v=""/>
    <s v=""/>
    <s v=""/>
    <s v=""/>
    <s v=""/>
    <s v=""/>
    <s v=""/>
    <s v=""/>
    <s v=""/>
    <s v=""/>
    <s v=""/>
    <s v=""/>
    <s v=""/>
    <s v=""/>
    <s v="Labor"/>
    <s v=""/>
    <s v=""/>
    <s v=""/>
    <s v="1001370100"/>
    <s v="STEPHENS FEE 6 9"/>
    <s v="Upstream"/>
    <s v="1046"/>
    <s v=""/>
    <s v=""/>
    <s v=""/>
    <s v=""/>
    <s v=""/>
    <s v=""/>
    <s v=""/>
    <n v="40"/>
    <s v="MI"/>
    <n v="1.75"/>
    <s v=""/>
    <n v="70"/>
    <s v="--multiple--"/>
    <s v="706723"/>
    <d v="2025-09-30T14:03:01"/>
    <s v=""/>
    <s v=""/>
    <s v=""/>
    <s v=""/>
  </r>
  <r>
    <s v="INV538821"/>
    <s v="VanZandt Controls, LLC"/>
    <x v="8"/>
    <s v="Mauro Barraza"/>
    <s v="Jesse Melendez"/>
    <s v="INV538821_x000a_MAURO BARRAZA"/>
    <s v="5051017"/>
    <s v="Upstream"/>
    <s v=""/>
    <s v="USD"/>
    <n v="5846.05"/>
    <s v="Direct Entry"/>
    <s v="1"/>
    <s v=""/>
    <s v="PACKAGE TO INCLUDE 2IN 5K 1-13/16 Spool **Produced in the Machine Shop** 2“ Valve Carbon Steel INCLU"/>
    <s v="ValveAsm, PIPER5K VALVC3K"/>
    <d v="2025-10-06T15:22:22"/>
    <d v="2025-09-25T00:00:00"/>
    <d v="2025-09-25T00:00:00"/>
    <s v=""/>
    <s v=""/>
    <s v=""/>
    <s v=""/>
    <s v=""/>
    <s v=""/>
    <s v=""/>
    <s v=""/>
    <s v=""/>
    <s v=""/>
    <s v=""/>
    <s v=""/>
    <s v=""/>
    <s v=""/>
    <s v=""/>
    <s v=""/>
    <s v=""/>
    <s v=""/>
    <s v=""/>
    <s v=""/>
    <s v=""/>
    <s v=""/>
    <s v=""/>
    <s v=""/>
    <s v="Material"/>
    <s v=""/>
    <s v=""/>
    <s v=""/>
    <s v="1001494200"/>
    <s v="RIO BRAZOS 26-15 UNIT 1 223"/>
    <s v="Upstream"/>
    <s v="1046"/>
    <s v=""/>
    <s v=""/>
    <s v=""/>
    <s v=""/>
    <s v=""/>
    <s v=""/>
    <s v=""/>
    <n v="1"/>
    <s v="EA"/>
    <n v="5671.05"/>
    <s v=""/>
    <n v="5671.05"/>
    <s v="E-Maintenance"/>
    <s v="705035"/>
    <d v="2025-10-06T15:24:21"/>
    <s v=""/>
    <s v=""/>
    <s v=""/>
    <s v=""/>
  </r>
  <r>
    <s v="FT-21925"/>
    <s v="Legacy Artificial Lift Solutions LLC"/>
    <x v="0"/>
    <s v="Jeremy Woods"/>
    <s v="Mark Watson"/>
    <s v="Teardown and move Liberty 1280 from Triple Nail D 27 38 2804H and set on Pier 22-23 Unit 1 242, replace carrier bar door"/>
    <s v="8501200"/>
    <s v="AC-AC"/>
    <s v="165778"/>
    <s v="USD"/>
    <n v="20478"/>
    <s v="Direct Entry"/>
    <s v="1"/>
    <s v="DSM-1280/912"/>
    <s v="Mileage to haul equipment"/>
    <s v=""/>
    <d v="2025-10-02T15:25:15"/>
    <d v="2025-09-23T07:00:00"/>
    <d v="2025-09-23T22:00:00"/>
    <s v=""/>
    <s v="Pier 22-23 Unit 1 242"/>
    <s v=""/>
    <s v=""/>
    <s v=""/>
    <s v=""/>
    <s v=""/>
    <s v=""/>
    <s v=""/>
    <s v=""/>
    <s v=""/>
    <s v=""/>
    <s v=""/>
    <s v=""/>
    <s v=""/>
    <s v=""/>
    <s v=""/>
    <s v=""/>
    <s v=""/>
    <s v=""/>
    <s v=""/>
    <s v=""/>
    <s v=""/>
    <s v=""/>
    <s v="Equipment"/>
    <s v=""/>
    <s v=""/>
    <s v=""/>
    <s v="AC-002066AC"/>
    <s v="PIER 22-23 UNIT 1 242 GL2PR"/>
    <s v="AC-AC"/>
    <s v="1046"/>
    <s v=""/>
    <s v=""/>
    <s v=""/>
    <s v=""/>
    <s v=""/>
    <s v=""/>
    <s v=""/>
    <n v="65"/>
    <s v="MILE"/>
    <n v="3"/>
    <s v=""/>
    <n v="195"/>
    <s v="--multiple--"/>
    <s v="702786"/>
    <d v="2025-10-02T15:33:00"/>
    <s v=""/>
    <s v=""/>
    <s v=""/>
    <s v=""/>
  </r>
  <r>
    <s v="OP45929-42"/>
    <s v="Advanced Integrated Services Inc"/>
    <x v="5"/>
    <s v="Joey Heredia"/>
    <s v="Mark Watson"/>
    <s v="Labor - waited for unit to move out the way then removed PTs of well head ETC"/>
    <s v="5101003"/>
    <s v="EW-EW"/>
    <s v=""/>
    <s v="USD"/>
    <n v="512"/>
    <s v="Direct Entry"/>
    <s v="1"/>
    <s v=""/>
    <s v="Automation Tech"/>
    <s v=""/>
    <d v="2025-10-10T07:21:50"/>
    <d v="2025-09-29T15:00:00"/>
    <d v="2025-09-29T19:00:00"/>
    <s v=""/>
    <s v="Black Lagoon 2-3 Unit 2 Well 163"/>
    <s v=""/>
    <s v=""/>
    <s v=""/>
    <s v=""/>
    <s v=""/>
    <s v=""/>
    <s v=""/>
    <s v=""/>
    <s v=""/>
    <s v=""/>
    <s v=""/>
    <s v=""/>
    <s v=""/>
    <s v=""/>
    <s v=""/>
    <s v=""/>
    <s v=""/>
    <s v=""/>
    <s v=""/>
    <s v=""/>
    <s v=""/>
    <s v=""/>
    <s v="Labor"/>
    <s v=""/>
    <s v=""/>
    <s v=""/>
    <s v="EW-003949EW"/>
    <s v="BLACK LAGOON 2-3 UNIT 2 163 ESP RPR"/>
    <s v="EW-EW"/>
    <s v="1046"/>
    <s v=""/>
    <s v=""/>
    <s v=""/>
    <s v=""/>
    <s v=""/>
    <s v=""/>
    <s v=""/>
    <n v="4"/>
    <s v="HR"/>
    <n v="105"/>
    <s v=""/>
    <n v="420"/>
    <s v="Pricebook"/>
    <s v="712953"/>
    <d v="2025-10-10T07:23:48"/>
    <s v=""/>
    <s v=""/>
    <s v=""/>
    <s v=""/>
  </r>
  <r>
    <s v="AT45929-49"/>
    <s v="Advanced Integrated Services Inc"/>
    <x v="5"/>
    <s v="Joey Heredia"/>
    <s v="Mark Watson"/>
    <s v="Labor - drove to location and gathered material list ETC"/>
    <s v="8501167"/>
    <s v="AC-AC"/>
    <s v=""/>
    <s v="USD"/>
    <n v="256"/>
    <s v="Direct Entry"/>
    <s v="1"/>
    <s v=""/>
    <s v="Automation Tech"/>
    <s v=""/>
    <d v="2025-10-13T11:52:41"/>
    <d v="2025-10-01T13:00:00"/>
    <d v="2025-10-01T15:00:00"/>
    <s v=""/>
    <s v="Pier 22-23 Unit 1 Well 242"/>
    <s v=""/>
    <s v=""/>
    <s v=""/>
    <s v=""/>
    <s v=""/>
    <s v=""/>
    <s v=""/>
    <s v=""/>
    <s v=""/>
    <s v=""/>
    <s v=""/>
    <s v=""/>
    <s v=""/>
    <s v=""/>
    <s v=""/>
    <s v=""/>
    <s v=""/>
    <s v=""/>
    <s v=""/>
    <s v=""/>
    <s v=""/>
    <s v=""/>
    <s v="Labor"/>
    <s v=""/>
    <s v=""/>
    <s v=""/>
    <s v="AC-002066AC"/>
    <s v="PIER 22-23 UNIT 1 242 GL2PR"/>
    <s v="AC-AC"/>
    <s v="1046"/>
    <s v=""/>
    <s v=""/>
    <s v=""/>
    <s v=""/>
    <s v=""/>
    <s v=""/>
    <s v=""/>
    <n v="2"/>
    <s v="HR"/>
    <n v="105"/>
    <s v=""/>
    <n v="210"/>
    <s v="Pricebook"/>
    <s v="712953"/>
    <d v="2025-10-13T11:54:45"/>
    <s v=""/>
    <s v=""/>
    <s v=""/>
    <s v=""/>
  </r>
  <r>
    <s v="AT45929-50"/>
    <s v="Advanced Integrated Services Inc"/>
    <x v="5"/>
    <s v="Joey Heredia"/>
    <s v="Mark Watson"/>
    <s v="Labor - Went and gathered material list for material needed. ETC"/>
    <s v="8501167"/>
    <s v="AC-AC"/>
    <s v=""/>
    <s v="USD"/>
    <n v="256"/>
    <s v="Direct Entry"/>
    <s v="1"/>
    <s v=""/>
    <s v="Automation Tech"/>
    <s v=""/>
    <d v="2025-10-13T12:02:36"/>
    <d v="2025-10-01T15:00:00"/>
    <d v="2025-10-01T17:00:00"/>
    <s v=""/>
    <s v="Triple Nail D 27-38 Well 2804H"/>
    <s v=""/>
    <s v=""/>
    <s v=""/>
    <s v=""/>
    <s v=""/>
    <s v=""/>
    <s v=""/>
    <s v=""/>
    <s v=""/>
    <s v=""/>
    <s v=""/>
    <s v=""/>
    <s v=""/>
    <s v=""/>
    <s v=""/>
    <s v=""/>
    <s v=""/>
    <s v=""/>
    <s v=""/>
    <s v=""/>
    <s v=""/>
    <s v=""/>
    <s v="Labor"/>
    <s v=""/>
    <s v=""/>
    <s v=""/>
    <s v="AC-001379AC"/>
    <s v="TRIPLE NAIL D 27-38 2804H - ESP2RP"/>
    <s v="AC-AC"/>
    <s v="1046"/>
    <s v=""/>
    <s v=""/>
    <s v=""/>
    <s v=""/>
    <s v=""/>
    <s v=""/>
    <s v=""/>
    <n v="2"/>
    <s v="HR"/>
    <n v="105"/>
    <s v=""/>
    <n v="210"/>
    <s v="Pricebook"/>
    <s v="712953"/>
    <d v="2025-10-13T12:48:29"/>
    <s v=""/>
    <s v=""/>
    <s v=""/>
    <s v=""/>
  </r>
  <r>
    <s v="AT45929-48"/>
    <s v="Advanced Integrated Services Inc"/>
    <x v="5"/>
    <s v="Joey Heredia"/>
    <s v="Mark Watson"/>
    <s v="Labor - removed power source from junction box and removed environmental pot ETC"/>
    <s v="8501167"/>
    <s v="AC-AC"/>
    <s v=""/>
    <s v="USD"/>
    <n v="256"/>
    <s v="Direct Entry"/>
    <s v="1"/>
    <s v=""/>
    <s v="Automation Tech"/>
    <s v=""/>
    <d v="2025-10-13T11:47:23"/>
    <d v="2025-10-06T11:00:00"/>
    <d v="2025-10-06T13:00:00"/>
    <s v=""/>
    <s v="Silverback 13-8 Well 241"/>
    <s v=""/>
    <s v=""/>
    <s v=""/>
    <s v=""/>
    <s v=""/>
    <s v=""/>
    <s v=""/>
    <s v=""/>
    <s v=""/>
    <s v=""/>
    <s v=""/>
    <s v=""/>
    <s v=""/>
    <s v=""/>
    <s v=""/>
    <s v=""/>
    <s v=""/>
    <s v=""/>
    <s v=""/>
    <s v=""/>
    <s v=""/>
    <s v=""/>
    <s v="Labor"/>
    <s v=""/>
    <s v=""/>
    <s v=""/>
    <s v="AC-001203AC"/>
    <s v="SILVERBACK 13-8 UNIT 1 241 ESP2RP"/>
    <s v="AC-AC"/>
    <s v="1046"/>
    <s v=""/>
    <s v=""/>
    <s v=""/>
    <s v=""/>
    <s v=""/>
    <s v=""/>
    <s v=""/>
    <n v="2"/>
    <s v="HR"/>
    <n v="105"/>
    <s v=""/>
    <n v="210"/>
    <s v="Pricebook"/>
    <s v="712953"/>
    <d v="2025-10-13T11:50:13"/>
    <s v=""/>
    <s v=""/>
    <s v=""/>
    <s v=""/>
  </r>
  <r>
    <s v="4628-1152783"/>
    <s v="Cain Electric Supply CORP"/>
    <x v="0"/>
    <s v="Joey Heredia"/>
    <s v="Mark Watson"/>
    <s v="Electrical Materials"/>
    <s v="8501141"/>
    <s v="AC-AC"/>
    <s v=""/>
    <s v="USD"/>
    <n v="607.1"/>
    <s v=""/>
    <s v="1"/>
    <s v="TB TY528MX"/>
    <s v="14.2IN LOCKING CABLE TIE"/>
    <s v=""/>
    <d v="2025-10-07T19:06:05"/>
    <d v="2025-10-07T08:00:00"/>
    <d v="2025-10-07T08:00:00"/>
    <s v=""/>
    <s v="Pier 22-23 Unit 1 #242"/>
    <s v=""/>
    <s v=""/>
    <s v=""/>
    <s v=""/>
    <s v=""/>
    <s v=""/>
    <s v=""/>
    <s v=""/>
    <s v=""/>
    <s v=""/>
    <s v=""/>
    <s v=""/>
    <s v=""/>
    <s v=""/>
    <s v=""/>
    <s v=""/>
    <s v=""/>
    <s v=""/>
    <s v=""/>
    <s v=""/>
    <s v=""/>
    <s v=""/>
    <s v="Material"/>
    <s v=""/>
    <s v=""/>
    <s v=""/>
    <s v="AC-002066AC"/>
    <s v="PIER 22-23 UNIT 1 242 GL2PR"/>
    <s v="AC-AC"/>
    <s v="1046"/>
    <s v=""/>
    <s v=""/>
    <s v=""/>
    <s v=""/>
    <s v=""/>
    <s v=""/>
    <s v=""/>
    <n v="100"/>
    <s v="EA"/>
    <n v="0.89"/>
    <s v=""/>
    <n v="88.61"/>
    <s v="--multiple--"/>
    <s v="703819"/>
    <d v="2025-10-10T08:57:21"/>
    <s v=""/>
    <s v=""/>
    <s v=""/>
    <s v=""/>
  </r>
  <r>
    <s v="4628-1152789"/>
    <s v="Cain Electric Supply CORP"/>
    <x v="0"/>
    <s v="Joey Heredia"/>
    <s v="Mark Watson"/>
    <s v="Electrical Materials"/>
    <s v="8501141"/>
    <s v="AC-AC"/>
    <s v=""/>
    <s v="USD"/>
    <n v="850"/>
    <s v=""/>
    <s v="1"/>
    <s v="WIRE 575732"/>
    <s v="18/8C CMR OVERALL SHD W/DRN WIRE"/>
    <s v=""/>
    <d v="2025-10-07T19:06:08"/>
    <d v="2025-10-07T08:00:00"/>
    <d v="2025-10-07T08:00:00"/>
    <s v=""/>
    <s v="PEIR 22-23 UNIT1 242"/>
    <s v=""/>
    <s v=""/>
    <s v=""/>
    <s v=""/>
    <s v=""/>
    <s v=""/>
    <s v=""/>
    <s v=""/>
    <s v=""/>
    <s v=""/>
    <s v=""/>
    <s v=""/>
    <s v=""/>
    <s v=""/>
    <s v=""/>
    <s v=""/>
    <s v=""/>
    <s v=""/>
    <s v=""/>
    <s v=""/>
    <s v=""/>
    <s v=""/>
    <s v="Material"/>
    <s v=""/>
    <s v=""/>
    <s v=""/>
    <s v="AC-002066AC"/>
    <s v="PIER 22-23 UNIT 1 242 GL2PR"/>
    <s v="AC-AC"/>
    <s v="1046"/>
    <s v=""/>
    <s v=""/>
    <s v=""/>
    <s v=""/>
    <s v=""/>
    <s v=""/>
    <s v=""/>
    <n v="1000"/>
    <s v="EA"/>
    <n v="0.85"/>
    <s v=""/>
    <n v="850"/>
    <s v="--multiple--"/>
    <s v="703819"/>
    <d v="2025-10-10T08:58:43"/>
    <s v=""/>
    <s v=""/>
    <s v=""/>
    <s v=""/>
  </r>
  <r>
    <s v="890037592"/>
    <s v="ChampionX LLC"/>
    <x v="5"/>
    <s v="Mason Rutledge"/>
    <s v="Mark Watson"/>
    <s v="spt poc"/>
    <s v="8501167"/>
    <s v="AC-AC"/>
    <s v=""/>
    <s v="USD"/>
    <n v="2436"/>
    <s v="Direct Entry"/>
    <s v="1"/>
    <s v="1155378"/>
    <s v="GEN 2 EDGE WIFI"/>
    <s v=""/>
    <d v="2025-03-13T10:57:09"/>
    <d v="2025-02-07T00:00:00"/>
    <d v="2025-02-07T00:00:00"/>
    <s v=""/>
    <s v="Anaconda 5-4 Unit 2#175"/>
    <s v=""/>
    <s v=""/>
    <s v=""/>
    <s v=""/>
    <s v=""/>
    <s v=""/>
    <s v=""/>
    <s v=""/>
    <s v=""/>
    <s v=""/>
    <s v=""/>
    <s v=""/>
    <s v=""/>
    <s v=""/>
    <s v=""/>
    <s v=""/>
    <s v=""/>
    <s v=""/>
    <s v=""/>
    <s v=""/>
    <s v=""/>
    <s v=""/>
    <s v="Material"/>
    <s v=""/>
    <s v=""/>
    <s v=""/>
    <s v="AC-001194AC"/>
    <s v="ANACONDA 5-4 175 - ESP2RP"/>
    <s v="AC-AC"/>
    <s v="1046"/>
    <s v=""/>
    <s v=""/>
    <s v=""/>
    <s v=""/>
    <s v=""/>
    <s v=""/>
    <s v=""/>
    <n v="1"/>
    <s v="EA"/>
    <n v="2436"/>
    <s v=""/>
    <n v="2436"/>
    <s v="--multiple--"/>
    <s v="711892"/>
    <d v="2025-10-01T07:13:43"/>
    <s v=""/>
    <s v=""/>
    <s v=""/>
    <s v=""/>
  </r>
  <r>
    <s v="G5804184"/>
    <s v="NLP Enterprises, LLC"/>
    <x v="0"/>
    <s v="Thomas Ramos"/>
    <s v="Mark Watson"/>
    <s v="Drove to location and we built the pumpjack wellhead."/>
    <s v="8501210"/>
    <s v="AC-AC"/>
    <s v="159840"/>
    <s v="USD"/>
    <n v="607.5"/>
    <s v="API"/>
    <s v="1"/>
    <s v="D3"/>
    <s v="Production-Pusher and 2 Hands"/>
    <s v=""/>
    <d v="2025-10-10T09:45:14"/>
    <d v="2025-09-25T06:30:00"/>
    <d v="2025-09-25T11:00:00"/>
    <s v=""/>
    <s v=""/>
    <s v=""/>
    <s v="DICKENSON 18-7 EAST (WP5)"/>
    <s v=""/>
    <s v=""/>
    <s v=""/>
    <s v=""/>
    <s v=""/>
    <s v=""/>
    <s v=""/>
    <s v=""/>
    <s v=""/>
    <s v=""/>
    <s v=""/>
    <s v=""/>
    <s v=""/>
    <s v=""/>
    <s v=""/>
    <s v=""/>
    <s v=""/>
    <s v=""/>
    <s v=""/>
    <s v=""/>
    <s v="Labor"/>
    <s v="Soto, Juan"/>
    <s v=""/>
    <s v=""/>
    <s v="AC-002054AC"/>
    <s v="DICKENSON 18-7 EAST 131 ESP2RP"/>
    <s v="AC-AC"/>
    <s v="1046"/>
    <s v=""/>
    <s v=""/>
    <s v=""/>
    <s v=""/>
    <s v=""/>
    <s v=""/>
    <s v=""/>
    <n v="4.5"/>
    <s v="HR"/>
    <n v="135"/>
    <s v=""/>
    <n v="607.5"/>
    <s v="--multiple--"/>
    <s v="700289"/>
    <d v="2025-10-10T10:22:15"/>
    <s v=""/>
    <s v=""/>
    <s v=""/>
    <s v=""/>
  </r>
  <r>
    <s v="1002501"/>
    <s v="B-P Supply Inc"/>
    <x v="0"/>
    <s v="Thomas Ramos"/>
    <s v="Mark Watson"/>
    <s v="PARTS ORDERED BY THOMAS RAMOS - PIER 22-23 UNIT 1 242"/>
    <s v="8501248"/>
    <s v="AC-AC"/>
    <s v="165778"/>
    <s v="USD"/>
    <n v="6284.59"/>
    <s v="B2B"/>
    <s v="1"/>
    <s v="0041-12-N-BAIRD"/>
    <s v="2&quot; BAIRD BPR 10-900#"/>
    <s v="Other"/>
    <d v="2025-10-07T15:14:24"/>
    <d v="2025-09-26T00:00:00"/>
    <d v="2025-09-26T00:00:00"/>
    <s v=""/>
    <s v=""/>
    <s v=""/>
    <s v=""/>
    <s v=""/>
    <s v=""/>
    <s v=""/>
    <s v=""/>
    <s v=""/>
    <s v=""/>
    <s v=""/>
    <s v=""/>
    <s v=""/>
    <s v=""/>
    <s v=""/>
    <s v=""/>
    <s v=""/>
    <s v=""/>
    <s v=""/>
    <s v=""/>
    <s v=""/>
    <s v=""/>
    <s v=""/>
    <s v=""/>
    <s v="Material"/>
    <s v=""/>
    <s v=""/>
    <s v=""/>
    <s v="AC-002066AC"/>
    <s v="PIER 22-23 UNIT 1 242 GL2PR"/>
    <s v="AC-AC"/>
    <s v="1046"/>
    <s v=""/>
    <s v=""/>
    <s v=""/>
    <s v=""/>
    <s v=""/>
    <s v=""/>
    <s v=""/>
    <n v="1"/>
    <s v="EA"/>
    <n v="282.31"/>
    <s v=""/>
    <n v="282.31"/>
    <s v="--multiple--"/>
    <s v="705219"/>
    <d v="2025-10-10T13:51:55"/>
    <s v=""/>
    <s v=""/>
    <s v=""/>
    <s v=""/>
  </r>
  <r>
    <s v="1002500"/>
    <s v="B-P Supply Inc"/>
    <x v="0"/>
    <s v="Thomas Ramos"/>
    <s v="Mark Watson"/>
    <s v="PARTS ORDERED BY THOMAS RAMOS - PIER 22-23 UNIT 2 252"/>
    <s v="8501248"/>
    <s v="AC-AC"/>
    <s v="162212"/>
    <s v="USD"/>
    <n v="6284.59"/>
    <s v="B2B"/>
    <s v="1"/>
    <s v="0041-12-N-BAIRD"/>
    <s v="2&quot; BAIRD BPR 10-900#"/>
    <s v="Other"/>
    <d v="2025-10-07T15:14:25"/>
    <d v="2025-09-26T00:00:00"/>
    <d v="2025-09-26T00:00:00"/>
    <s v=""/>
    <s v=""/>
    <s v=""/>
    <s v=""/>
    <s v=""/>
    <s v=""/>
    <s v=""/>
    <s v=""/>
    <s v=""/>
    <s v=""/>
    <s v=""/>
    <s v=""/>
    <s v=""/>
    <s v=""/>
    <s v=""/>
    <s v=""/>
    <s v=""/>
    <s v=""/>
    <s v=""/>
    <s v=""/>
    <s v=""/>
    <s v=""/>
    <s v=""/>
    <s v=""/>
    <s v="Material"/>
    <s v=""/>
    <s v=""/>
    <s v=""/>
    <s v="AC-002064AC"/>
    <s v="PIER 22-23 UNIT 1 252 GL2RP"/>
    <s v="AC-AC"/>
    <s v="1046"/>
    <s v=""/>
    <s v=""/>
    <s v=""/>
    <s v=""/>
    <s v=""/>
    <s v=""/>
    <s v=""/>
    <n v="1"/>
    <s v="EA"/>
    <n v="282.31"/>
    <s v=""/>
    <n v="282.31"/>
    <s v="--multiple--"/>
    <s v="705219"/>
    <d v="2025-10-10T13:50:52"/>
    <s v=""/>
    <s v=""/>
    <s v=""/>
    <s v=""/>
  </r>
  <r>
    <s v="252610"/>
    <s v="NLP Enterprises, LLC"/>
    <x v="0"/>
    <s v="Thomas Ramos"/>
    <s v="Mark Watson"/>
    <s v="Drove to location and we built the pump jack well head"/>
    <s v="8501210"/>
    <s v="AC-AC"/>
    <s v="162212"/>
    <s v="USD"/>
    <n v="911.25"/>
    <s v="Direct Entry"/>
    <s v="1"/>
    <s v="D3"/>
    <s v="Diamondback- Pusher and 2 Hands w/ Truck"/>
    <s v=""/>
    <d v="2025-10-13T14:49:49"/>
    <d v="2025-09-30T06:15:00"/>
    <d v="2025-09-30T13:00:00"/>
    <s v=""/>
    <s v=""/>
    <s v=""/>
    <s v=""/>
    <s v=""/>
    <s v=""/>
    <s v=""/>
    <s v=""/>
    <s v=""/>
    <s v=""/>
    <s v=""/>
    <s v=""/>
    <s v=""/>
    <s v=""/>
    <s v=""/>
    <s v=""/>
    <s v=""/>
    <s v=""/>
    <s v=""/>
    <s v=""/>
    <s v=""/>
    <s v=""/>
    <s v=""/>
    <s v=""/>
    <s v="Labor"/>
    <s v=""/>
    <s v=""/>
    <s v=""/>
    <s v="AC-002064AC"/>
    <s v="PIER 22-23 UNIT 1 252 GL2RP"/>
    <s v="AC-AC"/>
    <s v="1046"/>
    <s v=""/>
    <s v=""/>
    <s v=""/>
    <s v=""/>
    <s v=""/>
    <s v=""/>
    <s v=""/>
    <n v="6.75"/>
    <s v="HR"/>
    <n v="135"/>
    <s v=""/>
    <n v="911.25"/>
    <s v="--multiple--"/>
    <s v="700289"/>
    <d v="2025-10-13T14:52:06"/>
    <s v=""/>
    <s v=""/>
    <s v=""/>
    <s v=""/>
  </r>
  <r>
    <s v="252613"/>
    <s v="NLP Enterprises, LLC"/>
    <x v="0"/>
    <s v="Thomas Ramos"/>
    <s v="Mark Watson"/>
    <s v="Drove to location and we finished the pump jack well head"/>
    <s v="8501210"/>
    <s v="AC-AC"/>
    <s v="162212"/>
    <s v="USD"/>
    <n v="270"/>
    <s v="Direct Entry"/>
    <s v="1"/>
    <s v="D3"/>
    <s v="Diamondback- Pusher and 2 Hands w/ Truck"/>
    <s v=""/>
    <d v="2025-10-13T14:41:01"/>
    <d v="2025-09-30T16:00:00"/>
    <d v="2025-09-30T18:00:00"/>
    <s v=""/>
    <s v=""/>
    <s v=""/>
    <s v=""/>
    <s v=""/>
    <s v=""/>
    <s v=""/>
    <s v=""/>
    <s v=""/>
    <s v=""/>
    <s v=""/>
    <s v=""/>
    <s v=""/>
    <s v=""/>
    <s v=""/>
    <s v=""/>
    <s v=""/>
    <s v=""/>
    <s v=""/>
    <s v=""/>
    <s v=""/>
    <s v=""/>
    <s v=""/>
    <s v=""/>
    <s v="Labor"/>
    <s v=""/>
    <s v=""/>
    <s v=""/>
    <s v="AC-002064AC"/>
    <s v="PIER 22-23 UNIT 1 252 GL2RP"/>
    <s v="AC-AC"/>
    <s v="1046"/>
    <s v=""/>
    <s v=""/>
    <s v=""/>
    <s v=""/>
    <s v=""/>
    <s v=""/>
    <s v=""/>
    <n v="2"/>
    <s v="HR"/>
    <n v="135"/>
    <s v=""/>
    <n v="270"/>
    <s v="--multiple--"/>
    <s v="700289"/>
    <d v="2025-10-13T14:44:27"/>
    <s v=""/>
    <s v=""/>
    <s v=""/>
    <s v=""/>
  </r>
  <r>
    <s v="202544798"/>
    <s v="AM Fabrication Inc"/>
    <x v="7"/>
    <s v="Billy Christy"/>
    <s v="Mason Rutledge"/>
    <s v="Shut off power isolation of unit check oil level change oil filter left on auto"/>
    <s v="5051064"/>
    <s v="Upstream"/>
    <s v="164452"/>
    <s v="USD"/>
    <n v="374.98"/>
    <s v="Direct Entry"/>
    <s v="1"/>
    <s v="1236"/>
    <s v="Diamondback PM VRU"/>
    <s v="Stock item"/>
    <d v="2025-10-09T15:54:15"/>
    <d v="2025-10-02T16:30:00"/>
    <d v="2025-10-02T18:00:00"/>
    <s v=""/>
    <s v="PIER 21-24 UNIT 1"/>
    <s v=""/>
    <s v=""/>
    <s v=""/>
    <s v=""/>
    <s v=""/>
    <s v=""/>
    <s v=""/>
    <s v=""/>
    <s v=""/>
    <s v=""/>
    <s v=""/>
    <s v=""/>
    <s v=""/>
    <s v=""/>
    <s v=""/>
    <s v=""/>
    <s v=""/>
    <s v=""/>
    <s v=""/>
    <s v=""/>
    <s v=""/>
    <s v=""/>
    <s v="Labor"/>
    <s v=""/>
    <s v=""/>
    <s v=""/>
    <s v="8300192900"/>
    <s v="PIER 21-24 UNIT 1 BATTERY"/>
    <s v="Upstream"/>
    <s v="1046"/>
    <s v=""/>
    <s v=""/>
    <s v=""/>
    <s v=""/>
    <s v=""/>
    <s v=""/>
    <s v=""/>
    <n v="1"/>
    <s v="EA"/>
    <n v="325"/>
    <s v=""/>
    <n v="325"/>
    <s v="--multiple--"/>
    <s v="703623"/>
    <d v="2025-10-12T15:48:54"/>
    <s v=""/>
    <s v=""/>
    <s v="Requisitioner Error | Requisitioner Error"/>
    <s v=""/>
  </r>
  <r>
    <s v="280009736"/>
    <s v="ChampionX LLC"/>
    <x v="4"/>
    <s v="Ishmel Mesta"/>
    <s v="Mason Rutledge"/>
    <s v="MULTIPLE - MONTHLY MONITORING - RENTAL (SOOFIE) - 7449"/>
    <s v="5051064"/>
    <s v="Upstream"/>
    <s v=""/>
    <s v="USD"/>
    <n v="7449"/>
    <s v="B2B"/>
    <s v="1"/>
    <s v="1171271"/>
    <s v="Monthly Rental Fee-SOOFIE"/>
    <s v=""/>
    <d v="2025-09-24T08:55:31"/>
    <d v="2025-09-01T00:00:00"/>
    <d v="2025-09-01T00:00:00"/>
    <s v=""/>
    <s v="COX 12-9 UNIT 1 BATTERY"/>
    <s v=""/>
    <s v=""/>
    <s v=""/>
    <s v=""/>
    <s v=""/>
    <s v=""/>
    <s v=""/>
    <s v=""/>
    <s v=""/>
    <s v=""/>
    <s v=""/>
    <s v=""/>
    <s v=""/>
    <s v=""/>
    <s v=""/>
    <s v=""/>
    <s v=""/>
    <s v=""/>
    <s v=""/>
    <s v=""/>
    <s v=""/>
    <s v=""/>
    <s v=""/>
    <s v=""/>
    <s v=""/>
    <s v=""/>
    <s v="8300091400"/>
    <s v="COX 12-9 UNIT 1 BATTERY"/>
    <s v="Upstream"/>
    <s v="1046"/>
    <s v=""/>
    <s v=""/>
    <s v=""/>
    <s v=""/>
    <s v=""/>
    <s v=""/>
    <s v="Other"/>
    <n v="4"/>
    <s v="EA"/>
    <n v="160"/>
    <s v=""/>
    <n v="640"/>
    <s v="--multiple--"/>
    <s v="711892"/>
    <d v="2025-10-10T13:15:21"/>
    <s v=""/>
    <s v=""/>
    <s v="Attachment Issue"/>
    <s v=""/>
  </r>
  <r>
    <s v="T-61437"/>
    <s v="ACH Services, LLC"/>
    <x v="9"/>
    <s v="Luis Figueroa"/>
    <s v="Jamie Willingham"/>
    <s v="Drove to location to haul loads of PW to disposal."/>
    <s v="5051054"/>
    <s v="Upstream"/>
    <s v=""/>
    <s v="USD"/>
    <n v="333"/>
    <s v="Direct Entry"/>
    <s v="1"/>
    <s v="Vacuum Truck"/>
    <s v="Vacuum Truck"/>
    <s v="Vacuum Truck Services"/>
    <d v="2025-10-02T12:51:55"/>
    <d v="2025-09-30T17:00:00"/>
    <d v="2025-09-30T19:30:00"/>
    <d v="1899-12-30T02:30:00"/>
    <s v="CARBON 12-13 BATTERY"/>
    <s v=""/>
    <s v=""/>
    <s v="-"/>
    <s v=""/>
    <s v=""/>
    <s v=""/>
    <s v=""/>
    <s v=""/>
    <s v=""/>
    <s v=""/>
    <s v=""/>
    <s v=""/>
    <s v=""/>
    <s v=""/>
    <s v=""/>
    <s v=""/>
    <s v=""/>
    <s v=""/>
    <s v=""/>
    <s v=""/>
    <n v="0"/>
    <s v="bbl"/>
    <s v=""/>
    <s v=""/>
    <s v=""/>
    <s v=""/>
    <s v="8300086400"/>
    <s v="CARBON 12-13 BATTERY"/>
    <s v="Upstream"/>
    <s v="1046"/>
    <s v=""/>
    <s v=""/>
    <s v=""/>
    <s v=""/>
    <s v=""/>
    <s v=""/>
    <s v="Hours Worked"/>
    <n v="2.5"/>
    <s v="hour"/>
    <n v="90"/>
    <s v=""/>
    <n v="225"/>
    <s v="Pricebook"/>
    <s v="712932"/>
    <d v="2025-10-02T12:54:45"/>
    <s v=""/>
    <s v=""/>
    <s v=""/>
    <s v=""/>
  </r>
  <r>
    <s v="5-117269"/>
    <s v="RK Supply"/>
    <x v="6"/>
    <s v="Ishmel Mesta"/>
    <s v="Mason Rutledge"/>
    <s v="Oilfield Parts and Supplies"/>
    <s v="5051028"/>
    <s v="Upstream"/>
    <s v=""/>
    <s v="USD"/>
    <n v="776.22"/>
    <s v="B2B"/>
    <s v="1"/>
    <s v="19517"/>
    <s v="B-12 AERO CHEMTOOL"/>
    <s v="MISC"/>
    <d v="2025-10-12T17:13:08"/>
    <d v="2025-09-30T12:00:00"/>
    <d v="2025-09-30T12:00:00"/>
    <s v=""/>
    <s v="DICKENSON 18-7 ESL PAD 1**028**"/>
    <s v=""/>
    <s v=""/>
    <s v=""/>
    <s v=""/>
    <s v=""/>
    <s v=""/>
    <s v=""/>
    <s v=""/>
    <s v=""/>
    <s v=""/>
    <s v=""/>
    <s v=""/>
    <s v=""/>
    <s v=""/>
    <s v=""/>
    <s v=""/>
    <s v=""/>
    <s v=""/>
    <s v=""/>
    <s v=""/>
    <s v=""/>
    <s v=""/>
    <s v="Material"/>
    <s v=""/>
    <s v=""/>
    <s v=""/>
    <s v="8300094500"/>
    <s v="DICKENSON 18-7 ESL PAD 1"/>
    <s v="Upstream"/>
    <s v="1046"/>
    <s v=""/>
    <s v=""/>
    <s v=""/>
    <s v=""/>
    <s v=""/>
    <s v=""/>
    <s v=""/>
    <n v="12"/>
    <s v="EA"/>
    <n v="3.72"/>
    <s v=""/>
    <n v="44.64"/>
    <s v="--multiple--"/>
    <s v="709232"/>
    <d v="2025-10-13T10:06:47"/>
    <s v=""/>
    <s v=""/>
    <s v=""/>
    <s v=""/>
  </r>
  <r>
    <s v="931228934"/>
    <s v="BORDER STATES ELECTRIC SUPPLY"/>
    <x v="9"/>
    <s v="Mauro Barraza"/>
    <s v="Jesse Melendez"/>
    <s v="ELECTRICAL SUPPLIES"/>
    <s v="5051017"/>
    <s v="Upstream"/>
    <s v=""/>
    <s v="USD"/>
    <n v="484.5"/>
    <s v="Direct Entry"/>
    <s v="1"/>
    <s v="1591977"/>
    <s v="2137157224 OPT ARR W/NEMA X-ARM 18KV"/>
    <s v=""/>
    <d v="2025-10-03T08:57:06"/>
    <d v="2025-10-02T00:00:00"/>
    <d v="2025-10-02T00:00:00"/>
    <s v=""/>
    <s v="RIO SABINE 39-42 BATTERY"/>
    <s v=""/>
    <s v=""/>
    <s v=""/>
    <s v=""/>
    <s v=""/>
    <s v=""/>
    <s v=""/>
    <s v=""/>
    <s v=""/>
    <s v=""/>
    <s v=""/>
    <s v=""/>
    <s v=""/>
    <s v=""/>
    <s v=""/>
    <s v=""/>
    <s v=""/>
    <s v=""/>
    <s v=""/>
    <s v=""/>
    <s v=""/>
    <s v=""/>
    <s v="Material"/>
    <s v=""/>
    <s v=""/>
    <s v=""/>
    <s v="8300147300"/>
    <s v="RIO SABINE 39-42 BATTERY"/>
    <s v="Upstream"/>
    <s v="1046"/>
    <s v=""/>
    <s v=""/>
    <s v=""/>
    <s v=""/>
    <s v=""/>
    <s v=""/>
    <s v=""/>
    <n v="3"/>
    <s v="EA"/>
    <n v="110.94"/>
    <s v=""/>
    <n v="332.82"/>
    <s v="--multiple--"/>
    <s v="703778"/>
    <d v="2025-10-03T08:59:22"/>
    <s v=""/>
    <s v=""/>
    <s v=""/>
    <s v=""/>
  </r>
  <r>
    <s v="211911"/>
    <s v="TANKLOGIX LLC"/>
    <x v="7"/>
    <s v="Michael Andrews"/>
    <s v="Dusty Gutierrez"/>
    <s v="Mabee WL 24-17 F 6WA, Michael Andrews, Automation"/>
    <s v="5051043"/>
    <s v="Upstream"/>
    <s v=""/>
    <s v="USD"/>
    <n v="338"/>
    <s v="Direct Entry"/>
    <s v="1"/>
    <s v=""/>
    <s v="Vehichle Expenses/Mileage"/>
    <s v=""/>
    <d v="2025-10-13T10:16:25"/>
    <d v="2025-09-12T16:00:00"/>
    <d v="2025-09-12T18:00:00"/>
    <s v=""/>
    <s v="Mabee WL 24-17 F 6WA"/>
    <s v=""/>
    <s v=""/>
    <s v=""/>
    <s v=""/>
    <s v=""/>
    <s v=""/>
    <s v=""/>
    <s v=""/>
    <s v=""/>
    <s v=""/>
    <s v=""/>
    <s v=""/>
    <s v=""/>
    <s v=""/>
    <s v=""/>
    <s v=""/>
    <s v=""/>
    <s v=""/>
    <s v=""/>
    <s v=""/>
    <s v=""/>
    <s v=""/>
    <s v="Labor"/>
    <s v=""/>
    <s v=""/>
    <s v=""/>
    <s v="1000737900"/>
    <s v="MABEE WL 24-17 F 6WA"/>
    <s v="Upstream"/>
    <s v="1046"/>
    <s v=""/>
    <s v=""/>
    <s v=""/>
    <s v=""/>
    <s v=""/>
    <s v=""/>
    <s v=""/>
    <n v="30"/>
    <s v="HR"/>
    <n v="2"/>
    <s v=""/>
    <n v="60"/>
    <s v="--multiple--"/>
    <s v="709725"/>
    <d v="2025-10-13T10:18:00"/>
    <s v=""/>
    <s v=""/>
    <s v=""/>
    <s v=""/>
  </r>
  <r>
    <s v="211913"/>
    <s v="TANKLOGIX LLC"/>
    <x v="7"/>
    <s v="Michael Andrews"/>
    <s v="Dusty Gutierrez"/>
    <s v="Mabee WL 24-17 F 6WA, Michael Andrews, Automation"/>
    <s v="5051043"/>
    <s v="Upstream"/>
    <s v=""/>
    <s v="USD"/>
    <n v="582.5"/>
    <s v="Direct Entry"/>
    <s v="1"/>
    <s v=""/>
    <s v="Vehichle Expenses/Mileage"/>
    <s v=""/>
    <d v="2025-10-13T10:13:01"/>
    <d v="2025-09-13T07:30:00"/>
    <d v="2025-09-13T11:00:00"/>
    <s v=""/>
    <s v="Mabee WL 24-17 F 6WA"/>
    <s v=""/>
    <s v=""/>
    <s v=""/>
    <s v=""/>
    <s v=""/>
    <s v=""/>
    <s v=""/>
    <s v=""/>
    <s v=""/>
    <s v=""/>
    <s v=""/>
    <s v=""/>
    <s v=""/>
    <s v=""/>
    <s v=""/>
    <s v=""/>
    <s v=""/>
    <s v=""/>
    <s v=""/>
    <s v=""/>
    <s v=""/>
    <s v=""/>
    <s v="Labor"/>
    <s v=""/>
    <s v=""/>
    <s v=""/>
    <s v="1000737900"/>
    <s v="MABEE WL 24-17 F 6WA"/>
    <s v="Upstream"/>
    <s v="1046"/>
    <s v=""/>
    <s v=""/>
    <s v=""/>
    <s v=""/>
    <s v=""/>
    <s v=""/>
    <s v=""/>
    <n v="48"/>
    <s v="HR"/>
    <n v="2"/>
    <s v=""/>
    <n v="96"/>
    <s v="--multiple--"/>
    <s v="709725"/>
    <d v="2025-10-13T10:14:35"/>
    <s v=""/>
    <s v=""/>
    <s v=""/>
    <s v=""/>
  </r>
  <r>
    <s v="213984"/>
    <s v="TANKLOGIX LLC"/>
    <x v="7"/>
    <s v="Michael Andrews"/>
    <s v="Dusty Gutierrez"/>
    <s v="University 6-48 1, Michael Andrews, Automation"/>
    <s v="5051043"/>
    <s v="Upstream"/>
    <s v=""/>
    <s v="USD"/>
    <n v="312.5"/>
    <s v="Direct Entry"/>
    <s v="1"/>
    <s v=""/>
    <s v="Vehichle Expenses/Mileage"/>
    <s v=""/>
    <d v="2025-10-13T09:54:09"/>
    <d v="2025-09-23T13:00:00"/>
    <d v="2025-09-23T14:30:00"/>
    <s v=""/>
    <s v="University 6-48 1"/>
    <s v=""/>
    <s v=""/>
    <s v=""/>
    <s v=""/>
    <s v=""/>
    <s v=""/>
    <s v=""/>
    <s v=""/>
    <s v=""/>
    <s v=""/>
    <s v=""/>
    <s v=""/>
    <s v=""/>
    <s v=""/>
    <s v=""/>
    <s v=""/>
    <s v=""/>
    <s v=""/>
    <s v=""/>
    <s v=""/>
    <s v=""/>
    <s v=""/>
    <s v="Labor"/>
    <s v=""/>
    <s v=""/>
    <s v=""/>
    <s v="1000599300"/>
    <s v="UNIVERSITY 6-48 1"/>
    <s v="Upstream"/>
    <s v="1046"/>
    <s v=""/>
    <s v=""/>
    <s v=""/>
    <s v=""/>
    <s v=""/>
    <s v=""/>
    <s v=""/>
    <n v="52"/>
    <s v="HR"/>
    <n v="2"/>
    <s v=""/>
    <n v="104"/>
    <s v="--multiple--"/>
    <s v="709725"/>
    <d v="2025-10-13T09:55:40"/>
    <s v=""/>
    <s v=""/>
    <s v=""/>
    <s v=""/>
  </r>
  <r>
    <s v="027881"/>
    <s v="Resilient Oilfield Services, LLC"/>
    <x v="10"/>
    <s v="Marc Davidson"/>
    <s v="Mark Vasquez"/>
    <s v="Dispatched to location. Hooked up to 1' valve on well to aide crane crew with excess fluids and pressure."/>
    <s v="5051057"/>
    <s v="Upstream"/>
    <s v=""/>
    <s v="USD"/>
    <n v="285"/>
    <s v="Direct Entry"/>
    <s v="1"/>
    <s v="1008"/>
    <s v="Vacuum Truck"/>
    <s v="Vacuum Truck"/>
    <d v="2025-10-02T18:45:13"/>
    <d v="2025-09-25T15:00:00"/>
    <d v="2025-09-25T18:00:00"/>
    <d v="1899-12-30T03:00:00"/>
    <s v="Blackfoot E 706WA"/>
    <s v=""/>
    <s v=""/>
    <s v="produced water"/>
    <s v=""/>
    <s v=""/>
    <s v=""/>
    <s v=""/>
    <s v=""/>
    <s v=""/>
    <s v=""/>
    <s v=""/>
    <s v=""/>
    <s v=""/>
    <s v=""/>
    <s v=""/>
    <s v=""/>
    <s v=""/>
    <s v=""/>
    <s v=""/>
    <s v=""/>
    <n v="120"/>
    <s v="bbl"/>
    <s v=""/>
    <s v=""/>
    <s v=""/>
    <s v=""/>
    <s v="1000280100"/>
    <s v="BLACKFOOT EAST D 706WA"/>
    <s v="Upstream"/>
    <s v="1046"/>
    <s v=""/>
    <s v=""/>
    <s v=""/>
    <s v=""/>
    <s v=""/>
    <s v=""/>
    <s v="Hours Worked"/>
    <n v="3"/>
    <s v="hour"/>
    <n v="95"/>
    <s v=""/>
    <n v="285"/>
    <s v="--multiple--"/>
    <s v="700874"/>
    <d v="2025-10-06T13:08:12"/>
    <s v=""/>
    <s v=""/>
    <s v=""/>
    <s v=""/>
  </r>
  <r>
    <s v="242163"/>
    <s v="Royal Oilfield Services LLC"/>
    <x v="9"/>
    <s v="Mark Glenn"/>
    <s v="Eric Smith"/>
    <s v="MG, hauled 240bbls of p/w from water tank on loc to pilot, 385 swd and ruger, chandler #1 swd. Royal Ticket #138892, 138893"/>
    <s v="5051054"/>
    <s v="Upstream"/>
    <s v=""/>
    <s v="USD"/>
    <n v="675"/>
    <s v="Direct Entry"/>
    <s v="1"/>
    <s v="100001"/>
    <s v="Vacuum Truck"/>
    <s v="Vacuum Truck"/>
    <d v="2025-09-30T11:08:32"/>
    <d v="2025-09-22T08:45:00"/>
    <d v="2025-09-22T14:15:00"/>
    <d v="1899-12-30T05:30:00"/>
    <s v="McRae Farms A Battery"/>
    <s v=""/>
    <s v=""/>
    <s v="produced water"/>
    <s v=""/>
    <s v=""/>
    <s v=""/>
    <s v=""/>
    <s v=""/>
    <s v=""/>
    <s v=""/>
    <s v=""/>
    <s v=""/>
    <s v=""/>
    <s v=""/>
    <s v=""/>
    <s v=""/>
    <s v=""/>
    <s v=""/>
    <s v=""/>
    <s v=""/>
    <n v="0"/>
    <s v="bbl"/>
    <s v=""/>
    <s v=""/>
    <s v=""/>
    <s v=""/>
    <s v="8000322600"/>
    <s v="MCRAE FARMS A BATTERY"/>
    <s v="Upstream"/>
    <s v="1046"/>
    <s v=""/>
    <s v=""/>
    <s v=""/>
    <s v=""/>
    <s v=""/>
    <s v=""/>
    <s v="Hours Worked"/>
    <n v="5.5"/>
    <s v="hour"/>
    <n v="90"/>
    <s v=""/>
    <n v="495"/>
    <s v="Pricebook"/>
    <s v="703639"/>
    <d v="2025-10-08T07:54:10"/>
    <s v=""/>
    <s v=""/>
    <s v=""/>
    <s v=""/>
  </r>
  <r>
    <s v="30281"/>
    <s v="Well Solutions LLC"/>
    <x v="4"/>
    <s v="Matthew Mitchell"/>
    <s v="Mason Rutledge"/>
    <s v="ESP FLUSH 70 BBL"/>
    <s v="5051057"/>
    <s v="Upstream"/>
    <s v="166889"/>
    <s v="USD"/>
    <n v="360.5"/>
    <s v="Direct Entry"/>
    <s v="1"/>
    <s v="10000020"/>
    <s v="Scheduled Program Hot Oil per BBL"/>
    <s v="Hot OIl"/>
    <d v="2025-10-09T13:50:44"/>
    <d v="2025-10-08T07:00:00"/>
    <d v="2025-10-08T09:30:00"/>
    <s v=""/>
    <s v=""/>
    <s v=""/>
    <s v=""/>
    <s v=""/>
    <s v=""/>
    <s v=""/>
    <s v=""/>
    <s v=""/>
    <s v=""/>
    <s v=""/>
    <s v=""/>
    <s v=""/>
    <s v=""/>
    <s v=""/>
    <s v=""/>
    <s v=""/>
    <s v=""/>
    <s v=""/>
    <s v=""/>
    <s v=""/>
    <s v=""/>
    <s v=""/>
    <s v=""/>
    <s v="Labor"/>
    <s v=""/>
    <s v=""/>
    <s v=""/>
    <s v="1001433100"/>
    <s v="DICKENSON 7-18 WEST 162"/>
    <s v="Upstream"/>
    <s v="1046"/>
    <s v=""/>
    <s v=""/>
    <s v=""/>
    <s v=""/>
    <s v=""/>
    <s v=""/>
    <s v=""/>
    <n v="70"/>
    <s v="BBL"/>
    <n v="5.15"/>
    <s v=""/>
    <n v="360.5"/>
    <s v="--multiple--"/>
    <s v="702744"/>
    <d v="2025-10-09T13:51:53"/>
    <s v=""/>
    <s v=""/>
    <s v=""/>
    <s v=""/>
  </r>
  <r>
    <s v="213985"/>
    <s v="TANKLOGIX LLC"/>
    <x v="7"/>
    <s v="Michael Andrews"/>
    <s v="Dusty Gutierrez"/>
    <s v="Jaguar H Battery, Michael Andrews, Automaiton"/>
    <s v="5051043"/>
    <s v="Upstream"/>
    <s v=""/>
    <s v="USD"/>
    <n v="757"/>
    <s v="Direct Entry"/>
    <s v="1"/>
    <s v=""/>
    <s v="Vehichle Expenses/Mileage"/>
    <s v=""/>
    <d v="2025-10-13T10:29:45"/>
    <d v="2025-09-24T07:00:00"/>
    <d v="2025-09-24T12:00:00"/>
    <s v=""/>
    <s v="Jaguar H Battery"/>
    <s v=""/>
    <s v=""/>
    <s v=""/>
    <s v=""/>
    <s v=""/>
    <s v=""/>
    <s v=""/>
    <s v=""/>
    <s v=""/>
    <s v=""/>
    <s v=""/>
    <s v=""/>
    <s v=""/>
    <s v=""/>
    <s v=""/>
    <s v=""/>
    <s v=""/>
    <s v=""/>
    <s v=""/>
    <s v=""/>
    <s v=""/>
    <s v=""/>
    <s v="Labor"/>
    <s v=""/>
    <s v=""/>
    <s v=""/>
    <s v="8000040400"/>
    <s v="JAGUAR H BATTERY"/>
    <s v="Upstream"/>
    <s v="1046"/>
    <s v=""/>
    <s v=""/>
    <s v=""/>
    <s v=""/>
    <s v=""/>
    <s v=""/>
    <s v=""/>
    <n v="31"/>
    <s v="HR"/>
    <n v="2"/>
    <s v=""/>
    <n v="62"/>
    <s v="--multiple--"/>
    <s v="709725"/>
    <d v="2025-10-13T10:31:41"/>
    <s v=""/>
    <s v=""/>
    <s v=""/>
    <s v=""/>
  </r>
  <r>
    <s v="213989"/>
    <s v="TANKLOGIX LLC"/>
    <x v="7"/>
    <s v="Michael Andrews"/>
    <s v="Dusty Gutierrez"/>
    <s v="University 6-48 1, Michael Andrews, Automation"/>
    <s v="5051043"/>
    <s v="Upstream"/>
    <s v=""/>
    <s v="USD"/>
    <n v="548.5"/>
    <s v="Direct Entry"/>
    <s v="1"/>
    <s v=""/>
    <s v="Vehichle Expenses/Mileage"/>
    <s v=""/>
    <d v="2025-10-13T12:00:16"/>
    <d v="2025-09-24T13:30:00"/>
    <d v="2025-09-24T17:00:00"/>
    <s v=""/>
    <s v="University 6-48 1"/>
    <s v=""/>
    <s v=""/>
    <s v=""/>
    <s v=""/>
    <s v=""/>
    <s v=""/>
    <s v=""/>
    <s v=""/>
    <s v=""/>
    <s v=""/>
    <s v=""/>
    <s v=""/>
    <s v=""/>
    <s v=""/>
    <s v=""/>
    <s v=""/>
    <s v=""/>
    <s v=""/>
    <s v=""/>
    <s v=""/>
    <s v=""/>
    <s v=""/>
    <s v="Labor"/>
    <s v=""/>
    <s v=""/>
    <s v=""/>
    <s v="1000599300"/>
    <s v="UNIVERSITY 6-48 1"/>
    <s v="Upstream"/>
    <s v="1046"/>
    <s v=""/>
    <s v=""/>
    <s v=""/>
    <s v=""/>
    <s v=""/>
    <s v=""/>
    <s v=""/>
    <n v="31"/>
    <s v="HR"/>
    <n v="2"/>
    <s v=""/>
    <n v="62"/>
    <s v="--multiple--"/>
    <s v="709725"/>
    <d v="2025-10-13T12:02:12"/>
    <s v=""/>
    <s v=""/>
    <s v=""/>
    <s v=""/>
  </r>
  <r>
    <s v="213990"/>
    <s v="TANKLOGIX LLC"/>
    <x v="7"/>
    <s v="Michael Andrews"/>
    <s v="Dusty Gutierrez"/>
    <s v="Martin Brown, Michael Andrews, Automation"/>
    <s v="5051043"/>
    <s v="Upstream"/>
    <s v=""/>
    <s v="USD"/>
    <n v="884.5"/>
    <s v="Direct Entry"/>
    <s v="1"/>
    <s v=""/>
    <s v="Vehichle Expenses/Mileage"/>
    <s v=""/>
    <d v="2025-10-13T12:38:21"/>
    <d v="2025-09-25T07:30:00"/>
    <d v="2025-09-25T13:00:00"/>
    <s v=""/>
    <s v="Martin Brown"/>
    <s v=""/>
    <s v=""/>
    <s v=""/>
    <s v=""/>
    <s v=""/>
    <s v=""/>
    <s v=""/>
    <s v=""/>
    <s v=""/>
    <s v=""/>
    <s v=""/>
    <s v=""/>
    <s v=""/>
    <s v=""/>
    <s v=""/>
    <s v=""/>
    <s v=""/>
    <s v=""/>
    <s v=""/>
    <s v=""/>
    <s v=""/>
    <s v=""/>
    <s v="Labor"/>
    <s v=""/>
    <s v=""/>
    <s v=""/>
    <s v="8000042300"/>
    <s v="BROWN &amp; MARTIN H BATTERY"/>
    <s v="Upstream"/>
    <s v="1046"/>
    <s v=""/>
    <s v=""/>
    <s v=""/>
    <s v=""/>
    <s v=""/>
    <s v=""/>
    <s v=""/>
    <n v="60"/>
    <s v="HR"/>
    <n v="2"/>
    <s v=""/>
    <n v="120"/>
    <s v="--multiple--"/>
    <s v="709725"/>
    <d v="2025-10-13T12:40:11"/>
    <s v=""/>
    <s v=""/>
    <s v=""/>
    <s v=""/>
  </r>
  <r>
    <s v="25093540"/>
    <s v="Lone Star Instrumentation &amp; Electric Corp"/>
    <x v="1"/>
    <s v="Michael Andrews"/>
    <s v="Dusty Gutierrez"/>
    <s v="WORK DESCRIPTION: Drove to location turned off unit verified no power disconnected wire for crank_x000d__x000a_sensor removed crank sensor wire from unit replaced crank sensor wire attached wire to unit ran wire into jbox terminated connections verified everything was working properly found unit going down on minimum load notified company man he was going to get a LO to location standby wainting for LO assisted LO in setting parameters and checking unit left unit running on auto"/>
    <s v="5051044"/>
    <s v="Upstream"/>
    <s v=""/>
    <s v="USD"/>
    <n v="620"/>
    <s v="B2B"/>
    <s v="1"/>
    <s v="Apprentice Electrician"/>
    <s v="Apprentice Electrician"/>
    <s v=""/>
    <d v="2025-10-03T08:59:49"/>
    <d v="2025-09-25T11:00:00"/>
    <d v="2025-09-25T15:00:00"/>
    <s v=""/>
    <s v="UL CARNIOLAN 7-49 H 4LS"/>
    <s v=""/>
    <s v=""/>
    <s v=""/>
    <s v=""/>
    <s v=""/>
    <s v=""/>
    <s v=""/>
    <s v=""/>
    <s v=""/>
    <s v=""/>
    <s v=""/>
    <s v=""/>
    <s v=""/>
    <s v=""/>
    <s v=""/>
    <s v=""/>
    <s v=""/>
    <s v=""/>
    <s v=""/>
    <s v=""/>
    <s v=""/>
    <s v=""/>
    <s v="Labor"/>
    <s v=""/>
    <s v=""/>
    <s v=""/>
    <s v="1000424400"/>
    <s v="UL CARNIOLAN 7-49 H 4LS"/>
    <s v="Upstream"/>
    <s v="1046"/>
    <s v=""/>
    <s v=""/>
    <s v=""/>
    <s v=""/>
    <s v=""/>
    <s v=""/>
    <s v=""/>
    <n v="4"/>
    <s v="HR"/>
    <n v="48"/>
    <s v=""/>
    <n v="192"/>
    <s v="--multiple--"/>
    <s v="708305"/>
    <d v="2025-10-08T08:36:53"/>
    <s v=""/>
    <s v=""/>
    <s v=""/>
    <s v=""/>
  </r>
  <r>
    <s v="213991"/>
    <s v="TANKLOGIX LLC"/>
    <x v="7"/>
    <s v="Michael Andrews"/>
    <s v="Dusty Gutierrez"/>
    <s v="Jaguar H Battery, Michael Andrews, Automation"/>
    <s v="5051043"/>
    <s v="Upstream"/>
    <s v=""/>
    <s v="USD"/>
    <n v="954"/>
    <s v="Direct Entry"/>
    <s v="1"/>
    <s v=""/>
    <s v="Vehichle Expenses/Mileage"/>
    <s v=""/>
    <d v="2025-10-13T10:38:58"/>
    <d v="2025-09-25T13:00:00"/>
    <d v="2025-09-25T19:00:00"/>
    <s v=""/>
    <s v="Jaguar H Battery"/>
    <s v=""/>
    <s v=""/>
    <s v=""/>
    <s v=""/>
    <s v=""/>
    <s v=""/>
    <s v=""/>
    <s v=""/>
    <s v=""/>
    <s v=""/>
    <s v=""/>
    <s v=""/>
    <s v=""/>
    <s v=""/>
    <s v=""/>
    <s v=""/>
    <s v=""/>
    <s v=""/>
    <s v=""/>
    <s v=""/>
    <s v=""/>
    <s v=""/>
    <s v="Labor"/>
    <s v=""/>
    <s v=""/>
    <s v=""/>
    <s v="8000040400"/>
    <s v="JAGUAR H BATTERY"/>
    <s v="Upstream"/>
    <s v="1046"/>
    <s v=""/>
    <s v=""/>
    <s v=""/>
    <s v=""/>
    <s v=""/>
    <s v=""/>
    <s v=""/>
    <n v="60"/>
    <s v="HR"/>
    <n v="2"/>
    <s v=""/>
    <n v="120"/>
    <s v="--multiple--"/>
    <s v="709725"/>
    <d v="2025-10-13T10:40:23"/>
    <s v=""/>
    <s v=""/>
    <s v=""/>
    <s v=""/>
  </r>
  <r>
    <s v="213993"/>
    <s v="TANKLOGIX LLC"/>
    <x v="7"/>
    <s v="Michael Andrews"/>
    <s v="Dusty Gutierrez"/>
    <s v="UL Leafcutter A 1LS, Michael Andrews, Automation"/>
    <s v="5051043"/>
    <s v="Upstream"/>
    <s v=""/>
    <s v="USD"/>
    <n v="497"/>
    <s v="Direct Entry"/>
    <s v="1"/>
    <s v=""/>
    <s v="Vehichle Expenses/Mileage"/>
    <s v=""/>
    <d v="2025-10-13T12:19:03"/>
    <d v="2025-09-26T07:00:00"/>
    <d v="2025-09-26T10:00:00"/>
    <s v=""/>
    <s v="UL Leafcutter A 1LS"/>
    <s v=""/>
    <s v=""/>
    <s v=""/>
    <s v=""/>
    <s v=""/>
    <s v=""/>
    <s v=""/>
    <s v=""/>
    <s v=""/>
    <s v=""/>
    <s v=""/>
    <s v=""/>
    <s v=""/>
    <s v=""/>
    <s v=""/>
    <s v=""/>
    <s v=""/>
    <s v=""/>
    <s v=""/>
    <s v=""/>
    <s v=""/>
    <s v=""/>
    <s v="Labor"/>
    <s v=""/>
    <s v=""/>
    <s v=""/>
    <s v="1000478900"/>
    <s v="UL LEAFCUTTER A 1LS"/>
    <s v="Upstream"/>
    <s v="1046"/>
    <s v=""/>
    <s v=""/>
    <s v=""/>
    <s v=""/>
    <s v=""/>
    <s v=""/>
    <s v=""/>
    <n v="40"/>
    <s v="HR"/>
    <n v="2"/>
    <s v=""/>
    <n v="80"/>
    <s v="--multiple--"/>
    <s v="709725"/>
    <d v="2025-10-13T12:21:44"/>
    <s v=""/>
    <s v=""/>
    <s v=""/>
    <s v=""/>
  </r>
  <r>
    <s v="213995"/>
    <s v="TANKLOGIX LLC"/>
    <x v="7"/>
    <s v="Michael Andrews"/>
    <s v="Dusty Gutierrez"/>
    <s v="UL Comanche Unit A4144 6, Michael Andrews, Automation"/>
    <s v="5051043"/>
    <s v="Upstream"/>
    <s v=""/>
    <s v="USD"/>
    <n v="636"/>
    <s v="Direct Entry"/>
    <s v="1"/>
    <s v=""/>
    <s v="Vehichle Expenses/Mileage"/>
    <s v=""/>
    <d v="2025-10-13T10:05:06"/>
    <d v="2025-09-26T10:00:00"/>
    <d v="2025-09-26T14:00:00"/>
    <s v=""/>
    <s v="UL Comanche Unit A4144 6"/>
    <s v=""/>
    <s v=""/>
    <s v=""/>
    <s v=""/>
    <s v=""/>
    <s v=""/>
    <s v=""/>
    <s v=""/>
    <s v=""/>
    <s v=""/>
    <s v=""/>
    <s v=""/>
    <s v=""/>
    <s v=""/>
    <s v=""/>
    <s v=""/>
    <s v=""/>
    <s v=""/>
    <s v=""/>
    <s v=""/>
    <s v=""/>
    <s v=""/>
    <s v="Labor"/>
    <s v=""/>
    <s v=""/>
    <s v=""/>
    <s v="1000588800"/>
    <s v="UL COMANCHE UNIT A4144 6"/>
    <s v="Upstream"/>
    <s v="1046"/>
    <s v=""/>
    <s v=""/>
    <s v=""/>
    <s v=""/>
    <s v=""/>
    <s v=""/>
    <s v=""/>
    <n v="40"/>
    <s v="HR"/>
    <n v="2"/>
    <s v=""/>
    <n v="80"/>
    <s v="--multiple--"/>
    <s v="709725"/>
    <d v="2025-10-13T10:06:36"/>
    <s v=""/>
    <s v=""/>
    <s v=""/>
    <s v=""/>
  </r>
  <r>
    <s v="44759"/>
    <s v="CentriPump, Inc."/>
    <x v="6"/>
    <s v="Jeremy Woods"/>
    <s v="Mason Rutledge"/>
    <s v="repair WTP"/>
    <s v="5051049"/>
    <s v="Upstream"/>
    <s v="162058"/>
    <s v="USD"/>
    <n v="3230.5"/>
    <s v="Direct Entry"/>
    <s v="2"/>
    <s v="Misc Material"/>
    <s v="Cartridge seal"/>
    <s v=""/>
    <d v="2025-10-13T11:37:28"/>
    <d v="2025-09-17T00:00:00"/>
    <d v="2025-09-17T00:00:00"/>
    <s v=""/>
    <s v=""/>
    <s v=""/>
    <s v=""/>
    <s v=""/>
    <s v=""/>
    <s v=""/>
    <s v=""/>
    <s v=""/>
    <s v=""/>
    <s v=""/>
    <s v=""/>
    <s v=""/>
    <s v=""/>
    <s v=""/>
    <s v=""/>
    <s v=""/>
    <s v=""/>
    <s v=""/>
    <s v=""/>
    <s v=""/>
    <s v=""/>
    <s v=""/>
    <s v=""/>
    <s v="Material"/>
    <s v=""/>
    <s v=""/>
    <s v=""/>
    <s v="8300116700"/>
    <s v="KENTEX 23 BATTERY"/>
    <s v="Upstream"/>
    <s v="1046"/>
    <s v=""/>
    <s v=""/>
    <s v=""/>
    <s v=""/>
    <s v=""/>
    <s v=""/>
    <s v=""/>
    <n v="1"/>
    <s v="EA"/>
    <n v="1050"/>
    <s v=""/>
    <n v="1050"/>
    <s v="E-Maintenance"/>
    <s v="705462"/>
    <d v="2025-10-13T11:41:12"/>
    <s v=""/>
    <s v=""/>
    <s v=""/>
    <s v=""/>
  </r>
  <r>
    <s v="202544733"/>
    <s v="AM Fabrication Inc"/>
    <x v="4"/>
    <s v="Jeremy Woods"/>
    <s v="Mason Rutledge"/>
    <s v="Shut off power isolation of unit check oil level change oil filter left on auto"/>
    <s v="5051064"/>
    <s v="Upstream"/>
    <s v="164171"/>
    <s v="USD"/>
    <n v="374.98"/>
    <s v="Direct Entry"/>
    <s v="1"/>
    <s v="1236"/>
    <s v="Diamondback PM VRU"/>
    <s v="Stock item"/>
    <d v="2025-10-09T08:42:35"/>
    <d v="2025-10-01T13:30:00"/>
    <d v="2025-10-01T15:30:00"/>
    <s v=""/>
    <s v="ANACONDA 5-4"/>
    <s v=""/>
    <s v=""/>
    <s v=""/>
    <s v=""/>
    <s v=""/>
    <s v=""/>
    <s v=""/>
    <s v=""/>
    <s v=""/>
    <s v=""/>
    <s v=""/>
    <s v=""/>
    <s v=""/>
    <s v=""/>
    <s v=""/>
    <s v=""/>
    <s v=""/>
    <s v=""/>
    <s v=""/>
    <s v=""/>
    <s v=""/>
    <s v=""/>
    <s v="Labor"/>
    <s v=""/>
    <s v=""/>
    <s v=""/>
    <s v="8300077400"/>
    <s v="ANACONDA 5-4 BATTERY"/>
    <s v="Upstream"/>
    <s v="1046"/>
    <s v=""/>
    <s v=""/>
    <s v=""/>
    <s v=""/>
    <s v=""/>
    <s v=""/>
    <s v=""/>
    <n v="1"/>
    <s v="EA"/>
    <n v="325"/>
    <s v=""/>
    <n v="325"/>
    <s v="--multiple--"/>
    <s v="703623"/>
    <d v="2025-10-09T08:43:49"/>
    <s v=""/>
    <s v=""/>
    <s v=""/>
    <s v=""/>
  </r>
  <r>
    <s v="202544734"/>
    <s v="AM Fabrication Inc"/>
    <x v="4"/>
    <s v="Jeremy Woods"/>
    <s v="Mason Rutledge"/>
    <s v="Shut off power isolation of unit add oil to comp change oil filter left on auto"/>
    <s v="5051064"/>
    <s v="Upstream"/>
    <s v="164171"/>
    <s v="USD"/>
    <n v="509.89"/>
    <s v="Direct Entry"/>
    <s v="1"/>
    <s v="1236"/>
    <s v="Diamondback PM VRU"/>
    <s v="Stock item"/>
    <d v="2025-10-09T08:49:33"/>
    <d v="2025-10-01T15:30:00"/>
    <d v="2025-10-01T16:30:00"/>
    <s v=""/>
    <s v="ANACONDA 5-4"/>
    <s v=""/>
    <s v=""/>
    <s v=""/>
    <s v=""/>
    <s v=""/>
    <s v=""/>
    <s v=""/>
    <s v=""/>
    <s v=""/>
    <s v=""/>
    <s v=""/>
    <s v=""/>
    <s v=""/>
    <s v=""/>
    <s v=""/>
    <s v=""/>
    <s v=""/>
    <s v=""/>
    <s v=""/>
    <s v=""/>
    <s v=""/>
    <s v=""/>
    <s v="Labor"/>
    <s v=""/>
    <s v=""/>
    <s v=""/>
    <s v="8300077400"/>
    <s v="ANACONDA 5-4 BATTERY"/>
    <s v="Upstream"/>
    <s v="1046"/>
    <s v=""/>
    <s v=""/>
    <s v=""/>
    <s v=""/>
    <s v=""/>
    <s v=""/>
    <s v=""/>
    <n v="1"/>
    <s v="EA"/>
    <n v="325"/>
    <s v=""/>
    <n v="325"/>
    <s v="--multiple--"/>
    <s v="703623"/>
    <d v="2025-10-09T08:51:51"/>
    <s v=""/>
    <s v=""/>
    <s v=""/>
    <s v=""/>
  </r>
  <r>
    <s v="202544737"/>
    <s v="AM Fabrication Inc"/>
    <x v="4"/>
    <s v="Jeremy Woods"/>
    <s v="Mason Rutledge"/>
    <s v="Shut off power isolation of unit add oil to comp change oil filter left on auto"/>
    <s v="5051064"/>
    <s v="Upstream"/>
    <s v="164171"/>
    <s v="USD"/>
    <n v="509.89"/>
    <s v="Direct Entry"/>
    <s v="1"/>
    <s v="1236"/>
    <s v="Diamondback PM VRU"/>
    <s v="Stock item"/>
    <d v="2025-10-09T08:57:54"/>
    <d v="2025-10-01T16:30:00"/>
    <d v="2025-10-01T17:30:00"/>
    <s v=""/>
    <s v="ANACONDA 5-4"/>
    <s v=""/>
    <s v=""/>
    <s v=""/>
    <s v=""/>
    <s v=""/>
    <s v=""/>
    <s v=""/>
    <s v=""/>
    <s v=""/>
    <s v=""/>
    <s v=""/>
    <s v=""/>
    <s v=""/>
    <s v=""/>
    <s v=""/>
    <s v=""/>
    <s v=""/>
    <s v=""/>
    <s v=""/>
    <s v=""/>
    <s v=""/>
    <s v=""/>
    <s v="Labor"/>
    <s v=""/>
    <s v=""/>
    <s v=""/>
    <s v="8300077400"/>
    <s v="ANACONDA 5-4 BATTERY"/>
    <s v="Upstream"/>
    <s v="1046"/>
    <s v=""/>
    <s v=""/>
    <s v=""/>
    <s v=""/>
    <s v=""/>
    <s v=""/>
    <s v=""/>
    <n v="1"/>
    <s v="EA"/>
    <n v="325"/>
    <s v=""/>
    <n v="325"/>
    <s v="--multiple--"/>
    <s v="703623"/>
    <d v="2025-10-09T09:00:16"/>
    <s v=""/>
    <s v=""/>
    <s v=""/>
    <s v=""/>
  </r>
  <r>
    <s v="202544741"/>
    <s v="AM Fabrication Inc"/>
    <x v="4"/>
    <s v="Jeremy Woods"/>
    <s v="Mason Rutledge"/>
    <s v="Shut off power isolation of unit drain and fill with oil change oil filter left on auto"/>
    <s v="5051064"/>
    <s v="Upstream"/>
    <s v="164171"/>
    <s v="USD"/>
    <n v="599.83000000000004"/>
    <s v="Direct Entry"/>
    <s v="1"/>
    <s v="1236"/>
    <s v="Diamondback PM VRU"/>
    <s v="Stock item"/>
    <d v="2025-10-09T09:09:12"/>
    <d v="2025-10-01T17:30:00"/>
    <d v="2025-10-01T20:00:00"/>
    <s v=""/>
    <s v="ANACONDA 5-4"/>
    <s v=""/>
    <s v=""/>
    <s v=""/>
    <s v=""/>
    <s v=""/>
    <s v=""/>
    <s v=""/>
    <s v=""/>
    <s v=""/>
    <s v=""/>
    <s v=""/>
    <s v=""/>
    <s v=""/>
    <s v=""/>
    <s v=""/>
    <s v=""/>
    <s v=""/>
    <s v=""/>
    <s v=""/>
    <s v=""/>
    <s v=""/>
    <s v=""/>
    <s v="Labor"/>
    <s v=""/>
    <s v=""/>
    <s v=""/>
    <s v="8300077400"/>
    <s v="ANACONDA 5-4 BATTERY"/>
    <s v="Upstream"/>
    <s v="1046"/>
    <s v=""/>
    <s v=""/>
    <s v=""/>
    <s v=""/>
    <s v=""/>
    <s v=""/>
    <s v=""/>
    <n v="1"/>
    <s v="EA"/>
    <n v="325"/>
    <s v=""/>
    <n v="325"/>
    <s v="--multiple--"/>
    <s v="703623"/>
    <d v="2025-10-09T09:10:58"/>
    <s v=""/>
    <s v=""/>
    <s v=""/>
    <s v=""/>
  </r>
  <r>
    <s v="202544799"/>
    <s v="AM Fabrication Inc"/>
    <x v="6"/>
    <s v="Jeremy Woods"/>
    <s v="Mason Rutledge"/>
    <s v="Shut off power isolation of unit check oil level change oil filter left on auto"/>
    <s v="5051064"/>
    <s v="Upstream"/>
    <s v="164452"/>
    <s v="USD"/>
    <n v="374.98"/>
    <s v="Direct Entry"/>
    <s v="1"/>
    <s v="1236"/>
    <s v="Diamondback PM VRU"/>
    <s v="Stock item"/>
    <d v="2025-10-09T15:58:07"/>
    <d v="2025-10-02T18:00:00"/>
    <d v="2025-10-02T20:00:00"/>
    <s v=""/>
    <s v="PIER 21-24 UNIT 1"/>
    <s v=""/>
    <s v=""/>
    <s v=""/>
    <s v=""/>
    <s v=""/>
    <s v=""/>
    <s v=""/>
    <s v=""/>
    <s v=""/>
    <s v=""/>
    <s v=""/>
    <s v=""/>
    <s v=""/>
    <s v=""/>
    <s v=""/>
    <s v=""/>
    <s v=""/>
    <s v=""/>
    <s v=""/>
    <s v=""/>
    <s v=""/>
    <s v=""/>
    <s v="Labor"/>
    <s v=""/>
    <s v=""/>
    <s v=""/>
    <s v="8300192900"/>
    <s v="PIER 21-24 UNIT 1 BATTERY"/>
    <s v="Upstream"/>
    <s v="1046"/>
    <s v=""/>
    <s v=""/>
    <s v=""/>
    <s v=""/>
    <s v=""/>
    <s v=""/>
    <s v=""/>
    <n v="1"/>
    <s v="EA"/>
    <n v="325"/>
    <s v=""/>
    <n v="325"/>
    <s v="--multiple--"/>
    <s v="703623"/>
    <d v="2025-10-12T15:51:19"/>
    <s v=""/>
    <s v=""/>
    <s v="Requisitioner Error | Requisitioner Error"/>
    <s v=""/>
  </r>
  <r>
    <s v="202544800"/>
    <s v="AM Fabrication Inc"/>
    <x v="3"/>
    <s v="Jeremy Woods"/>
    <s v="Mason Rutledge"/>
    <s v="Shut off power isolation of unit change oil filter add oil to comp reset pump overload Ran unit test pump left on_x000a_auto"/>
    <s v="5051064"/>
    <s v="Upstream"/>
    <s v="164131"/>
    <s v="USD"/>
    <n v="625.27"/>
    <s v="Direct Entry"/>
    <s v="1"/>
    <s v="1236"/>
    <s v="Diamondback PM VRU"/>
    <s v="Stock item"/>
    <d v="2025-10-10T13:58:03"/>
    <d v="2025-10-03T09:00:00"/>
    <d v="2025-10-03T11:30:00"/>
    <s v=""/>
    <s v="CHEST THUMPER 1-5 (1)"/>
    <s v=""/>
    <s v=""/>
    <s v=""/>
    <s v=""/>
    <s v=""/>
    <s v=""/>
    <s v=""/>
    <s v=""/>
    <s v=""/>
    <s v=""/>
    <s v=""/>
    <s v=""/>
    <s v=""/>
    <s v=""/>
    <s v=""/>
    <s v=""/>
    <s v=""/>
    <s v=""/>
    <s v=""/>
    <s v=""/>
    <s v=""/>
    <s v=""/>
    <s v="Labor"/>
    <s v=""/>
    <s v=""/>
    <s v=""/>
    <s v="8300088100"/>
    <s v="CHEST THUMPER 1-5 BATTERY"/>
    <s v="Upstream"/>
    <s v="1046"/>
    <s v=""/>
    <s v=""/>
    <s v=""/>
    <s v=""/>
    <s v=""/>
    <s v=""/>
    <s v=""/>
    <n v="1"/>
    <s v=""/>
    <n v="325"/>
    <s v=""/>
    <n v="325"/>
    <s v="--multiple--"/>
    <s v="703623"/>
    <d v="2025-10-10T13:59:58"/>
    <s v=""/>
    <s v=""/>
    <s v=""/>
    <s v=""/>
  </r>
  <r>
    <s v="202544801"/>
    <s v="AM Fabrication Inc"/>
    <x v="3"/>
    <s v="Jeremy Woods"/>
    <s v="Mason Rutledge"/>
    <s v="Shut off power isolation of unit add oil to comp change oil filter left on auto"/>
    <s v="5051064"/>
    <s v="Upstream"/>
    <s v="164131"/>
    <s v="USD"/>
    <n v="625.27"/>
    <s v="Direct Entry"/>
    <s v="1"/>
    <s v="1236"/>
    <s v="Diamondback PM VRU"/>
    <s v="Stock item"/>
    <d v="2025-10-10T14:00:36"/>
    <d v="2025-10-03T11:30:00"/>
    <d v="2025-10-03T12:30:00"/>
    <s v=""/>
    <s v="CHEST THUMPER 1-5 (1)"/>
    <s v=""/>
    <s v=""/>
    <s v=""/>
    <s v=""/>
    <s v=""/>
    <s v=""/>
    <s v=""/>
    <s v=""/>
    <s v=""/>
    <s v=""/>
    <s v=""/>
    <s v=""/>
    <s v=""/>
    <s v=""/>
    <s v=""/>
    <s v=""/>
    <s v=""/>
    <s v=""/>
    <s v=""/>
    <s v=""/>
    <s v=""/>
    <s v=""/>
    <s v="Labor"/>
    <s v=""/>
    <s v=""/>
    <s v=""/>
    <s v="8300088100"/>
    <s v="CHEST THUMPER 1-5 BATTERY"/>
    <s v="Upstream"/>
    <s v="1046"/>
    <s v=""/>
    <s v=""/>
    <s v=""/>
    <s v=""/>
    <s v=""/>
    <s v=""/>
    <s v=""/>
    <n v="1"/>
    <s v="EA"/>
    <n v="325"/>
    <s v=""/>
    <n v="325"/>
    <s v="--multiple--"/>
    <s v="703623"/>
    <d v="2025-10-10T14:02:50"/>
    <s v=""/>
    <s v=""/>
    <s v=""/>
    <s v=""/>
  </r>
  <r>
    <s v="202544802"/>
    <s v="AM Fabrication Inc"/>
    <x v="3"/>
    <s v="Jeremy Woods"/>
    <s v="Mason Rutledge"/>
    <s v="Shut off power isolation of unit change oil filter add oil to comp reset pump overload Ran unit test pump left on_x000a_auto"/>
    <s v="5051064"/>
    <s v="Upstream"/>
    <s v="164131"/>
    <s v="USD"/>
    <n v="580.29999999999995"/>
    <s v="Direct Entry"/>
    <s v="1"/>
    <s v="1236"/>
    <s v="Diamondback PM VRU"/>
    <s v="Stock item"/>
    <d v="2025-10-10T14:06:00"/>
    <d v="2025-10-03T12:30:00"/>
    <d v="2025-10-03T13:30:00"/>
    <s v=""/>
    <s v="CHEST THUMPER 1-5 (1)"/>
    <s v=""/>
    <s v=""/>
    <s v=""/>
    <s v=""/>
    <s v=""/>
    <s v=""/>
    <s v=""/>
    <s v=""/>
    <s v=""/>
    <s v=""/>
    <s v=""/>
    <s v=""/>
    <s v=""/>
    <s v=""/>
    <s v=""/>
    <s v=""/>
    <s v=""/>
    <s v=""/>
    <s v=""/>
    <s v=""/>
    <s v=""/>
    <s v=""/>
    <s v="Labor"/>
    <s v=""/>
    <s v=""/>
    <s v=""/>
    <s v="8300088100"/>
    <s v="CHEST THUMPER 1-5 BATTERY"/>
    <s v="Upstream"/>
    <s v="1046"/>
    <s v=""/>
    <s v=""/>
    <s v=""/>
    <s v=""/>
    <s v=""/>
    <s v=""/>
    <s v=""/>
    <n v="1"/>
    <s v="EA"/>
    <n v="325"/>
    <s v=""/>
    <n v="325"/>
    <s v="--multiple--"/>
    <s v="703623"/>
    <d v="2025-10-10T14:08:00"/>
    <s v=""/>
    <s v=""/>
    <s v=""/>
    <s v=""/>
  </r>
  <r>
    <s v="395907"/>
    <s v="Tommy White Supply Company, Inc."/>
    <x v="4"/>
    <s v="Joshua Eilenberger"/>
    <s v="Mason Rutledge"/>
    <s v="ROD LINER - GREASE"/>
    <s v="5051035"/>
    <s v="Upstream"/>
    <s v="166395"/>
    <s v="USD"/>
    <n v="459.15"/>
    <s v="Direct Entry"/>
    <s v="1"/>
    <s v="20-405K210"/>
    <s v="1-1/4 x 1-1/2 X 10'POLISH ROD LINER"/>
    <s v="PONY RODS PUP JTS"/>
    <d v="2025-10-09T11:01:15"/>
    <d v="2025-09-26T00:00:00"/>
    <d v="2025-09-26T00:00:00"/>
    <s v=""/>
    <s v="STANFIELD -B- 1"/>
    <s v=""/>
    <s v=""/>
    <s v=""/>
    <s v=""/>
    <s v=""/>
    <s v=""/>
    <s v=""/>
    <s v=""/>
    <s v=""/>
    <s v=""/>
    <s v=""/>
    <s v=""/>
    <s v=""/>
    <s v=""/>
    <s v=""/>
    <s v=""/>
    <s v=""/>
    <s v=""/>
    <s v=""/>
    <s v=""/>
    <s v=""/>
    <s v=""/>
    <s v="Material"/>
    <s v=""/>
    <s v=""/>
    <s v=""/>
    <s v="1001746600"/>
    <s v="STANFIELD -B- 1"/>
    <s v="Upstream"/>
    <s v="1046"/>
    <s v=""/>
    <s v=""/>
    <s v=""/>
    <s v=""/>
    <s v=""/>
    <s v=""/>
    <s v=""/>
    <n v="1"/>
    <s v="EA"/>
    <n v="453.6"/>
    <s v=""/>
    <n v="453.6"/>
    <s v=""/>
    <s v="706526"/>
    <d v="2025-10-09T11:03:13"/>
    <s v=""/>
    <s v=""/>
    <s v=""/>
    <s v=""/>
  </r>
  <r>
    <s v="395690C"/>
    <s v="Tommy White Supply Company, Inc."/>
    <x v="4"/>
    <s v="Joshua Eilenberger"/>
    <s v="Mason Rutledge"/>
    <s v="POLISH ROD"/>
    <s v="5051035"/>
    <s v="Upstream"/>
    <s v="165922"/>
    <s v="USD"/>
    <n v="-2119.41"/>
    <s v="Direct Entry"/>
    <s v="1"/>
    <s v="20-300E626-32"/>
    <s v="POLISH ROD 1 1/2&quot; X 26' SPRAY METAL - 6' BARE"/>
    <s v="PONY RODS PUP JTS"/>
    <d v="2025-10-09T10:50:39"/>
    <d v="2025-10-03T00:00:00"/>
    <d v="2025-10-03T00:00:00"/>
    <s v=""/>
    <s v="PIER 22-23 UNIT 2 251"/>
    <s v=""/>
    <s v=""/>
    <s v=""/>
    <s v=""/>
    <s v=""/>
    <s v=""/>
    <s v=""/>
    <s v=""/>
    <s v=""/>
    <s v=""/>
    <s v=""/>
    <s v=""/>
    <s v=""/>
    <s v=""/>
    <s v=""/>
    <s v=""/>
    <s v=""/>
    <s v=""/>
    <s v=""/>
    <s v=""/>
    <s v=""/>
    <s v=""/>
    <s v="Material"/>
    <s v=""/>
    <s v=""/>
    <s v=""/>
    <s v="1001402000"/>
    <s v="PIER 22-23 UNIT 2 251"/>
    <s v="Upstream"/>
    <s v="1046"/>
    <s v=""/>
    <s v=""/>
    <s v=""/>
    <s v=""/>
    <s v=""/>
    <s v=""/>
    <s v=""/>
    <n v="-1"/>
    <s v="EA"/>
    <n v="2119.41"/>
    <s v=""/>
    <n v="-2119.41"/>
    <s v=""/>
    <s v="706526"/>
    <d v="2025-10-09T10:53:36"/>
    <s v=""/>
    <s v=""/>
    <s v=""/>
    <s v=""/>
  </r>
  <r>
    <s v="215016"/>
    <s v="TANKLOGIX LLC"/>
    <x v="7"/>
    <s v="Michael Andrews"/>
    <s v="Dusty Gutierrez"/>
    <s v="Guardian 250 A 1LS, Michael Andrews, Automation"/>
    <s v="5051043"/>
    <s v="Upstream"/>
    <s v=""/>
    <s v="USD"/>
    <n v="443"/>
    <s v="Direct Entry"/>
    <s v="1"/>
    <s v=""/>
    <s v="Vehichle Expenses/Mileage"/>
    <s v=""/>
    <d v="2025-10-13T14:42:08"/>
    <d v="2025-09-30T07:00:00"/>
    <d v="2025-09-30T10:00:00"/>
    <s v=""/>
    <s v="Guardian 250 A 1LS"/>
    <s v=""/>
    <s v=""/>
    <s v=""/>
    <s v=""/>
    <s v=""/>
    <s v=""/>
    <s v=""/>
    <s v=""/>
    <s v=""/>
    <s v=""/>
    <s v=""/>
    <s v=""/>
    <s v=""/>
    <s v=""/>
    <s v=""/>
    <s v=""/>
    <s v=""/>
    <s v=""/>
    <s v=""/>
    <s v=""/>
    <s v=""/>
    <s v=""/>
    <s v="Labor"/>
    <s v=""/>
    <s v=""/>
    <s v=""/>
    <s v="1000312400"/>
    <s v="GUARDIAN 250 A 1LS"/>
    <s v="Upstream"/>
    <s v="1046"/>
    <s v=""/>
    <s v=""/>
    <s v=""/>
    <s v=""/>
    <s v=""/>
    <s v=""/>
    <s v=""/>
    <n v="13"/>
    <s v="HR"/>
    <n v="2"/>
    <s v=""/>
    <n v="26"/>
    <s v="--multiple--"/>
    <s v="709725"/>
    <d v="2025-10-13T14:43:40"/>
    <s v=""/>
    <s v=""/>
    <s v=""/>
    <s v=""/>
  </r>
  <r>
    <s v="10823"/>
    <s v="Viper Energy Services &amp; Transport, LLC"/>
    <x v="3"/>
    <s v="Nic Scoughton"/>
    <s v="Mason Rutledge"/>
    <s v="Maintenance Roustabout - Made pasts list and delivered parts to location"/>
    <s v="5051049"/>
    <s v="Upstream"/>
    <s v="170383"/>
    <s v="USD"/>
    <n v="480"/>
    <s v="Direct Entry"/>
    <s v="1"/>
    <s v="R17"/>
    <s v="Roustabout"/>
    <s v="Roustabout"/>
    <d v="2025-10-09T14:51:28"/>
    <d v="2025-10-08T10:00:00"/>
    <d v="2025-10-08T14:00:00"/>
    <s v=""/>
    <s v="NAIL RANCH CTB"/>
    <s v=""/>
    <s v=""/>
    <s v=""/>
    <s v=""/>
    <s v=""/>
    <s v=""/>
    <s v=""/>
    <s v=""/>
    <s v=""/>
    <s v=""/>
    <s v=""/>
    <s v=""/>
    <s v=""/>
    <s v=""/>
    <s v=""/>
    <s v=""/>
    <s v=""/>
    <s v=""/>
    <s v=""/>
    <s v=""/>
    <s v=""/>
    <s v=""/>
    <s v="Labor"/>
    <s v=""/>
    <s v=""/>
    <s v=""/>
    <s v="8000129400"/>
    <s v="NAIL RANCH CTB"/>
    <s v="Upstream"/>
    <s v="1046"/>
    <s v=""/>
    <s v=""/>
    <s v=""/>
    <s v=""/>
    <s v=""/>
    <s v=""/>
    <s v=""/>
    <n v="4"/>
    <s v="HR"/>
    <n v="120"/>
    <s v=""/>
    <n v="480"/>
    <s v="--multiple--"/>
    <s v="712296"/>
    <d v="2025-10-13T09:56:49"/>
    <s v=""/>
    <s v=""/>
    <s v="Attachment Issue"/>
    <s v=""/>
  </r>
  <r>
    <s v="215018"/>
    <s v="TANKLOGIX LLC"/>
    <x v="7"/>
    <s v="Michael Andrews"/>
    <s v="Dusty Gutierrez"/>
    <s v="Mabee Breedlove 2202H, Michael Andrews, Automation"/>
    <s v="5051043"/>
    <s v="Upstream"/>
    <s v=""/>
    <s v="USD"/>
    <n v="95.5"/>
    <s v="Direct Entry"/>
    <s v="1"/>
    <s v=""/>
    <s v="Vehichle Expenses/Mileage"/>
    <s v=""/>
    <d v="2025-10-13T14:34:39"/>
    <d v="2025-09-30T10:00:00"/>
    <d v="2025-09-30T10:30:00"/>
    <s v=""/>
    <s v="Mabee Breedlove 2202H"/>
    <s v=""/>
    <s v=""/>
    <s v=""/>
    <s v=""/>
    <s v=""/>
    <s v=""/>
    <s v=""/>
    <s v=""/>
    <s v=""/>
    <s v=""/>
    <s v=""/>
    <s v=""/>
    <s v=""/>
    <s v=""/>
    <s v=""/>
    <s v=""/>
    <s v=""/>
    <s v=""/>
    <s v=""/>
    <s v=""/>
    <s v=""/>
    <s v=""/>
    <s v="Labor"/>
    <s v=""/>
    <s v=""/>
    <s v=""/>
    <s v="1000460300"/>
    <s v="MABEE BREEDLOVE 2202H"/>
    <s v="Upstream"/>
    <s v="1046"/>
    <s v=""/>
    <s v=""/>
    <s v=""/>
    <s v=""/>
    <s v=""/>
    <s v=""/>
    <s v=""/>
    <n v="13"/>
    <s v="HR"/>
    <n v="2"/>
    <s v=""/>
    <n v="26"/>
    <s v="--multiple--"/>
    <s v="709725"/>
    <d v="2025-10-13T14:36:04"/>
    <s v=""/>
    <s v=""/>
    <s v=""/>
    <s v=""/>
  </r>
  <r>
    <s v="215019"/>
    <s v="TANKLOGIX LLC"/>
    <x v="7"/>
    <s v="Michael Andrews"/>
    <s v="Dusty Gutierrez"/>
    <s v="Mabee Breelove 2202LS, Michael Andrews, Automation"/>
    <s v="5051043"/>
    <s v="Upstream"/>
    <s v=""/>
    <s v="USD"/>
    <n v="95.5"/>
    <s v="Direct Entry"/>
    <s v="1"/>
    <s v=""/>
    <s v="Vehichle Expenses/Mileage"/>
    <s v=""/>
    <d v="2025-10-13T14:31:39"/>
    <d v="2025-09-30T10:30:00"/>
    <d v="2025-09-30T11:00:00"/>
    <s v=""/>
    <s v="Mabee Breedlove 2202LS"/>
    <s v=""/>
    <s v=""/>
    <s v=""/>
    <s v=""/>
    <s v=""/>
    <s v=""/>
    <s v=""/>
    <s v=""/>
    <s v=""/>
    <s v=""/>
    <s v=""/>
    <s v=""/>
    <s v=""/>
    <s v=""/>
    <s v=""/>
    <s v=""/>
    <s v=""/>
    <s v=""/>
    <s v=""/>
    <s v=""/>
    <s v=""/>
    <s v=""/>
    <s v="Labor"/>
    <s v=""/>
    <s v=""/>
    <s v=""/>
    <s v="1000551200"/>
    <s v="MABEE BREEDLOVE 2202LS"/>
    <s v="Upstream"/>
    <s v="1046"/>
    <s v=""/>
    <s v=""/>
    <s v=""/>
    <s v=""/>
    <s v=""/>
    <s v=""/>
    <s v=""/>
    <n v="13"/>
    <s v="HR"/>
    <n v="2"/>
    <s v=""/>
    <n v="26"/>
    <s v="--multiple--"/>
    <s v="709725"/>
    <d v="2025-10-13T14:33:04"/>
    <s v=""/>
    <s v=""/>
    <s v=""/>
    <s v=""/>
  </r>
  <r>
    <s v="36526"/>
    <s v="Apex Energy Services"/>
    <x v="7"/>
    <s v="Richard Garcia"/>
    <s v="Mason Rutledge"/>
    <s v="Drove to location on vac truck and empty all the container in the location and hauled 25bbls of water to disposal"/>
    <s v="5051049"/>
    <s v="Upstream"/>
    <s v="168480"/>
    <s v="USD"/>
    <n v="626.75"/>
    <s v="Direct Entry"/>
    <s v="1"/>
    <s v="Tandem Tractor Vacuum Truck - 130 BBL W/ Driver"/>
    <s v="Tandem Tractor Vacuum Truck - 130 BBL W/ Driver"/>
    <s v="Transportation Services"/>
    <d v="2025-09-30T11:36:00"/>
    <d v="2025-09-26T13:30:00"/>
    <d v="2025-09-26T20:00:00"/>
    <d v="1899-12-30T06:30:00"/>
    <s v="Cox 12-9"/>
    <s v=""/>
    <s v=""/>
    <s v="PW"/>
    <s v=""/>
    <s v=""/>
    <s v=""/>
    <s v=""/>
    <s v=""/>
    <s v=""/>
    <s v=""/>
    <s v=""/>
    <s v=""/>
    <s v=""/>
    <s v=""/>
    <s v=""/>
    <s v=""/>
    <s v=""/>
    <s v=""/>
    <s v=""/>
    <s v=""/>
    <n v="0"/>
    <s v="bbl"/>
    <s v=""/>
    <s v=""/>
    <s v=""/>
    <s v=""/>
    <s v="8300091400"/>
    <s v="COX 12-9 UNIT 1 BATTERY"/>
    <s v="Upstream"/>
    <s v="1046"/>
    <s v=""/>
    <s v=""/>
    <s v=""/>
    <s v=""/>
    <s v=""/>
    <s v=""/>
    <s v="Hours Worked"/>
    <n v="6.5"/>
    <s v="hour"/>
    <n v="92"/>
    <s v=""/>
    <n v="598"/>
    <s v="--multiple--"/>
    <s v="706989"/>
    <d v="2025-10-14T12:26:11"/>
    <s v=""/>
    <s v=""/>
    <s v="Attachment Issue"/>
    <s v=""/>
  </r>
  <r>
    <s v="215021"/>
    <s v="TANKLOGIX LLC"/>
    <x v="3"/>
    <s v="Michael Andrews"/>
    <s v="Dusty Gutierrez"/>
    <s v="Mabee Breedlove 2302LS, Michael Andrews, Automation"/>
    <s v="5051043"/>
    <s v="Upstream"/>
    <s v=""/>
    <s v="USD"/>
    <n v="95.5"/>
    <s v="Direct Entry"/>
    <s v="1"/>
    <s v=""/>
    <s v="Vehichle Expenses/Mileage"/>
    <s v=""/>
    <d v="2025-10-13T14:27:10"/>
    <d v="2025-09-30T11:00:00"/>
    <d v="2025-09-30T11:30:00"/>
    <s v=""/>
    <s v="Mabee Breedlove 2302LS"/>
    <s v=""/>
    <s v=""/>
    <s v=""/>
    <s v=""/>
    <s v=""/>
    <s v=""/>
    <s v=""/>
    <s v=""/>
    <s v=""/>
    <s v=""/>
    <s v=""/>
    <s v=""/>
    <s v=""/>
    <s v=""/>
    <s v=""/>
    <s v=""/>
    <s v=""/>
    <s v=""/>
    <s v=""/>
    <s v=""/>
    <s v=""/>
    <s v=""/>
    <s v="Labor"/>
    <s v=""/>
    <s v=""/>
    <s v=""/>
    <s v="1000463700"/>
    <s v="MABEE BREEDLOVE 2302LS"/>
    <s v="Upstream"/>
    <s v="1046"/>
    <s v=""/>
    <s v=""/>
    <s v=""/>
    <s v=""/>
    <s v=""/>
    <s v=""/>
    <s v=""/>
    <n v="13"/>
    <s v="HR"/>
    <n v="2"/>
    <s v=""/>
    <n v="26"/>
    <s v="--multiple--"/>
    <s v="709725"/>
    <d v="2025-10-13T14:29:06"/>
    <s v=""/>
    <s v=""/>
    <s v=""/>
    <s v=""/>
  </r>
  <r>
    <s v="1002082"/>
    <s v="B-P Supply Inc"/>
    <x v="4"/>
    <s v="Thomas Ramos"/>
    <s v="Mason Rutledge"/>
    <s v="PARTS ORDERED BY THOMAS RAMOS - TRIPLE NAIL L 27-1 2812H"/>
    <s v="5051049"/>
    <s v="Upstream"/>
    <s v="162895"/>
    <s v="USD"/>
    <n v="152.99"/>
    <s v="B2B"/>
    <s v="1"/>
    <s v="0285-03X-28-HW"/>
    <s v="5/8&quot; X 48&quot; HEAVY WALL SIGHT GLASS"/>
    <s v="Other"/>
    <d v="2025-09-29T14:54:39"/>
    <d v="2025-09-24T00:00:00"/>
    <d v="2025-09-24T00:00:00"/>
    <s v=""/>
    <s v=""/>
    <s v=""/>
    <s v=""/>
    <s v=""/>
    <s v=""/>
    <s v=""/>
    <s v=""/>
    <s v=""/>
    <s v=""/>
    <s v=""/>
    <s v=""/>
    <s v=""/>
    <s v=""/>
    <s v=""/>
    <s v=""/>
    <s v=""/>
    <s v=""/>
    <s v=""/>
    <s v=""/>
    <s v=""/>
    <s v=""/>
    <s v=""/>
    <s v=""/>
    <s v="Material"/>
    <s v=""/>
    <s v=""/>
    <s v=""/>
    <s v="1001771000"/>
    <s v="TRIPLE NAIL L 27-1 2812H"/>
    <s v="Upstream"/>
    <s v="1046"/>
    <s v=""/>
    <s v=""/>
    <s v=""/>
    <s v=""/>
    <s v=""/>
    <s v=""/>
    <s v=""/>
    <n v="2"/>
    <s v="EA"/>
    <n v="76.489999999999995"/>
    <s v=""/>
    <n v="152.99"/>
    <s v="--multiple--"/>
    <s v="705219"/>
    <d v="2025-10-10T09:41:28"/>
    <s v=""/>
    <s v=""/>
    <s v=""/>
    <s v=""/>
  </r>
  <r>
    <s v="1002461"/>
    <s v="B-P Supply Inc"/>
    <x v="4"/>
    <s v="Thomas Ramos"/>
    <s v="Mason Rutledge"/>
    <s v="PARTS ORDERED BY THOMAS RAMOS - WELCH E BATTERY"/>
    <s v="5051035"/>
    <s v="Upstream"/>
    <s v="166804"/>
    <s v="USD"/>
    <n v="486.32"/>
    <s v="B2B"/>
    <s v="1"/>
    <s v="SPECIALORDER"/>
    <s v="MBL V BELTS"/>
    <s v=""/>
    <d v="2025-10-07T15:14:29"/>
    <d v="2025-09-26T00:00:00"/>
    <d v="2025-09-26T00:00:00"/>
    <s v=""/>
    <s v=""/>
    <s v=""/>
    <s v=""/>
    <s v=""/>
    <s v=""/>
    <s v=""/>
    <s v=""/>
    <s v=""/>
    <s v=""/>
    <s v=""/>
    <s v=""/>
    <s v=""/>
    <s v=""/>
    <s v=""/>
    <s v=""/>
    <s v=""/>
    <s v=""/>
    <s v=""/>
    <s v=""/>
    <s v=""/>
    <s v=""/>
    <s v=""/>
    <s v=""/>
    <s v="Material"/>
    <s v=""/>
    <s v=""/>
    <s v=""/>
    <s v="8000093400"/>
    <s v="WELCH E BATTERY"/>
    <s v="Upstream"/>
    <s v="1046"/>
    <s v=""/>
    <s v=""/>
    <s v=""/>
    <s v=""/>
    <s v=""/>
    <s v=""/>
    <s v=""/>
    <n v="4"/>
    <s v="EA"/>
    <n v="121.58"/>
    <s v=""/>
    <n v="486.32"/>
    <s v="--multiple--"/>
    <s v="705219"/>
    <d v="2025-10-10T13:46:14"/>
    <s v=""/>
    <s v=""/>
    <s v=""/>
    <s v=""/>
  </r>
  <r>
    <s v="215024"/>
    <s v="TANKLOGIX LLC"/>
    <x v="3"/>
    <s v="Michael Andrews"/>
    <s v="Dusty Gutierrez"/>
    <s v="Mabee Breedlove 2201LS, Michael Andrews, Automation"/>
    <s v="5051043"/>
    <s v="Upstream"/>
    <s v=""/>
    <s v="USD"/>
    <n v="95.5"/>
    <s v="Direct Entry"/>
    <s v="1"/>
    <s v=""/>
    <s v="Vehichle Expenses/Mileage"/>
    <s v=""/>
    <d v="2025-10-13T14:38:43"/>
    <d v="2025-09-30T11:30:00"/>
    <d v="2025-09-30T12:00:00"/>
    <s v=""/>
    <s v="Mabee Breedlove 2201LS"/>
    <s v=""/>
    <s v=""/>
    <s v=""/>
    <s v=""/>
    <s v=""/>
    <s v=""/>
    <s v=""/>
    <s v=""/>
    <s v=""/>
    <s v=""/>
    <s v=""/>
    <s v=""/>
    <s v=""/>
    <s v=""/>
    <s v=""/>
    <s v=""/>
    <s v=""/>
    <s v=""/>
    <s v=""/>
    <s v=""/>
    <s v=""/>
    <s v=""/>
    <s v="Labor"/>
    <s v=""/>
    <s v=""/>
    <s v=""/>
    <s v="1000526500"/>
    <s v="MABEE BREEDLOVE 2201LS"/>
    <s v="Upstream"/>
    <s v="1046"/>
    <s v=""/>
    <s v=""/>
    <s v=""/>
    <s v=""/>
    <s v=""/>
    <s v=""/>
    <s v=""/>
    <n v="13"/>
    <s v="HR"/>
    <n v="2"/>
    <s v=""/>
    <n v="26"/>
    <s v="--multiple--"/>
    <s v="709725"/>
    <d v="2025-10-13T14:40:29"/>
    <s v=""/>
    <s v=""/>
    <s v=""/>
    <s v=""/>
  </r>
  <r>
    <s v="215025"/>
    <s v="TANKLOGIX LLC"/>
    <x v="3"/>
    <s v="Michael Andrews"/>
    <s v="Dusty Gutierrez"/>
    <s v="Mabee Breedlove D 2408LS, Michael Andrews, Automaiton"/>
    <s v="5051043"/>
    <s v="Upstream"/>
    <s v=""/>
    <s v="USD"/>
    <n v="95.5"/>
    <s v="Direct Entry"/>
    <s v="1"/>
    <s v=""/>
    <s v="Vehichle Expenses/Mileage"/>
    <s v=""/>
    <d v="2025-10-13T13:39:06"/>
    <d v="2025-09-30T12:00:00"/>
    <d v="2025-09-30T12:30:00"/>
    <s v=""/>
    <s v="Mabee Breedlove D 2408LS"/>
    <s v=""/>
    <s v=""/>
    <s v=""/>
    <s v=""/>
    <s v=""/>
    <s v=""/>
    <s v=""/>
    <s v=""/>
    <s v=""/>
    <s v=""/>
    <s v=""/>
    <s v=""/>
    <s v=""/>
    <s v=""/>
    <s v=""/>
    <s v=""/>
    <s v=""/>
    <s v=""/>
    <s v=""/>
    <s v=""/>
    <s v=""/>
    <s v=""/>
    <s v="Labor"/>
    <s v=""/>
    <s v=""/>
    <s v=""/>
    <s v="1000224700"/>
    <s v="MABEE BREEDLOVE D 2408LS"/>
    <s v="Upstream"/>
    <s v="1046"/>
    <s v=""/>
    <s v=""/>
    <s v=""/>
    <s v=""/>
    <s v=""/>
    <s v=""/>
    <s v=""/>
    <n v="13"/>
    <s v="HR"/>
    <n v="2"/>
    <s v=""/>
    <n v="26"/>
    <s v="--multiple--"/>
    <s v="709725"/>
    <d v="2025-10-13T13:41:00"/>
    <s v=""/>
    <s v=""/>
    <s v=""/>
    <s v=""/>
  </r>
  <r>
    <s v="OD1336169"/>
    <s v="Jet Specialty Inc"/>
    <x v="6"/>
    <s v="Omar Torres"/>
    <s v="Michael Cavazos"/>
    <s v="LEASE: BASS ERNEST T 08; BUYER: SHANE/ OMAR T;"/>
    <s v="5051049"/>
    <s v="Upstream"/>
    <s v=""/>
    <s v="USD"/>
    <n v="184.23"/>
    <s v="API"/>
    <s v="1"/>
    <s v="99646"/>
    <s v="1-3/4&quot; BAIRD SILICON NITRIDE/CARBIDE BALL &amp; SEAT"/>
    <s v="1 3/4&quot; SILICON NITRI"/>
    <d v="2025-10-03T09:29:44"/>
    <d v="2025-09-23T00:01:00"/>
    <d v="2025-09-23T00:01:00"/>
    <s v=""/>
    <s v=""/>
    <s v=""/>
    <s v=""/>
    <s v=""/>
    <s v=""/>
    <s v=""/>
    <s v=""/>
    <s v=""/>
    <s v=""/>
    <s v=""/>
    <s v=""/>
    <s v=""/>
    <s v=""/>
    <s v=""/>
    <s v=""/>
    <s v=""/>
    <s v=""/>
    <s v=""/>
    <s v=""/>
    <s v=""/>
    <s v=""/>
    <s v=""/>
    <s v=""/>
    <s v="Material"/>
    <s v=""/>
    <s v=""/>
    <s v=""/>
    <s v="1000761800"/>
    <s v="BASS ERNEST T 08"/>
    <s v="Upstream"/>
    <s v="1046"/>
    <s v=""/>
    <s v=""/>
    <s v=""/>
    <s v=""/>
    <s v=""/>
    <s v=""/>
    <s v=""/>
    <n v="1"/>
    <s v="each"/>
    <n v="135.85"/>
    <s v=""/>
    <n v="135.85"/>
    <s v="--multiple--"/>
    <s v="708023"/>
    <d v="2025-10-03T09:29:44"/>
    <s v=""/>
    <s v=""/>
    <s v=""/>
    <s v=""/>
  </r>
  <r>
    <s v="OD1336171"/>
    <s v="Jet Specialty Inc"/>
    <x v="6"/>
    <s v="Omar Torres"/>
    <s v="Michael Cavazos"/>
    <s v="LEASE: AVERITT #9; BUYER: SHANE /OMAR T;"/>
    <s v="5051049"/>
    <s v="Upstream"/>
    <s v=""/>
    <s v="USD"/>
    <n v="184.23"/>
    <s v="API"/>
    <s v="1"/>
    <s v="99646"/>
    <s v="1-3/4&quot; BAIRD SILICON NITRIDE/CARBIDE BALL &amp; SEAT"/>
    <s v="1 3/4&quot; SILICON NITRI"/>
    <d v="2025-10-03T09:30:12"/>
    <d v="2025-09-23T00:01:00"/>
    <d v="2025-09-23T00:01:00"/>
    <s v=""/>
    <s v=""/>
    <s v=""/>
    <s v=""/>
    <s v=""/>
    <s v=""/>
    <s v=""/>
    <s v=""/>
    <s v=""/>
    <s v=""/>
    <s v=""/>
    <s v=""/>
    <s v=""/>
    <s v=""/>
    <s v=""/>
    <s v=""/>
    <s v=""/>
    <s v=""/>
    <s v=""/>
    <s v=""/>
    <s v=""/>
    <s v=""/>
    <s v=""/>
    <s v=""/>
    <s v="Material"/>
    <s v=""/>
    <s v=""/>
    <s v=""/>
    <s v="1000758700"/>
    <s v="AVERITT 09"/>
    <s v="Upstream"/>
    <s v="1046"/>
    <s v=""/>
    <s v=""/>
    <s v=""/>
    <s v=""/>
    <s v=""/>
    <s v=""/>
    <s v=""/>
    <n v="1"/>
    <s v="each"/>
    <n v="135.85"/>
    <s v=""/>
    <n v="135.85"/>
    <s v="--multiple--"/>
    <s v="708023"/>
    <d v="2025-10-03T09:30:12"/>
    <s v=""/>
    <s v=""/>
    <s v=""/>
    <s v=""/>
  </r>
  <r>
    <s v="OD1336168"/>
    <s v="Jet Specialty Inc"/>
    <x v="6"/>
    <s v="Omar Torres"/>
    <s v="Michael Cavazos"/>
    <s v="LEASE: AVERITT 1522 A 201H COMP; BUYER: SHANE/ OMAR T;"/>
    <s v="5051028"/>
    <s v="Upstream"/>
    <s v=""/>
    <s v="USD"/>
    <n v="312.36"/>
    <s v="API"/>
    <s v="1"/>
    <s v="99652"/>
    <s v="770-7704-2 BAIRD CAGE"/>
    <s v="E&amp;M"/>
    <d v="2025-10-03T09:31:22"/>
    <d v="2025-09-23T00:01:00"/>
    <d v="2025-09-23T00:01:00"/>
    <s v=""/>
    <s v=""/>
    <s v=""/>
    <s v=""/>
    <s v=""/>
    <s v=""/>
    <s v=""/>
    <s v=""/>
    <s v=""/>
    <s v=""/>
    <s v=""/>
    <s v=""/>
    <s v=""/>
    <s v=""/>
    <s v=""/>
    <s v=""/>
    <s v=""/>
    <s v=""/>
    <s v=""/>
    <s v=""/>
    <s v=""/>
    <s v=""/>
    <s v=""/>
    <s v=""/>
    <s v="Material"/>
    <s v=""/>
    <s v=""/>
    <s v=""/>
    <s v="1000759500"/>
    <s v="AVERITT 1522 A 201H WA"/>
    <s v="Upstream"/>
    <s v="1046"/>
    <s v=""/>
    <s v=""/>
    <s v=""/>
    <s v=""/>
    <s v=""/>
    <s v=""/>
    <s v=""/>
    <n v="1"/>
    <s v="each"/>
    <n v="76.67"/>
    <s v=""/>
    <n v="76.67"/>
    <s v="--multiple--"/>
    <s v="708023"/>
    <d v="2025-10-03T09:31:22"/>
    <s v=""/>
    <s v=""/>
    <s v=""/>
    <s v=""/>
  </r>
  <r>
    <s v="OD1335698"/>
    <s v="Jet Specialty Inc"/>
    <x v="6"/>
    <s v="Omar Torres"/>
    <s v="Michael Cavazos"/>
    <s v="LEASE: AVERITT 4; BUYER: JOSHUA.M/OMAR.T;"/>
    <s v="5051028"/>
    <s v="Upstream"/>
    <s v=""/>
    <s v="USD"/>
    <n v="205.14"/>
    <s v="API"/>
    <s v="1"/>
    <s v="230135"/>
    <s v="2R-S32-SE 2&quot; RP 750# D/I THREAD BALON BALL VALVE"/>
    <s v="Valves"/>
    <d v="2025-10-03T08:59:48"/>
    <d v="2025-09-24T00:01:00"/>
    <d v="2025-09-24T00:01:00"/>
    <s v=""/>
    <s v=""/>
    <s v=""/>
    <s v=""/>
    <s v=""/>
    <s v=""/>
    <s v=""/>
    <s v=""/>
    <s v=""/>
    <s v=""/>
    <s v=""/>
    <s v=""/>
    <s v=""/>
    <s v=""/>
    <s v=""/>
    <s v=""/>
    <s v=""/>
    <s v=""/>
    <s v=""/>
    <s v=""/>
    <s v=""/>
    <s v=""/>
    <s v=""/>
    <s v=""/>
    <s v="Material"/>
    <s v=""/>
    <s v=""/>
    <s v=""/>
    <s v="1000758200"/>
    <s v="AVERITT 04"/>
    <s v="Upstream"/>
    <s v="1046"/>
    <s v=""/>
    <s v=""/>
    <s v=""/>
    <s v=""/>
    <s v=""/>
    <s v=""/>
    <s v=""/>
    <n v="1"/>
    <s v="each"/>
    <n v="69.5"/>
    <s v=""/>
    <n v="69.5"/>
    <s v="--multiple--"/>
    <s v="708023"/>
    <d v="2025-10-03T08:59:48"/>
    <s v=""/>
    <s v=""/>
    <s v=""/>
    <s v=""/>
  </r>
  <r>
    <s v="08-252075"/>
    <s v="Milestone Environmental Services, LLC"/>
    <x v="9"/>
    <s v="Omar Torres"/>
    <s v="Michael Cavazos"/>
    <s v="Disposal Ticket"/>
    <s v="5051013"/>
    <s v="Upstream"/>
    <s v=""/>
    <s v="USD"/>
    <n v="200"/>
    <s v="B2B"/>
    <s v="2"/>
    <s v="WO"/>
    <s v="Washout"/>
    <s v="Truck Washout (first 1.5 hours)"/>
    <d v="2025-09-30T06:44:44"/>
    <d v="2025-09-27T12:17:00"/>
    <d v="2025-09-27T13:17:00"/>
    <d v="1899-12-30T01:00:00"/>
    <s v="AVERITT BATTERY"/>
    <s v=""/>
    <s v=""/>
    <s v="WO"/>
    <s v=""/>
    <s v=""/>
    <s v=""/>
    <s v=""/>
    <n v="0"/>
    <s v=""/>
    <s v=""/>
    <s v=""/>
    <s v=""/>
    <s v=""/>
    <s v=""/>
    <s v=""/>
    <s v=""/>
    <s v=""/>
    <s v=""/>
    <s v=""/>
    <s v="Imperial"/>
    <n v="1"/>
    <s v="bbl"/>
    <s v=""/>
    <s v=""/>
    <s v=""/>
    <s v=""/>
    <s v="8000301400"/>
    <s v="AVERITT BATTERY"/>
    <s v="Upstream"/>
    <s v="1046"/>
    <s v=""/>
    <s v=""/>
    <s v=""/>
    <s v=""/>
    <s v=""/>
    <s v=""/>
    <s v="Other"/>
    <n v="1"/>
    <s v="EA"/>
    <n v="200"/>
    <s v=""/>
    <n v="200"/>
    <s v="Pricebook"/>
    <s v="708539"/>
    <d v="2025-10-03T10:34:27"/>
    <s v=""/>
    <s v=""/>
    <s v=""/>
    <s v=""/>
  </r>
  <r>
    <s v="08-252295"/>
    <s v="Milestone Environmental Services, LLC"/>
    <x v="9"/>
    <s v="Omar Torres"/>
    <s v="Michael Cavazos"/>
    <s v="Disposal Ticket"/>
    <s v="5051013"/>
    <s v="Upstream"/>
    <s v=""/>
    <s v="USD"/>
    <n v="200"/>
    <s v="B2B"/>
    <s v="2"/>
    <s v="WO"/>
    <s v="Washout"/>
    <s v="Truck Washout (first 1.5 hours)"/>
    <d v="2025-09-30T06:44:47"/>
    <d v="2025-09-28T17:38:00"/>
    <d v="2025-09-28T18:38:00"/>
    <d v="1899-12-30T01:00:00"/>
    <s v="BOPIE 2734D 202H"/>
    <s v=""/>
    <s v=""/>
    <s v="WO"/>
    <s v=""/>
    <s v=""/>
    <s v=""/>
    <s v=""/>
    <n v="0"/>
    <s v=""/>
    <s v=""/>
    <s v=""/>
    <s v=""/>
    <s v=""/>
    <s v=""/>
    <s v=""/>
    <s v=""/>
    <s v=""/>
    <s v=""/>
    <s v=""/>
    <s v="Imperial"/>
    <n v="1"/>
    <s v="bbl"/>
    <s v=""/>
    <s v=""/>
    <s v=""/>
    <s v=""/>
    <s v="1000754700"/>
    <s v="BOPIE 2734 D 202H WA"/>
    <s v="Upstream"/>
    <s v="1046"/>
    <s v=""/>
    <s v=""/>
    <s v=""/>
    <s v=""/>
    <s v=""/>
    <s v=""/>
    <s v="Other"/>
    <n v="1"/>
    <s v="EA"/>
    <n v="200"/>
    <s v=""/>
    <n v="200"/>
    <s v="Pricebook"/>
    <s v="708539"/>
    <d v="2025-10-03T10:33:22"/>
    <s v=""/>
    <s v=""/>
    <s v=""/>
    <s v=""/>
  </r>
  <r>
    <s v="INV539296"/>
    <s v="VanZandt Controls, LLC"/>
    <x v="9"/>
    <s v="Omar Torres"/>
    <s v="Michael Cavazos"/>
    <s v="INV539296_x000a_MICHAEL CAVAZOS"/>
    <s v="5051062"/>
    <s v="Upstream"/>
    <s v=""/>
    <s v="USD"/>
    <n v="4543.9399999999996"/>
    <s v="Direct Entry"/>
    <s v="1"/>
    <s v="ValveAsm, 2INTHRDTAYLOR"/>
    <s v="TAYLOR 2” THREADED MDI WITH CS BODY, CERAMIC DISCS, NO WEAR SLEEVE, PC BUNA SEALS, MANUAL HANDLE, IN"/>
    <s v=""/>
    <d v="2025-10-07T13:20:10"/>
    <d v="2025-09-30T00:00:00"/>
    <d v="2025-09-30T00:00:00"/>
    <s v=""/>
    <s v=""/>
    <s v=""/>
    <s v=""/>
    <s v=""/>
    <s v=""/>
    <s v=""/>
    <s v=""/>
    <s v=""/>
    <s v=""/>
    <s v=""/>
    <s v=""/>
    <s v=""/>
    <s v=""/>
    <s v=""/>
    <s v=""/>
    <s v=""/>
    <s v=""/>
    <s v=""/>
    <s v=""/>
    <s v=""/>
    <s v=""/>
    <s v=""/>
    <s v=""/>
    <s v="Material"/>
    <s v=""/>
    <s v=""/>
    <s v=""/>
    <s v="1001162700"/>
    <s v="SHERIFF 2-47 A 1H"/>
    <s v="Upstream"/>
    <s v="1046"/>
    <s v=""/>
    <s v=""/>
    <s v=""/>
    <s v=""/>
    <s v=""/>
    <s v=""/>
    <s v=""/>
    <n v="1"/>
    <s v="EA"/>
    <n v="4368.9399999999996"/>
    <s v=""/>
    <n v="4368.9399999999996"/>
    <s v="E-Maintenance"/>
    <s v="705035"/>
    <d v="2025-10-07T13:22:19"/>
    <s v=""/>
    <s v=""/>
    <s v=""/>
    <s v=""/>
  </r>
  <r>
    <s v="OD1335712"/>
    <s v="Jet Specialty Inc"/>
    <x v="8"/>
    <s v="Omar Torres"/>
    <s v="Michael Cavazos"/>
    <s v="LEASE: BOPIE 2734 D 202H WA; BUYER: JOSHUA.M/OMAR.T;"/>
    <s v="5051062"/>
    <s v="Upstream"/>
    <s v=""/>
    <s v="USD"/>
    <n v="193.68"/>
    <s v="API"/>
    <s v="1"/>
    <s v="510551"/>
    <s v="1 1/2&quot; HSN DOME PACKING / BL"/>
    <s v=""/>
    <d v="2025-10-03T15:13:04"/>
    <d v="2025-09-30T00:01:00"/>
    <d v="2025-09-30T00:01:00"/>
    <s v=""/>
    <s v=""/>
    <s v=""/>
    <s v=""/>
    <s v=""/>
    <s v=""/>
    <s v=""/>
    <s v=""/>
    <s v=""/>
    <s v=""/>
    <s v=""/>
    <s v=""/>
    <s v=""/>
    <s v=""/>
    <s v=""/>
    <s v=""/>
    <s v=""/>
    <s v=""/>
    <s v=""/>
    <s v=""/>
    <s v=""/>
    <s v=""/>
    <s v=""/>
    <s v=""/>
    <s v="Material"/>
    <s v=""/>
    <s v=""/>
    <s v=""/>
    <s v="1000754700"/>
    <s v="BOPIE 2734 D 202H WA"/>
    <s v="Upstream"/>
    <s v="1046"/>
    <s v=""/>
    <s v=""/>
    <s v=""/>
    <s v=""/>
    <s v=""/>
    <s v=""/>
    <s v=""/>
    <n v="1"/>
    <s v="each"/>
    <n v="193.68"/>
    <s v=""/>
    <n v="193.68"/>
    <s v="--multiple--"/>
    <s v="708023"/>
    <d v="2025-10-03T15:13:04"/>
    <s v=""/>
    <s v=""/>
    <s v=""/>
    <s v=""/>
  </r>
  <r>
    <s v="OD1335713"/>
    <s v="Jet Specialty Inc"/>
    <x v="8"/>
    <s v="Omar Torres"/>
    <s v="Michael Cavazos"/>
    <s v="LEASE: BOPIE 2734 H 204H WA; BUYER: JOSHUA.M/OMAR.T;"/>
    <s v="5051062"/>
    <s v="Upstream"/>
    <s v=""/>
    <s v="USD"/>
    <n v="195.25"/>
    <s v="API"/>
    <s v="1"/>
    <s v="99652"/>
    <s v="770-7704-2 BAIRD CAGE"/>
    <s v="E&amp;M"/>
    <d v="2025-10-03T15:13:19"/>
    <d v="2025-09-30T00:01:00"/>
    <d v="2025-09-30T00:01:00"/>
    <s v=""/>
    <s v=""/>
    <s v=""/>
    <s v=""/>
    <s v=""/>
    <s v=""/>
    <s v=""/>
    <s v=""/>
    <s v=""/>
    <s v=""/>
    <s v=""/>
    <s v=""/>
    <s v=""/>
    <s v=""/>
    <s v=""/>
    <s v=""/>
    <s v=""/>
    <s v=""/>
    <s v=""/>
    <s v=""/>
    <s v=""/>
    <s v=""/>
    <s v=""/>
    <s v=""/>
    <s v="Material"/>
    <s v=""/>
    <s v=""/>
    <s v=""/>
    <s v="1000764300"/>
    <s v="BOPIE 2734 H 204H WA"/>
    <s v="Upstream"/>
    <s v="1046"/>
    <s v=""/>
    <s v=""/>
    <s v=""/>
    <s v=""/>
    <s v=""/>
    <s v=""/>
    <s v=""/>
    <n v="1"/>
    <s v="each"/>
    <n v="76.67"/>
    <s v=""/>
    <n v="76.67"/>
    <s v="--multiple--"/>
    <s v="708023"/>
    <d v="2025-10-03T15:13:19"/>
    <s v=""/>
    <s v=""/>
    <s v=""/>
    <s v=""/>
  </r>
  <r>
    <s v="OD1335720-1"/>
    <s v="Jet Specialty Inc"/>
    <x v="8"/>
    <s v="Omar Torres"/>
    <s v="Michael Cavazos"/>
    <s v="LEASE: BOPIE 2734 C 102H LS; BUYER: SHANE.B/OMAR.T;"/>
    <s v="5051028"/>
    <s v="Upstream"/>
    <s v=""/>
    <s v="USD"/>
    <n v="27.22"/>
    <s v="API"/>
    <s v="1"/>
    <s v="86017"/>
    <s v="25SL4L1000 2.5F 1/4LM 0-1000 GAUGE"/>
    <s v="E&amp;M"/>
    <d v="2025-10-03T15:11:05"/>
    <d v="2025-10-02T00:01:00"/>
    <d v="2025-10-02T00:01:00"/>
    <s v=""/>
    <s v=""/>
    <s v=""/>
    <s v=""/>
    <s v=""/>
    <s v=""/>
    <s v=""/>
    <s v=""/>
    <s v=""/>
    <s v=""/>
    <s v=""/>
    <s v=""/>
    <s v=""/>
    <s v=""/>
    <s v=""/>
    <s v=""/>
    <s v=""/>
    <s v=""/>
    <s v=""/>
    <s v=""/>
    <s v=""/>
    <s v=""/>
    <s v=""/>
    <s v=""/>
    <s v="Material"/>
    <s v=""/>
    <s v=""/>
    <s v=""/>
    <s v="1000754600"/>
    <s v="BOPIE 2734 C 102H LS"/>
    <s v="Upstream"/>
    <s v="1046"/>
    <s v=""/>
    <s v=""/>
    <s v=""/>
    <s v=""/>
    <s v=""/>
    <s v=""/>
    <s v=""/>
    <n v="1"/>
    <s v="each"/>
    <n v="27.22"/>
    <s v=""/>
    <n v="27.22"/>
    <s v="--multiple--"/>
    <s v="708023"/>
    <d v="2025-10-03T15:11:05"/>
    <s v=""/>
    <s v=""/>
    <s v=""/>
    <s v=""/>
  </r>
  <r>
    <s v="OD1335720"/>
    <s v="Jet Specialty Inc"/>
    <x v="8"/>
    <s v="Omar Torres"/>
    <s v="Michael Cavazos"/>
    <s v="LEASE: BOPIE 2734 D 202H WA; BUYER: SHANE.B/OMAR.T;"/>
    <s v="5051049"/>
    <s v="Upstream"/>
    <s v=""/>
    <s v="USD"/>
    <n v="27.22"/>
    <s v="API"/>
    <s v="1"/>
    <s v="86017"/>
    <s v="25SL4L1000 2.5F 1/4LM 0-1000 GAUGE"/>
    <s v="E&amp;M"/>
    <d v="2025-10-03T15:11:41"/>
    <d v="2025-10-02T00:01:00"/>
    <d v="2025-10-02T00:01:00"/>
    <s v=""/>
    <s v=""/>
    <s v=""/>
    <s v=""/>
    <s v=""/>
    <s v=""/>
    <s v=""/>
    <s v=""/>
    <s v=""/>
    <s v=""/>
    <s v=""/>
    <s v=""/>
    <s v=""/>
    <s v=""/>
    <s v=""/>
    <s v=""/>
    <s v=""/>
    <s v=""/>
    <s v=""/>
    <s v=""/>
    <s v=""/>
    <s v=""/>
    <s v=""/>
    <s v=""/>
    <s v="Material"/>
    <s v=""/>
    <s v=""/>
    <s v=""/>
    <s v="1000754700"/>
    <s v="BOPIE 2734 D 202H WA"/>
    <s v="Upstream"/>
    <s v="1046"/>
    <s v=""/>
    <s v=""/>
    <s v=""/>
    <s v=""/>
    <s v=""/>
    <s v=""/>
    <s v=""/>
    <n v="1"/>
    <s v="each"/>
    <n v="27.22"/>
    <s v=""/>
    <n v="27.22"/>
    <s v="--multiple--"/>
    <s v="708023"/>
    <d v="2025-10-03T15:11:41"/>
    <s v=""/>
    <s v=""/>
    <s v=""/>
    <s v=""/>
  </r>
  <r>
    <s v="OD1335711"/>
    <s v="Jet Specialty Inc"/>
    <x v="8"/>
    <s v="Omar Torres"/>
    <s v="Michael Cavazos"/>
    <s v="LEASE: ANDY BATTERY; BUYER: JOSHUA.M/OMAR.T;"/>
    <s v="5051028"/>
    <s v="Upstream"/>
    <s v=""/>
    <s v="USD"/>
    <n v="40.43"/>
    <s v="API"/>
    <s v="1"/>
    <s v="2993120"/>
    <s v="1-3/16&quot; X 150' ORANGEGLO FLAGGING TAPE #066-ORANGEGLO"/>
    <s v="E&amp;M"/>
    <d v="2025-10-03T15:12:01"/>
    <d v="2025-10-02T00:01:00"/>
    <d v="2025-10-02T00:01:00"/>
    <s v=""/>
    <s v=""/>
    <s v=""/>
    <s v=""/>
    <s v=""/>
    <s v=""/>
    <s v=""/>
    <s v=""/>
    <s v=""/>
    <s v=""/>
    <s v=""/>
    <s v=""/>
    <s v=""/>
    <s v=""/>
    <s v=""/>
    <s v=""/>
    <s v=""/>
    <s v=""/>
    <s v=""/>
    <s v=""/>
    <s v=""/>
    <s v=""/>
    <s v=""/>
    <s v=""/>
    <s v="Material"/>
    <s v=""/>
    <s v=""/>
    <s v=""/>
    <s v="8000301300"/>
    <s v="ANDY BATTERY"/>
    <s v="Upstream"/>
    <s v="1046"/>
    <s v=""/>
    <s v=""/>
    <s v=""/>
    <s v=""/>
    <s v=""/>
    <s v=""/>
    <s v=""/>
    <n v="1"/>
    <s v="each"/>
    <n v="2.15"/>
    <s v=""/>
    <n v="2.15"/>
    <s v="--multiple--"/>
    <s v="708023"/>
    <d v="2025-10-03T15:12:01"/>
    <s v=""/>
    <s v=""/>
    <s v=""/>
    <s v=""/>
  </r>
  <r>
    <s v="OD1335710"/>
    <s v="Jet Specialty Inc"/>
    <x v="8"/>
    <s v="Omar Torres"/>
    <s v="Michael Cavazos"/>
    <s v="LEASE: ERICA 10; BUYER: JOSHUA.M/OMAR.T;"/>
    <s v="5051062"/>
    <s v="Upstream"/>
    <s v=""/>
    <s v="USD"/>
    <n v="40.43"/>
    <s v="API"/>
    <s v="1"/>
    <s v="510512"/>
    <s v="1 1/2&quot; DURAGOLD PACKING"/>
    <s v="E&amp;M"/>
    <d v="2025-10-03T15:13:33"/>
    <d v="2025-10-02T00:01:00"/>
    <d v="2025-10-02T00:01:00"/>
    <s v=""/>
    <s v=""/>
    <s v=""/>
    <s v=""/>
    <s v=""/>
    <s v=""/>
    <s v=""/>
    <s v=""/>
    <s v=""/>
    <s v=""/>
    <s v=""/>
    <s v=""/>
    <s v=""/>
    <s v=""/>
    <s v=""/>
    <s v=""/>
    <s v=""/>
    <s v=""/>
    <s v=""/>
    <s v=""/>
    <s v=""/>
    <s v=""/>
    <s v=""/>
    <s v=""/>
    <s v="Material"/>
    <s v=""/>
    <s v=""/>
    <s v=""/>
    <s v="1000772600"/>
    <s v="ERICA 10"/>
    <s v="Upstream"/>
    <s v="1046"/>
    <s v=""/>
    <s v=""/>
    <s v=""/>
    <s v=""/>
    <s v=""/>
    <s v=""/>
    <s v=""/>
    <n v="1"/>
    <s v="each"/>
    <n v="40.43"/>
    <s v=""/>
    <n v="40.43"/>
    <s v="--multiple--"/>
    <s v="708023"/>
    <d v="2025-10-03T15:13:33"/>
    <s v=""/>
    <s v=""/>
    <s v=""/>
    <s v=""/>
  </r>
  <r>
    <s v="OD1335721"/>
    <s v="Jet Specialty Inc"/>
    <x v="8"/>
    <s v="Omar Torres"/>
    <s v="Michael Cavazos"/>
    <s v="LEASE: AVERITT BATTERY; BUYER: SHANE.B/OMAR.T;"/>
    <s v="5051028"/>
    <s v="Upstream"/>
    <s v=""/>
    <s v="USD"/>
    <n v="289.01"/>
    <s v="API"/>
    <s v="1"/>
    <s v="300920"/>
    <s v="RIDGID 824 ALUMINUM PIPE WRENCH #032-31105"/>
    <s v="E&amp;M"/>
    <d v="2025-10-03T15:13:50"/>
    <d v="2025-10-02T00:01:00"/>
    <d v="2025-10-02T00:01:00"/>
    <s v=""/>
    <s v=""/>
    <s v=""/>
    <s v=""/>
    <s v=""/>
    <s v=""/>
    <s v=""/>
    <s v=""/>
    <s v=""/>
    <s v=""/>
    <s v=""/>
    <s v=""/>
    <s v=""/>
    <s v=""/>
    <s v=""/>
    <s v=""/>
    <s v=""/>
    <s v=""/>
    <s v=""/>
    <s v=""/>
    <s v=""/>
    <s v=""/>
    <s v=""/>
    <s v=""/>
    <s v="Material"/>
    <s v=""/>
    <s v=""/>
    <s v=""/>
    <s v="8000301400"/>
    <s v="AVERITT BATTERY"/>
    <s v="Upstream"/>
    <s v="1046"/>
    <s v=""/>
    <s v=""/>
    <s v=""/>
    <s v=""/>
    <s v=""/>
    <s v=""/>
    <s v=""/>
    <n v="1"/>
    <s v="each"/>
    <n v="167.68"/>
    <s v=""/>
    <n v="167.68"/>
    <s v="--multiple--"/>
    <s v="708023"/>
    <d v="2025-10-03T15:13:50"/>
    <s v=""/>
    <s v=""/>
    <s v=""/>
    <s v=""/>
  </r>
  <r>
    <s v="215027"/>
    <s v="TANKLOGIX LLC"/>
    <x v="3"/>
    <s v="Michael Andrews"/>
    <s v="Dusty Gutierrez"/>
    <s v="Mabee Breedlove H 2406JM, Michael Andrews, Automation"/>
    <s v="5051043"/>
    <s v="Upstream"/>
    <s v=""/>
    <s v="USD"/>
    <n v="95.5"/>
    <s v="Direct Entry"/>
    <s v="1"/>
    <s v=""/>
    <s v="Vehichle Expenses/Mileage"/>
    <s v=""/>
    <d v="2025-10-13T13:34:46"/>
    <d v="2025-09-30T12:30:00"/>
    <d v="2025-09-30T13:00:00"/>
    <s v=""/>
    <s v="Mabee Breedlove H 2406JM"/>
    <s v=""/>
    <s v=""/>
    <s v=""/>
    <s v=""/>
    <s v=""/>
    <s v=""/>
    <s v=""/>
    <s v=""/>
    <s v=""/>
    <s v=""/>
    <s v=""/>
    <s v=""/>
    <s v=""/>
    <s v=""/>
    <s v=""/>
    <s v=""/>
    <s v=""/>
    <s v=""/>
    <s v=""/>
    <s v=""/>
    <s v=""/>
    <s v=""/>
    <s v="Labor"/>
    <s v=""/>
    <s v=""/>
    <s v=""/>
    <s v="1000232500"/>
    <s v="MABEE BREEDLOVE H 2406JM"/>
    <s v="Upstream"/>
    <s v="1046"/>
    <s v=""/>
    <s v=""/>
    <s v=""/>
    <s v=""/>
    <s v=""/>
    <s v=""/>
    <s v=""/>
    <n v="13"/>
    <s v="HR"/>
    <n v="2"/>
    <s v=""/>
    <n v="26"/>
    <s v="--multiple--"/>
    <s v="709725"/>
    <d v="2025-10-13T13:37:20"/>
    <s v=""/>
    <s v=""/>
    <s v=""/>
    <s v=""/>
  </r>
  <r>
    <s v="215028"/>
    <s v="TANKLOGIX LLC"/>
    <x v="3"/>
    <s v="Michael Andrews"/>
    <s v="Dusty Gutierrez"/>
    <s v="Mabee Breedlove P 2407LS, Michael Andrews, Automation"/>
    <s v="5051043"/>
    <s v="Upstream"/>
    <s v=""/>
    <s v="USD"/>
    <n v="95.5"/>
    <s v="Direct Entry"/>
    <s v="1"/>
    <s v=""/>
    <s v="Vehichle Expenses/Mileage"/>
    <s v=""/>
    <d v="2025-10-13T13:12:03"/>
    <d v="2025-09-30T13:00:00"/>
    <d v="2025-09-30T13:30:00"/>
    <s v=""/>
    <s v="Mabee Breedlove P 2407 LS"/>
    <s v=""/>
    <s v=""/>
    <s v=""/>
    <s v=""/>
    <s v=""/>
    <s v=""/>
    <s v=""/>
    <s v=""/>
    <s v=""/>
    <s v=""/>
    <s v=""/>
    <s v=""/>
    <s v=""/>
    <s v=""/>
    <s v=""/>
    <s v=""/>
    <s v=""/>
    <s v=""/>
    <s v=""/>
    <s v=""/>
    <s v=""/>
    <s v=""/>
    <s v="Labor"/>
    <s v=""/>
    <s v=""/>
    <s v=""/>
    <s v="1000238100"/>
    <s v="MABEE BREEDLOVE P 2407LS"/>
    <s v="Upstream"/>
    <s v="1046"/>
    <s v=""/>
    <s v=""/>
    <s v=""/>
    <s v=""/>
    <s v=""/>
    <s v=""/>
    <s v=""/>
    <n v="13"/>
    <s v="HR"/>
    <n v="2"/>
    <s v=""/>
    <n v="26"/>
    <s v="--multiple--"/>
    <s v="709725"/>
    <d v="2025-10-13T13:15:41"/>
    <s v=""/>
    <s v=""/>
    <s v=""/>
    <s v=""/>
  </r>
  <r>
    <s v="215029"/>
    <s v="TANKLOGIX LLC"/>
    <x v="3"/>
    <s v="Michael Andrews"/>
    <s v="Dusty Gutierrez"/>
    <s v="Mabee Breedlove L 2401LS, Michael Andrews, Automation"/>
    <s v="5051043"/>
    <s v="Upstream"/>
    <s v=""/>
    <s v="USD"/>
    <n v="95.5"/>
    <s v="Direct Entry"/>
    <s v="1"/>
    <s v=""/>
    <s v="Vehichle Expenses/Mileage"/>
    <s v=""/>
    <d v="2025-10-13T13:25:38"/>
    <d v="2025-09-30T13:30:00"/>
    <d v="2025-09-30T14:00:00"/>
    <s v=""/>
    <s v="Mabee Breedlove L 2401LS"/>
    <s v=""/>
    <s v=""/>
    <s v=""/>
    <s v=""/>
    <s v=""/>
    <s v=""/>
    <s v=""/>
    <s v=""/>
    <s v=""/>
    <s v=""/>
    <s v=""/>
    <s v=""/>
    <s v=""/>
    <s v=""/>
    <s v=""/>
    <s v=""/>
    <s v=""/>
    <s v=""/>
    <s v=""/>
    <s v=""/>
    <s v=""/>
    <s v=""/>
    <s v="Labor"/>
    <s v=""/>
    <s v=""/>
    <s v=""/>
    <s v="1000278100"/>
    <s v="MABEE BREEDLOVE L 2401LS"/>
    <s v="Upstream"/>
    <s v="1046"/>
    <s v=""/>
    <s v=""/>
    <s v=""/>
    <s v=""/>
    <s v=""/>
    <s v=""/>
    <s v=""/>
    <n v="13"/>
    <s v="HR"/>
    <n v="2"/>
    <s v=""/>
    <n v="26"/>
    <s v="--multiple--"/>
    <s v="709725"/>
    <d v="2025-10-13T13:27:20"/>
    <s v=""/>
    <s v=""/>
    <s v=""/>
    <s v=""/>
  </r>
  <r>
    <s v="OD1339045"/>
    <s v="Jet Specialty Inc"/>
    <x v="10"/>
    <s v="Oscar Valverde"/>
    <s v="Michael Cavazos"/>
    <s v="LEASE: SHERIFF 2-47 A 1H; BUYER: OSCAR/RUSTIN; PO: 1001162700-169071R"/>
    <s v="5051049"/>
    <s v="Upstream"/>
    <s v="169071"/>
    <s v="USD"/>
    <n v="1150.6300000000001"/>
    <s v="API"/>
    <s v="1"/>
    <s v="72741"/>
    <s v="2&quot; X CLOSE XXH C/S SEAMLESS NIPPLE"/>
    <s v="E&amp;M"/>
    <d v="2025-10-03T15:14:24"/>
    <d v="2025-10-02T00:01:00"/>
    <d v="2025-10-02T00:01:00"/>
    <s v=""/>
    <s v=""/>
    <s v=""/>
    <s v=""/>
    <s v=""/>
    <s v=""/>
    <s v=""/>
    <s v=""/>
    <s v=""/>
    <s v=""/>
    <s v=""/>
    <s v=""/>
    <s v=""/>
    <s v=""/>
    <s v=""/>
    <s v=""/>
    <s v=""/>
    <s v=""/>
    <s v=""/>
    <s v=""/>
    <s v=""/>
    <s v=""/>
    <s v=""/>
    <s v=""/>
    <s v="Material"/>
    <s v=""/>
    <s v=""/>
    <s v=""/>
    <s v="1001162700"/>
    <s v="SHERIFF 2-47 A 1H"/>
    <s v="Upstream"/>
    <s v="1046"/>
    <s v=""/>
    <s v=""/>
    <s v=""/>
    <s v=""/>
    <s v=""/>
    <s v=""/>
    <s v=""/>
    <n v="2"/>
    <s v="each"/>
    <n v="18.510000000000002"/>
    <s v=""/>
    <n v="37.020000000000003"/>
    <s v="--multiple--"/>
    <s v="708023"/>
    <d v="2025-10-03T15:15:54"/>
    <s v=""/>
    <s v=""/>
    <s v=""/>
    <s v=""/>
  </r>
  <r>
    <s v="215030"/>
    <s v="TANKLOGIX LLC"/>
    <x v="3"/>
    <s v="Michael Andrews"/>
    <s v="Dusty Gutierrez"/>
    <s v="Mabee Breedlove N 2402LS, Michael Andrews, Automation"/>
    <s v="5051043"/>
    <s v="Upstream"/>
    <s v=""/>
    <s v="USD"/>
    <n v="95.5"/>
    <s v="Direct Entry"/>
    <s v="1"/>
    <s v=""/>
    <s v="Vehichle Expenses/Mileage"/>
    <s v=""/>
    <d v="2025-10-13T13:22:07"/>
    <d v="2025-09-30T14:00:00"/>
    <d v="2025-09-30T14:30:00"/>
    <s v=""/>
    <s v="Mabee Breedlove N 2402LS"/>
    <s v=""/>
    <s v=""/>
    <s v=""/>
    <s v=""/>
    <s v=""/>
    <s v=""/>
    <s v=""/>
    <s v=""/>
    <s v=""/>
    <s v=""/>
    <s v=""/>
    <s v=""/>
    <s v=""/>
    <s v=""/>
    <s v=""/>
    <s v=""/>
    <s v=""/>
    <s v=""/>
    <s v=""/>
    <s v=""/>
    <s v=""/>
    <s v=""/>
    <s v="Labor"/>
    <s v=""/>
    <s v=""/>
    <s v=""/>
    <s v="1000278200"/>
    <s v="MABEE BREEDLOVE N 2402LS"/>
    <s v="Upstream"/>
    <s v="1046"/>
    <s v=""/>
    <s v=""/>
    <s v=""/>
    <s v=""/>
    <s v=""/>
    <s v=""/>
    <s v=""/>
    <n v="13"/>
    <s v="HR"/>
    <n v="2"/>
    <s v=""/>
    <n v="26"/>
    <s v="--multiple--"/>
    <s v="709725"/>
    <d v="2025-10-13T13:23:50"/>
    <s v=""/>
    <s v=""/>
    <s v=""/>
    <s v=""/>
  </r>
  <r>
    <s v="215032"/>
    <s v="TANKLOGIX LLC"/>
    <x v="3"/>
    <s v="Michael Andrews"/>
    <s v="Dusty Gutierrez"/>
    <s v="Fox Hollow CTB, Michael Andrews, Automation"/>
    <s v="5051043"/>
    <s v="Upstream"/>
    <s v=""/>
    <s v="USD"/>
    <n v="165"/>
    <s v="Direct Entry"/>
    <s v="1"/>
    <s v=""/>
    <s v="Vehichle Expenses/Mileage"/>
    <s v=""/>
    <d v="2025-10-13T14:46:36"/>
    <d v="2025-09-30T14:30:00"/>
    <d v="2025-09-30T15:30:00"/>
    <s v=""/>
    <s v="Fox Hollow CTB"/>
    <s v=""/>
    <s v=""/>
    <s v=""/>
    <s v=""/>
    <s v=""/>
    <s v=""/>
    <s v=""/>
    <s v=""/>
    <s v=""/>
    <s v=""/>
    <s v=""/>
    <s v=""/>
    <s v=""/>
    <s v=""/>
    <s v=""/>
    <s v=""/>
    <s v=""/>
    <s v=""/>
    <s v=""/>
    <s v=""/>
    <s v=""/>
    <s v=""/>
    <s v="Labor"/>
    <s v=""/>
    <s v=""/>
    <s v=""/>
    <s v="8000312800"/>
    <s v="UL FOX HOLLOW BATTERY"/>
    <s v="Upstream"/>
    <s v="1046"/>
    <s v=""/>
    <s v=""/>
    <s v=""/>
    <s v=""/>
    <s v=""/>
    <s v=""/>
    <s v=""/>
    <n v="13"/>
    <s v="HR"/>
    <n v="2"/>
    <s v=""/>
    <n v="26"/>
    <s v="--multiple--"/>
    <s v="709725"/>
    <d v="2025-10-13T14:48:17"/>
    <s v=""/>
    <s v=""/>
    <s v=""/>
    <s v=""/>
  </r>
  <r>
    <s v="INV1156846"/>
    <s v="Rusco Operating, LLC"/>
    <x v="0"/>
    <s v="Brandon Thompson"/>
    <s v="Nick Orlich"/>
    <s v="J&amp;E Energy Consulting - Invoice #10097"/>
    <s v="8501159"/>
    <s v="AC-AC"/>
    <s v=""/>
    <s v="USD"/>
    <n v="601.91"/>
    <s v="Direct Entry"/>
    <s v="1"/>
    <s v="RUSCO Subcontracted"/>
    <s v="RUSCO Subcontracted"/>
    <s v=""/>
    <d v="2025-10-10T07:44:58"/>
    <d v="2025-10-01T00:00:00"/>
    <d v="2025-10-01T00:00:00"/>
    <s v=""/>
    <s v="Fasken 9-16-21 (2)"/>
    <s v=""/>
    <s v=""/>
    <s v=""/>
    <s v=""/>
    <s v=""/>
    <s v=""/>
    <s v=""/>
    <s v=""/>
    <s v=""/>
    <s v=""/>
    <s v=""/>
    <s v=""/>
    <s v=""/>
    <s v=""/>
    <s v=""/>
    <s v=""/>
    <s v=""/>
    <s v=""/>
    <s v=""/>
    <s v=""/>
    <s v=""/>
    <s v=""/>
    <s v="Labor"/>
    <s v=""/>
    <s v=""/>
    <s v=""/>
    <s v="AC-002049AC"/>
    <s v="FASKEN 9-16-21 UNIT 1 144 - ESP2GL"/>
    <s v="AC-AC"/>
    <s v="1046"/>
    <s v=""/>
    <s v=""/>
    <s v=""/>
    <s v=""/>
    <s v=""/>
    <s v=""/>
    <s v=""/>
    <n v="1"/>
    <s v="EA"/>
    <n v="578.76"/>
    <s v=""/>
    <n v="578.76"/>
    <s v="--multiple--"/>
    <s v="704765"/>
    <d v="2025-10-10T07:47:38"/>
    <s v=""/>
    <s v=""/>
    <s v=""/>
    <s v=""/>
  </r>
  <r>
    <s v="215035"/>
    <s v="TANKLOGIX LLC"/>
    <x v="3"/>
    <s v="Michael Andrews"/>
    <s v="Dusty Gutierrez"/>
    <s v="Mabee DGH 10-11 F 6LS, Michael Andrews, Automaiton"/>
    <s v="5051043"/>
    <s v="Upstream"/>
    <s v=""/>
    <s v="USD"/>
    <n v="95.5"/>
    <s v="Direct Entry"/>
    <s v="1"/>
    <s v=""/>
    <s v="Vehichle Expenses/Mileage"/>
    <s v=""/>
    <d v="2025-10-13T13:06:28"/>
    <d v="2025-09-30T15:30:00"/>
    <d v="2025-09-30T16:00:00"/>
    <s v=""/>
    <s v="Mabee DGH 10-11 F 6LS"/>
    <s v=""/>
    <s v=""/>
    <s v=""/>
    <s v=""/>
    <s v=""/>
    <s v=""/>
    <s v=""/>
    <s v=""/>
    <s v=""/>
    <s v=""/>
    <s v=""/>
    <s v=""/>
    <s v=""/>
    <s v=""/>
    <s v=""/>
    <s v=""/>
    <s v=""/>
    <s v=""/>
    <s v=""/>
    <s v=""/>
    <s v=""/>
    <s v=""/>
    <s v="Labor"/>
    <s v=""/>
    <s v=""/>
    <s v=""/>
    <s v="1000650500"/>
    <s v="MABEE DGH 10-11 F 6LS"/>
    <s v="Upstream"/>
    <s v="1046"/>
    <s v=""/>
    <s v=""/>
    <s v=""/>
    <s v=""/>
    <s v=""/>
    <s v=""/>
    <s v=""/>
    <n v="13"/>
    <s v="HR"/>
    <n v="2"/>
    <s v=""/>
    <n v="26"/>
    <s v="--multiple--"/>
    <s v="709725"/>
    <d v="2025-10-13T13:08:42"/>
    <s v=""/>
    <s v=""/>
    <s v=""/>
    <s v=""/>
  </r>
  <r>
    <s v="215037"/>
    <s v="TANKLOGIX LLC"/>
    <x v="3"/>
    <s v="Michael Andrews"/>
    <s v="Dusty Gutierrez"/>
    <s v="Mabee WL 24-17 D 4LS, Michael Andrews, Automation"/>
    <s v="5051043"/>
    <s v="Upstream"/>
    <s v=""/>
    <s v="USD"/>
    <n v="234.5"/>
    <s v="Direct Entry"/>
    <s v="1"/>
    <s v=""/>
    <s v="Vehichle Expenses/Mileage"/>
    <s v=""/>
    <d v="2025-10-13T10:25:35"/>
    <d v="2025-09-30T16:00:00"/>
    <d v="2025-09-30T17:30:00"/>
    <s v=""/>
    <s v="Mabee WL24-17 D 4LS"/>
    <s v=""/>
    <s v=""/>
    <s v=""/>
    <s v=""/>
    <s v=""/>
    <s v=""/>
    <s v=""/>
    <s v=""/>
    <s v=""/>
    <s v=""/>
    <s v=""/>
    <s v=""/>
    <s v=""/>
    <s v=""/>
    <s v=""/>
    <s v=""/>
    <s v=""/>
    <s v=""/>
    <s v=""/>
    <s v=""/>
    <s v=""/>
    <s v=""/>
    <s v="Labor"/>
    <s v=""/>
    <s v=""/>
    <s v=""/>
    <s v="1000737700"/>
    <s v="MABEE WL 24-17 D 4LS"/>
    <s v="Upstream"/>
    <s v="1046"/>
    <s v=""/>
    <s v=""/>
    <s v=""/>
    <s v=""/>
    <s v=""/>
    <s v=""/>
    <s v=""/>
    <n v="13"/>
    <s v="HR"/>
    <n v="2"/>
    <s v=""/>
    <n v="26"/>
    <s v="--multiple--"/>
    <s v="709725"/>
    <d v="2025-10-13T10:27:11"/>
    <s v=""/>
    <s v=""/>
    <s v=""/>
    <s v=""/>
  </r>
  <r>
    <s v="215039"/>
    <s v="TANKLOGIX LLC"/>
    <x v="3"/>
    <s v="Michael Andrews"/>
    <s v="Dusty Gutierrez"/>
    <s v="Mabee WL 24-17 D 4LS, Michael Andrews, Automation"/>
    <s v="5051043"/>
    <s v="Upstream"/>
    <s v=""/>
    <s v="USD"/>
    <n v="463"/>
    <s v="Direct Entry"/>
    <s v="1"/>
    <s v=""/>
    <s v="Vehichle Expenses/Mileage"/>
    <s v=""/>
    <d v="2025-10-13T10:20:24"/>
    <d v="2025-10-01T07:30:00"/>
    <d v="2025-10-01T10:30:00"/>
    <s v=""/>
    <s v="Mabee WL24-17 D 4LS"/>
    <s v=""/>
    <s v=""/>
    <s v=""/>
    <s v=""/>
    <s v=""/>
    <s v=""/>
    <s v=""/>
    <s v=""/>
    <s v=""/>
    <s v=""/>
    <s v=""/>
    <s v=""/>
    <s v=""/>
    <s v=""/>
    <s v=""/>
    <s v=""/>
    <s v=""/>
    <s v=""/>
    <s v=""/>
    <s v=""/>
    <s v=""/>
    <s v=""/>
    <s v="Labor"/>
    <s v=""/>
    <s v=""/>
    <s v=""/>
    <s v="1000737700"/>
    <s v="MABEE WL 24-17 D 4LS"/>
    <s v="Upstream"/>
    <s v="1046"/>
    <s v=""/>
    <s v=""/>
    <s v=""/>
    <s v=""/>
    <s v=""/>
    <s v=""/>
    <s v=""/>
    <n v="23"/>
    <s v="HR"/>
    <n v="2"/>
    <s v=""/>
    <n v="46"/>
    <s v="--multiple--"/>
    <s v="709725"/>
    <d v="2025-10-13T10:23:45"/>
    <s v=""/>
    <s v=""/>
    <s v=""/>
    <s v=""/>
  </r>
  <r>
    <s v="215042"/>
    <s v="TANKLOGIX LLC"/>
    <x v="3"/>
    <s v="Michael Andrews"/>
    <s v="Dusty Gutierrez"/>
    <s v="UL Lunate 5-38 D 4LS, Michael Andrews, Automation"/>
    <s v="5051043"/>
    <s v="Upstream"/>
    <s v=""/>
    <s v="USD"/>
    <n v="463"/>
    <s v="Direct Entry"/>
    <s v="1"/>
    <s v=""/>
    <s v="Vehichle Expenses/Mileage"/>
    <s v=""/>
    <d v="2025-10-13T12:12:07"/>
    <d v="2025-10-01T10:30:00"/>
    <d v="2025-10-01T13:30:00"/>
    <s v=""/>
    <s v="UL Lunate 5-38 D 4LS"/>
    <s v=""/>
    <s v=""/>
    <s v=""/>
    <s v=""/>
    <s v=""/>
    <s v=""/>
    <s v=""/>
    <s v=""/>
    <s v=""/>
    <s v=""/>
    <s v=""/>
    <s v=""/>
    <s v=""/>
    <s v=""/>
    <s v=""/>
    <s v=""/>
    <s v=""/>
    <s v=""/>
    <s v=""/>
    <s v=""/>
    <s v=""/>
    <s v=""/>
    <s v="Labor"/>
    <s v=""/>
    <s v=""/>
    <s v=""/>
    <s v="1000706700"/>
    <s v="UL LUNATE 5-38 D 4LS"/>
    <s v="Upstream"/>
    <s v="1046"/>
    <s v=""/>
    <s v=""/>
    <s v=""/>
    <s v=""/>
    <s v=""/>
    <s v=""/>
    <s v=""/>
    <n v="23"/>
    <s v="HR"/>
    <n v="2"/>
    <s v=""/>
    <n v="46"/>
    <s v="--multiple--"/>
    <s v="709725"/>
    <d v="2025-10-13T12:15:50"/>
    <s v=""/>
    <s v=""/>
    <s v=""/>
    <s v=""/>
  </r>
  <r>
    <s v="215043"/>
    <s v="TANKLOGIX LLC"/>
    <x v="3"/>
    <s v="Michael Andrews"/>
    <s v="Dusty Gutierrez"/>
    <s v="UL Benson, Michael Andrews, Automation"/>
    <s v="5051043"/>
    <s v="Upstream"/>
    <s v=""/>
    <s v="USD"/>
    <n v="254.5"/>
    <s v="Direct Entry"/>
    <s v="1"/>
    <s v=""/>
    <s v="Vehichle Expenses/Mileage"/>
    <s v=""/>
    <d v="2025-10-13T12:28:35"/>
    <d v="2025-10-01T13:30:00"/>
    <d v="2025-10-01T15:00:00"/>
    <s v=""/>
    <s v="UL Benson CTB"/>
    <s v=""/>
    <s v=""/>
    <s v=""/>
    <s v=""/>
    <s v=""/>
    <s v=""/>
    <s v=""/>
    <s v=""/>
    <s v=""/>
    <s v=""/>
    <s v=""/>
    <s v=""/>
    <s v=""/>
    <s v=""/>
    <s v=""/>
    <s v=""/>
    <s v=""/>
    <s v=""/>
    <s v=""/>
    <s v=""/>
    <s v=""/>
    <s v=""/>
    <s v="Labor"/>
    <s v=""/>
    <s v=""/>
    <s v=""/>
    <s v="8000046200"/>
    <s v="UL BENSON BATTERY"/>
    <s v="Upstream"/>
    <s v="1046"/>
    <s v=""/>
    <s v=""/>
    <s v=""/>
    <s v=""/>
    <s v=""/>
    <s v=""/>
    <s v=""/>
    <n v="23"/>
    <s v="HR"/>
    <n v="2"/>
    <s v=""/>
    <n v="46"/>
    <s v="--multiple--"/>
    <s v="709725"/>
    <d v="2025-10-13T12:30:31"/>
    <s v=""/>
    <s v=""/>
    <s v=""/>
    <s v=""/>
  </r>
  <r>
    <s v="INV539453"/>
    <s v="VanZandt Controls, LLC"/>
    <x v="9"/>
    <s v="Adrian Juarez Jr"/>
    <s v="Omar Gonzales"/>
    <s v="INV539453_x000a_WILLIAM KARP"/>
    <s v="5051062"/>
    <s v="Upstream"/>
    <s v=""/>
    <s v="USD"/>
    <n v="287.72000000000003"/>
    <s v="Direct Entry"/>
    <s v="1"/>
    <s v="20-003716"/>
    <s v="For Taylor MDI Choke Valves only 1“ and 2”, Ceramic 3/8“ Size Discs."/>
    <s v=""/>
    <d v="2025-10-08T12:11:54"/>
    <d v="2025-10-01T00:00:00"/>
    <d v="2025-10-01T00:00:00"/>
    <s v=""/>
    <s v=""/>
    <s v=""/>
    <s v=""/>
    <s v=""/>
    <s v=""/>
    <s v=""/>
    <s v=""/>
    <s v=""/>
    <s v=""/>
    <s v=""/>
    <s v=""/>
    <s v=""/>
    <s v=""/>
    <s v=""/>
    <s v=""/>
    <s v=""/>
    <s v=""/>
    <s v=""/>
    <s v=""/>
    <s v=""/>
    <s v=""/>
    <s v=""/>
    <s v=""/>
    <s v="Material"/>
    <s v=""/>
    <s v=""/>
    <s v=""/>
    <s v="1000749900"/>
    <s v="EAGLES NEST 01-30 H 2WB"/>
    <s v="Upstream"/>
    <s v="1046"/>
    <s v=""/>
    <s v=""/>
    <s v=""/>
    <s v=""/>
    <s v=""/>
    <s v=""/>
    <s v=""/>
    <n v="2"/>
    <s v="EA"/>
    <n v="143.86000000000001"/>
    <s v=""/>
    <n v="287.72000000000003"/>
    <s v="E-Maintenance"/>
    <s v="705035"/>
    <d v="2025-10-08T12:15:03"/>
    <s v=""/>
    <s v=""/>
    <s v=""/>
    <s v=""/>
  </r>
  <r>
    <s v="215045"/>
    <s v="TANKLOGIX LLC"/>
    <x v="3"/>
    <s v="Michael Andrews"/>
    <s v="Dusty Gutierrez"/>
    <s v="UL 6-40 CPE Battery, Michael Andrews, Automation"/>
    <s v="5051043"/>
    <s v="Upstream"/>
    <s v=""/>
    <s v="USD"/>
    <n v="254.5"/>
    <s v="Direct Entry"/>
    <s v="1"/>
    <s v=""/>
    <s v="Vehichle Expenses/Mileage"/>
    <s v=""/>
    <d v="2025-10-13T12:31:58"/>
    <d v="2025-10-01T15:00:00"/>
    <d v="2025-10-01T16:30:00"/>
    <s v=""/>
    <s v="UL 6-40 CPE Battery"/>
    <s v=""/>
    <s v=""/>
    <s v=""/>
    <s v=""/>
    <s v=""/>
    <s v=""/>
    <s v=""/>
    <s v=""/>
    <s v=""/>
    <s v=""/>
    <s v=""/>
    <s v=""/>
    <s v=""/>
    <s v=""/>
    <s v=""/>
    <s v=""/>
    <s v=""/>
    <s v=""/>
    <s v=""/>
    <s v=""/>
    <s v=""/>
    <s v=""/>
    <s v="Labor"/>
    <s v=""/>
    <s v=""/>
    <s v=""/>
    <s v="8000045300"/>
    <s v="UL 6-40 BATTERY"/>
    <s v="Upstream"/>
    <s v="1046"/>
    <s v=""/>
    <s v=""/>
    <s v=""/>
    <s v=""/>
    <s v=""/>
    <s v=""/>
    <s v=""/>
    <n v="23"/>
    <s v="HR"/>
    <n v="2"/>
    <s v=""/>
    <n v="46"/>
    <s v="--multiple--"/>
    <s v="709725"/>
    <d v="2025-10-13T12:33:33"/>
    <s v=""/>
    <s v=""/>
    <s v=""/>
    <s v=""/>
  </r>
  <r>
    <s v="215047"/>
    <s v="TANKLOGIX LLC"/>
    <x v="3"/>
    <s v="Michael Andrews"/>
    <s v="Dusty Gutierrez"/>
    <s v="UL Comanche Unit A4144 6, Michael Andrews, Automation"/>
    <s v="5051043"/>
    <s v="Upstream"/>
    <s v=""/>
    <s v="USD"/>
    <n v="393.5"/>
    <s v="Direct Entry"/>
    <s v="1"/>
    <s v=""/>
    <s v="Vehichle Expenses/Mileage"/>
    <s v=""/>
    <d v="2025-10-13T09:56:57"/>
    <d v="2025-10-01T16:30:00"/>
    <d v="2025-10-01T19:00:00"/>
    <s v=""/>
    <s v="UL Comanche Unit A4144 6"/>
    <s v=""/>
    <s v=""/>
    <s v=""/>
    <s v=""/>
    <s v=""/>
    <s v=""/>
    <s v=""/>
    <s v=""/>
    <s v=""/>
    <s v=""/>
    <s v=""/>
    <s v=""/>
    <s v=""/>
    <s v=""/>
    <s v=""/>
    <s v=""/>
    <s v=""/>
    <s v=""/>
    <s v=""/>
    <s v=""/>
    <s v=""/>
    <s v=""/>
    <s v="Labor"/>
    <s v=""/>
    <s v=""/>
    <s v=""/>
    <s v="1000588800"/>
    <s v="UL COMANCHE UNIT A4144 6"/>
    <s v="Upstream"/>
    <s v="1046"/>
    <s v=""/>
    <s v=""/>
    <s v=""/>
    <s v=""/>
    <s v=""/>
    <s v=""/>
    <s v=""/>
    <n v="23"/>
    <s v="HR"/>
    <n v="2"/>
    <s v=""/>
    <n v="46"/>
    <s v="--multiple--"/>
    <s v="709725"/>
    <d v="2025-10-13T09:58:33"/>
    <s v=""/>
    <s v=""/>
    <s v=""/>
    <s v=""/>
  </r>
  <r>
    <s v="215056"/>
    <s v="TANKLOGIX LLC"/>
    <x v="3"/>
    <s v="Michael Andrews"/>
    <s v="Dusty Gutierrez"/>
    <s v="UL Comanche Unit A4144 6, Michael Andrews, Automation"/>
    <s v="5051043"/>
    <s v="Upstream"/>
    <s v=""/>
    <s v="USD"/>
    <n v="346"/>
    <s v="Direct Entry"/>
    <s v="1"/>
    <s v=""/>
    <s v="Vehichle Expenses/Mileage"/>
    <s v=""/>
    <d v="2025-10-13T10:01:39"/>
    <d v="2025-10-02T07:30:00"/>
    <d v="2025-10-02T09:30:00"/>
    <s v=""/>
    <s v="UL Comanche Unit A4144 6"/>
    <s v=""/>
    <s v=""/>
    <s v=""/>
    <s v=""/>
    <s v=""/>
    <s v=""/>
    <s v=""/>
    <s v=""/>
    <s v=""/>
    <s v=""/>
    <s v=""/>
    <s v=""/>
    <s v=""/>
    <s v=""/>
    <s v=""/>
    <s v=""/>
    <s v=""/>
    <s v=""/>
    <s v=""/>
    <s v=""/>
    <s v=""/>
    <s v=""/>
    <s v="Labor"/>
    <s v=""/>
    <s v=""/>
    <s v=""/>
    <s v="1000588800"/>
    <s v="UL COMANCHE UNIT A4144 6"/>
    <s v="Upstream"/>
    <s v="1046"/>
    <s v=""/>
    <s v=""/>
    <s v=""/>
    <s v=""/>
    <s v=""/>
    <s v=""/>
    <s v=""/>
    <n v="34"/>
    <s v="HR"/>
    <n v="2"/>
    <s v=""/>
    <n v="68"/>
    <s v="--multiple--"/>
    <s v="709725"/>
    <d v="2025-10-13T10:03:15"/>
    <s v=""/>
    <s v=""/>
    <s v=""/>
    <s v=""/>
  </r>
  <r>
    <s v="215061"/>
    <s v="TANKLOGIX LLC"/>
    <x v="3"/>
    <s v="Michael Andrews"/>
    <s v="Dusty Gutierrez"/>
    <s v="UL Carniolan 7-49 H 4LS, Michael Andrews, Automation"/>
    <s v="5051043"/>
    <s v="Upstream"/>
    <s v=""/>
    <s v="USD"/>
    <n v="276.5"/>
    <s v="Direct Entry"/>
    <s v="1"/>
    <s v=""/>
    <s v="Vehichle Expenses/Mileage"/>
    <s v=""/>
    <d v="2025-10-13T12:24:58"/>
    <d v="2025-10-02T09:30:00"/>
    <d v="2025-10-02T11:00:00"/>
    <s v=""/>
    <s v="UL Carniolan 7-49 H 4LS"/>
    <s v=""/>
    <s v=""/>
    <s v=""/>
    <s v=""/>
    <s v=""/>
    <s v=""/>
    <s v=""/>
    <s v=""/>
    <s v=""/>
    <s v=""/>
    <s v=""/>
    <s v=""/>
    <s v=""/>
    <s v=""/>
    <s v=""/>
    <s v=""/>
    <s v=""/>
    <s v=""/>
    <s v=""/>
    <s v=""/>
    <s v=""/>
    <s v=""/>
    <s v="Labor"/>
    <s v=""/>
    <s v=""/>
    <s v=""/>
    <s v="1000424400"/>
    <s v="UL CARNIOLAN 7-49 H 4LS"/>
    <s v="Upstream"/>
    <s v="1046"/>
    <s v=""/>
    <s v=""/>
    <s v=""/>
    <s v=""/>
    <s v=""/>
    <s v=""/>
    <s v=""/>
    <n v="34"/>
    <s v="HR"/>
    <n v="2"/>
    <s v=""/>
    <n v="68"/>
    <s v="--multiple--"/>
    <s v="709725"/>
    <d v="2025-10-13T12:26:47"/>
    <s v=""/>
    <s v=""/>
    <s v=""/>
    <s v=""/>
  </r>
  <r>
    <s v="215066"/>
    <s v="TANKLOGIX LLC"/>
    <x v="3"/>
    <s v="Michael Andrews"/>
    <s v="Dusty Gutierrez"/>
    <s v="Chablis 8, Michael Andrews, Automation"/>
    <s v="5051043"/>
    <s v="Upstream"/>
    <s v=""/>
    <s v="USD"/>
    <n v="554.5"/>
    <s v="Direct Entry"/>
    <s v="1"/>
    <s v=""/>
    <s v="Vehichle Expenses/Mileage"/>
    <s v=""/>
    <d v="2025-10-13T14:49:16"/>
    <d v="2025-10-02T11:00:00"/>
    <d v="2025-10-02T14:30:00"/>
    <s v=""/>
    <s v="Chablis 8"/>
    <s v=""/>
    <s v=""/>
    <s v=""/>
    <s v=""/>
    <s v=""/>
    <s v=""/>
    <s v=""/>
    <s v=""/>
    <s v=""/>
    <s v=""/>
    <s v=""/>
    <s v=""/>
    <s v=""/>
    <s v=""/>
    <s v=""/>
    <s v=""/>
    <s v=""/>
    <s v=""/>
    <s v=""/>
    <s v=""/>
    <s v=""/>
    <s v=""/>
    <s v="Labor"/>
    <s v=""/>
    <s v=""/>
    <s v=""/>
    <s v="1000578400"/>
    <s v="CHABLIS 8"/>
    <s v="Upstream"/>
    <s v="1046"/>
    <s v=""/>
    <s v=""/>
    <s v=""/>
    <s v=""/>
    <s v=""/>
    <s v=""/>
    <s v=""/>
    <n v="34"/>
    <s v="HR"/>
    <n v="2"/>
    <s v=""/>
    <n v="68"/>
    <s v="--multiple--"/>
    <s v="709725"/>
    <d v="2025-10-13T14:50:38"/>
    <s v=""/>
    <s v=""/>
    <s v=""/>
    <s v=""/>
  </r>
  <r>
    <s v="215070"/>
    <s v="TANKLOGIX LLC"/>
    <x v="3"/>
    <s v="Michael Andrews"/>
    <s v="Dusty Gutierrez"/>
    <s v="UL South Battery, Michael Andrews, Automation"/>
    <s v="5051043"/>
    <s v="Upstream"/>
    <s v=""/>
    <s v="USD"/>
    <n v="554.5"/>
    <s v="Direct Entry"/>
    <s v="1"/>
    <s v=""/>
    <s v="Vehichle Expenses/Mileage"/>
    <s v=""/>
    <d v="2025-10-13T12:07:03"/>
    <d v="2025-10-02T14:30:00"/>
    <d v="2025-10-02T18:00:00"/>
    <s v=""/>
    <s v="UL South Battery"/>
    <s v=""/>
    <s v=""/>
    <s v=""/>
    <s v=""/>
    <s v=""/>
    <s v=""/>
    <s v=""/>
    <s v=""/>
    <s v=""/>
    <s v=""/>
    <s v=""/>
    <s v=""/>
    <s v=""/>
    <s v=""/>
    <s v=""/>
    <s v=""/>
    <s v=""/>
    <s v=""/>
    <s v=""/>
    <s v=""/>
    <s v=""/>
    <s v=""/>
    <s v="Labor"/>
    <s v=""/>
    <s v=""/>
    <s v=""/>
    <s v="8000046900"/>
    <s v="UL SOUTH BATTERY"/>
    <s v="Upstream"/>
    <s v="1046"/>
    <s v=""/>
    <s v=""/>
    <s v=""/>
    <s v=""/>
    <s v=""/>
    <s v=""/>
    <s v=""/>
    <n v="34"/>
    <s v="HR"/>
    <n v="2"/>
    <s v=""/>
    <n v="68"/>
    <s v="--multiple--"/>
    <s v="709725"/>
    <d v="2025-10-13T12:10:08"/>
    <s v=""/>
    <s v=""/>
    <s v=""/>
    <s v=""/>
  </r>
  <r>
    <s v="OD1336179"/>
    <s v="Jet Specialty Inc"/>
    <x v="10"/>
    <s v="Andy Sensibaugh"/>
    <s v="Omar Gonzales"/>
    <s v="LEASE: LUPIN WEST EDGE BATTERY; BUYER: ANDY S; PO: 166538"/>
    <s v="5051049"/>
    <s v="Upstream"/>
    <s v="166538"/>
    <s v="USD"/>
    <n v="30.67"/>
    <s v="API"/>
    <s v="1"/>
    <s v="NS680"/>
    <s v="RED &amp; WHITE REFLECTIVE TAPE"/>
    <s v="MISC FITTINGS AND SUPPLIES"/>
    <d v="2025-10-03T08:25:40"/>
    <d v="2025-09-25T00:01:00"/>
    <d v="2025-09-25T00:01:00"/>
    <s v=""/>
    <s v=""/>
    <s v=""/>
    <s v=""/>
    <s v=""/>
    <s v=""/>
    <s v=""/>
    <s v=""/>
    <s v=""/>
    <s v=""/>
    <s v=""/>
    <s v=""/>
    <s v=""/>
    <s v=""/>
    <s v=""/>
    <s v=""/>
    <s v=""/>
    <s v=""/>
    <s v=""/>
    <s v=""/>
    <s v=""/>
    <s v=""/>
    <s v=""/>
    <s v=""/>
    <s v="Material"/>
    <s v=""/>
    <s v=""/>
    <s v=""/>
    <s v="8000303900"/>
    <s v="LUPIN WEST EDGE BATTERY"/>
    <s v="Upstream"/>
    <s v="1046"/>
    <s v=""/>
    <s v=""/>
    <s v=""/>
    <s v=""/>
    <s v=""/>
    <s v=""/>
    <s v=""/>
    <n v="1"/>
    <s v="EA"/>
    <n v="30.67"/>
    <s v=""/>
    <n v="30.67"/>
    <s v="--multiple--"/>
    <s v="708023"/>
    <d v="2025-10-03T08:30:04"/>
    <s v=""/>
    <s v=""/>
    <s v=""/>
    <s v=""/>
  </r>
  <r>
    <s v="CT-22232"/>
    <s v="E &amp; A Welding &amp; Oilfield Services Inc."/>
    <x v="2"/>
    <s v="Daniel Valenzuela"/>
    <s v="Omar Gonzales"/>
    <s v="DRIVE TO THE LOCATION TO CHANGE 2 INCH FRAME REST ON THE COMBUSTER"/>
    <s v="5051064"/>
    <s v="Upstream"/>
    <s v="157276"/>
    <s v="USD"/>
    <n v="352.5"/>
    <s v="Direct Entry"/>
    <s v="1"/>
    <s v="3MGGT"/>
    <s v="Three Man Gang crew and Gang Truck"/>
    <s v=""/>
    <d v="2025-10-06T13:03:20"/>
    <d v="2025-09-19T06:30:00"/>
    <d v="2025-09-19T09:00:00"/>
    <s v=""/>
    <s v="GOMER BATTERY"/>
    <s v=""/>
    <s v=""/>
    <s v=""/>
    <s v=""/>
    <s v=""/>
    <s v=""/>
    <s v=""/>
    <s v=""/>
    <s v=""/>
    <s v=""/>
    <s v=""/>
    <s v=""/>
    <s v=""/>
    <s v=""/>
    <s v=""/>
    <s v=""/>
    <s v=""/>
    <s v=""/>
    <s v=""/>
    <s v=""/>
    <s v=""/>
    <s v=""/>
    <s v="Labor"/>
    <s v=""/>
    <s v=""/>
    <s v=""/>
    <s v="8000303300"/>
    <s v="GOMER BATTERY"/>
    <s v="Upstream"/>
    <s v="1046"/>
    <s v=""/>
    <s v=""/>
    <s v=""/>
    <s v=""/>
    <s v=""/>
    <s v=""/>
    <s v=""/>
    <n v="2.5"/>
    <s v="HR"/>
    <n v="141"/>
    <s v=""/>
    <n v="352.5"/>
    <s v="--multiple--"/>
    <s v="706137"/>
    <d v="2025-10-06T13:05:54"/>
    <s v=""/>
    <s v=""/>
    <s v=""/>
    <s v=""/>
  </r>
  <r>
    <s v="G5783531"/>
    <s v="NLP Enterprises, LLC"/>
    <x v="2"/>
    <s v="Oscar Valverde"/>
    <s v="Omar Gonzales"/>
    <s v="Removed the old well head and made it new we went for connections to Odessa DB and jet supply"/>
    <s v="5051062"/>
    <s v="Upstream"/>
    <s v="162992"/>
    <s v="USD"/>
    <n v="1080"/>
    <s v="API"/>
    <s v="1"/>
    <s v="D3"/>
    <s v="Production-Pusher and 2 Hands"/>
    <s v=""/>
    <d v="2025-10-03T08:29:59"/>
    <d v="2025-09-22T06:00:00"/>
    <d v="2025-09-22T14:00:00"/>
    <s v=""/>
    <s v="EMMETT 11 (1WP)"/>
    <s v=""/>
    <s v=""/>
    <s v=""/>
    <s v=""/>
    <s v=""/>
    <s v=""/>
    <s v=""/>
    <s v=""/>
    <s v=""/>
    <s v=""/>
    <s v=""/>
    <s v=""/>
    <s v=""/>
    <s v=""/>
    <s v=""/>
    <s v=""/>
    <s v=""/>
    <s v=""/>
    <s v=""/>
    <s v=""/>
    <s v=""/>
    <s v=""/>
    <s v="Labor"/>
    <s v="Ortiz, Edgar"/>
    <s v=""/>
    <s v=""/>
    <s v="1000771400"/>
    <s v="EMMETT 11"/>
    <s v="Upstream"/>
    <s v="1046"/>
    <s v=""/>
    <s v=""/>
    <s v=""/>
    <s v=""/>
    <s v=""/>
    <s v=""/>
    <s v=""/>
    <n v="8"/>
    <s v="HR"/>
    <n v="135"/>
    <s v=""/>
    <n v="1080"/>
    <s v="--multiple--"/>
    <s v="700289"/>
    <d v="2025-10-03T10:46:44"/>
    <s v=""/>
    <s v=""/>
    <s v=""/>
    <s v=""/>
  </r>
  <r>
    <s v="3735"/>
    <s v="Texas Raw Backhoe Service"/>
    <x v="2"/>
    <s v="Ruston Pardue"/>
    <s v="Omar Gonzales"/>
    <s v="Drove Diamondback pit, loaded material onto Belly Dump, drove to  location, build small pad next to electric panels, backfilled small ditches, backfilled pot hole on lease road and leveled out location._x000a_Drove Diamondback pit, was loaded with material, hauled material to the Eagles Nest location, hauled stockpiled material onsite to backfill pot hole on lease road."/>
    <s v="5051027"/>
    <s v="Upstream"/>
    <s v="162990"/>
    <s v="USD"/>
    <n v="2640"/>
    <s v="Direct Entry"/>
    <s v="1"/>
    <s v="Backhoe"/>
    <s v="Backhoe Services"/>
    <s v="Backhoe Excavation"/>
    <d v="2025-09-26T19:34:39"/>
    <d v="2025-09-16T07:15:00"/>
    <d v="2025-09-16T15:30:00"/>
    <s v=""/>
    <s v="Eagles Nest 0131A 301H"/>
    <s v=""/>
    <s v=""/>
    <s v=""/>
    <s v=""/>
    <s v=""/>
    <s v=""/>
    <s v=""/>
    <s v=""/>
    <s v=""/>
    <s v=""/>
    <s v=""/>
    <s v=""/>
    <s v=""/>
    <s v=""/>
    <s v=""/>
    <s v=""/>
    <s v=""/>
    <s v=""/>
    <s v=""/>
    <s v=""/>
    <s v=""/>
    <s v=""/>
    <s v="Equipment"/>
    <s v=""/>
    <s v=""/>
    <s v=""/>
    <s v="1000768900"/>
    <s v="EAGLES NEST 0131 A 301H WB"/>
    <s v="Upstream"/>
    <s v="1046"/>
    <s v=""/>
    <s v=""/>
    <s v=""/>
    <s v=""/>
    <s v=""/>
    <s v=""/>
    <s v=""/>
    <n v="8.25"/>
    <s v="HR"/>
    <n v="150"/>
    <s v=""/>
    <n v="1237.5"/>
    <s v=""/>
    <s v="712994"/>
    <d v="2025-10-10T19:39:59"/>
    <s v=""/>
    <s v=""/>
    <s v="Service Date/Time Issue | Attachment Issue"/>
    <s v=""/>
  </r>
  <r>
    <s v="15804188"/>
    <s v="Weatherford International Inc."/>
    <x v="3"/>
    <s v="Ruston Pardue"/>
    <s v="Omar Gonzales"/>
    <s v="REQUISITIONER NAME : JANET LOCKLAR; REQUISITIONER PHONE NO. : 432-221-7400; SALES ORDER # : 15804188; AFE/WBS/CC # : 1000770900; FIELD TICKET/DT/SO : 15804188; CONTRACT NO. : WEATHERFORD PROD; WELL : 2; LEASE: EMMETT"/>
    <s v="5051035"/>
    <s v="Upstream"/>
    <s v="147364"/>
    <s v="USD"/>
    <n v="180"/>
    <s v="B2B"/>
    <s v="5000001"/>
    <s v="SA-2312492"/>
    <s v="Bill Type: Sale ; DT Seq: 1 ; . DT Line : 1 ; . Inv Line : 1 ; Rate ; Add    1.00  Days @  180.0000  =  180.00 SERVICE CHARGE, PUS-MAINTENANC E PU LUBE AND INSPECT ; Internal Use Only XML ID : 15804188-79240741"/>
    <s v=""/>
    <d v="2025-10-10T16:05:01"/>
    <d v="2025-09-22T17:05:00"/>
    <d v="2025-09-22T17:05:00"/>
    <s v=""/>
    <s v="2"/>
    <s v=""/>
    <s v=""/>
    <s v=""/>
    <s v=""/>
    <s v=""/>
    <s v=""/>
    <s v=""/>
    <s v=""/>
    <s v=""/>
    <s v=""/>
    <s v=""/>
    <s v=""/>
    <s v=""/>
    <s v=""/>
    <s v=""/>
    <s v=""/>
    <s v=""/>
    <s v=""/>
    <s v=""/>
    <s v=""/>
    <s v=""/>
    <s v=""/>
    <s v=""/>
    <s v=""/>
    <s v=""/>
    <s v=""/>
    <s v="1000770900"/>
    <s v="EMMETT 02"/>
    <s v="Upstream"/>
    <s v="1046"/>
    <s v=""/>
    <s v=""/>
    <s v=""/>
    <s v=""/>
    <s v=""/>
    <s v=""/>
    <s v=""/>
    <n v="1"/>
    <s v="EA"/>
    <n v="180"/>
    <s v=""/>
    <n v="180"/>
    <s v="--multiple--"/>
    <s v="700000"/>
    <d v="2025-10-10T16:05:01"/>
    <s v=""/>
    <s v=""/>
    <s v=""/>
    <s v=""/>
  </r>
  <r>
    <s v="15804189"/>
    <s v="Weatherford International Inc."/>
    <x v="3"/>
    <s v="Ruston Pardue"/>
    <s v="Omar Gonzales"/>
    <s v="REQUISITIONER NAME : JANET LOCKLAR; REQUISITIONER PHONE NO. : 432-221-7400; SALES ORDER # : 15804189; AFE/WBS/CC # : 1000771500; FIELD TICKET/DT/SO : 15804189; CONTRACT NO. : WEATHERFORD PROD; WELL : 12; LEASE: EMMETT"/>
    <s v="5051035"/>
    <s v="Upstream"/>
    <s v="147460"/>
    <s v="USD"/>
    <n v="180"/>
    <s v="B2B"/>
    <s v="5000001"/>
    <s v="SA-2312492"/>
    <s v="Bill Type: Sale ; DT Seq: 1 ; . DT Line : 1 ; . Inv Line : 1 ; Rate ; Add    1.00  Days @  180.0000  =  180.00 SERVICE CHARGE, PUS-MAINTENANC E PU LUBE AND INSPECT ; Internal Use Only XML ID : 15804189-79187151"/>
    <s v=""/>
    <d v="2025-10-10T16:05:35"/>
    <d v="2025-09-22T17:05:34"/>
    <d v="2025-09-22T17:05:34"/>
    <s v=""/>
    <s v="12"/>
    <s v=""/>
    <s v=""/>
    <s v=""/>
    <s v=""/>
    <s v=""/>
    <s v=""/>
    <s v=""/>
    <s v=""/>
    <s v=""/>
    <s v=""/>
    <s v=""/>
    <s v=""/>
    <s v=""/>
    <s v=""/>
    <s v=""/>
    <s v=""/>
    <s v=""/>
    <s v=""/>
    <s v=""/>
    <s v=""/>
    <s v=""/>
    <s v=""/>
    <s v=""/>
    <s v=""/>
    <s v=""/>
    <s v=""/>
    <s v="1000771500"/>
    <s v="EMMETT 12"/>
    <s v="Upstream"/>
    <s v="1046"/>
    <s v=""/>
    <s v=""/>
    <s v=""/>
    <s v=""/>
    <s v=""/>
    <s v=""/>
    <s v=""/>
    <n v="1"/>
    <s v="EA"/>
    <n v="180"/>
    <s v=""/>
    <n v="180"/>
    <s v="--multiple--"/>
    <s v="700000"/>
    <d v="2025-10-10T16:05:35"/>
    <s v=""/>
    <s v=""/>
    <s v=""/>
    <s v=""/>
  </r>
  <r>
    <s v="15804190"/>
    <s v="Weatherford International Inc."/>
    <x v="3"/>
    <s v="Ruston Pardue"/>
    <s v="Omar Gonzales"/>
    <s v="REQUISITIONER NAME : JANET LOCKLAR; REQUISITIONER PHONE NO. : 432-221-7400; SALES ORDER # : 15804190; AFE/WBS/CC # : 1000771400; FIELD TICKET/DT/SO : 15804190; CONTRACT NO. : WEATHERFORD PROD; WELL : 11; LEASE: EMMETT"/>
    <s v="5051035"/>
    <s v="Upstream"/>
    <s v="147351"/>
    <s v="USD"/>
    <n v="180"/>
    <s v="B2B"/>
    <s v="5000001"/>
    <s v="SA-2312492"/>
    <s v="Bill Type: Sale ; DT Seq: 1 ; . DT Line : 1 ; . Inv Line : 1 ; Rate ; Add    1.00  Days @  180.0000  =  180.00 SERVICE CHARGE, PUS-MAINTENANC E PU LUBE AND INSPECT ; Internal Use Only XML ID : 15804190-79240836"/>
    <s v=""/>
    <d v="2025-10-10T16:05:35"/>
    <d v="2025-09-22T17:05:34"/>
    <d v="2025-09-22T17:05:34"/>
    <s v=""/>
    <s v="11"/>
    <s v=""/>
    <s v=""/>
    <s v=""/>
    <s v=""/>
    <s v=""/>
    <s v=""/>
    <s v=""/>
    <s v=""/>
    <s v=""/>
    <s v=""/>
    <s v=""/>
    <s v=""/>
    <s v=""/>
    <s v=""/>
    <s v=""/>
    <s v=""/>
    <s v=""/>
    <s v=""/>
    <s v=""/>
    <s v=""/>
    <s v=""/>
    <s v=""/>
    <s v=""/>
    <s v=""/>
    <s v=""/>
    <s v=""/>
    <s v="1000771400"/>
    <s v="EMMETT 11"/>
    <s v="Upstream"/>
    <s v="1046"/>
    <s v=""/>
    <s v=""/>
    <s v=""/>
    <s v=""/>
    <s v=""/>
    <s v=""/>
    <s v=""/>
    <n v="1"/>
    <s v="EA"/>
    <n v="180"/>
    <s v=""/>
    <n v="180"/>
    <s v="--multiple--"/>
    <s v="700000"/>
    <d v="2025-10-10T16:05:35"/>
    <s v=""/>
    <s v=""/>
    <s v=""/>
    <s v=""/>
  </r>
  <r>
    <s v="15804187"/>
    <s v="Weatherford International Inc."/>
    <x v="3"/>
    <s v="Ruston Pardue"/>
    <s v="Omar Gonzales"/>
    <s v="REQUISITIONER NAME : JANET LOCKLAR; REQUISITIONER PHONE NO. : 432-221-7400; SALES ORDER # : 15804187; AFE/WBS/CC # : 1000771100; FIELD TICKET/DT/SO : 15804187; CONTRACT NO. : WEATHERFORD PROD; WELL : 7; LEASE: EMMETT"/>
    <s v="5051035"/>
    <s v="Upstream"/>
    <s v="147282"/>
    <s v="USD"/>
    <n v="180"/>
    <s v="B2B"/>
    <s v="5000001"/>
    <s v="SA-2312492"/>
    <s v="Bill Type: Sale ; DT Seq: 1 ; . DT Line : 1 ; . Inv Line : 1 ; Rate ; Add    1.00  Days @  180.0000  =  180.00 SERVICE CHARGE, PUS-MAINTENANC E PU LUBE AND INSPECT ; Internal Use Only XML ID : 15804187-79187154"/>
    <s v=""/>
    <d v="2025-10-10T16:05:36"/>
    <d v="2025-09-22T17:05:35"/>
    <d v="2025-09-22T17:05:35"/>
    <s v=""/>
    <s v="7"/>
    <s v=""/>
    <s v=""/>
    <s v=""/>
    <s v=""/>
    <s v=""/>
    <s v=""/>
    <s v=""/>
    <s v=""/>
    <s v=""/>
    <s v=""/>
    <s v=""/>
    <s v=""/>
    <s v=""/>
    <s v=""/>
    <s v=""/>
    <s v=""/>
    <s v=""/>
    <s v=""/>
    <s v=""/>
    <s v=""/>
    <s v=""/>
    <s v=""/>
    <s v=""/>
    <s v=""/>
    <s v=""/>
    <s v=""/>
    <s v="1000771100"/>
    <s v="EMMETT 07"/>
    <s v="Upstream"/>
    <s v="1046"/>
    <s v=""/>
    <s v=""/>
    <s v=""/>
    <s v=""/>
    <s v=""/>
    <s v=""/>
    <s v=""/>
    <n v="1"/>
    <s v="EA"/>
    <n v="180"/>
    <s v=""/>
    <n v="180"/>
    <s v="--multiple--"/>
    <s v="700000"/>
    <d v="2025-10-10T16:05:36"/>
    <s v=""/>
    <s v=""/>
    <s v=""/>
    <s v=""/>
  </r>
  <r>
    <s v="OD1336148"/>
    <s v="Jet Specialty Inc"/>
    <x v="10"/>
    <s v="Ruston Pardue"/>
    <s v="Omar Gonzales"/>
    <s v="LEASE: LUPIN TXL FEE B 4112E; BUYER: RUSTON; PO: 162991"/>
    <s v="5051049"/>
    <s v="Upstream"/>
    <s v="162991"/>
    <s v="USD"/>
    <n v="2964.33"/>
    <s v="API"/>
    <s v="1"/>
    <s v="NS680"/>
    <s v="1-1/2&quot;x30FT PISTON STEEL POLISH ROD 1&quot; PIN"/>
    <s v="MISC FITTINGS AND SUPPLIES"/>
    <d v="2025-10-03T08:25:01"/>
    <d v="2025-09-23T00:01:00"/>
    <d v="2025-09-23T00:01:00"/>
    <s v=""/>
    <s v=""/>
    <s v=""/>
    <s v=""/>
    <s v=""/>
    <s v=""/>
    <s v=""/>
    <s v=""/>
    <s v=""/>
    <s v=""/>
    <s v=""/>
    <s v=""/>
    <s v=""/>
    <s v=""/>
    <s v=""/>
    <s v=""/>
    <s v=""/>
    <s v=""/>
    <s v=""/>
    <s v=""/>
    <s v=""/>
    <s v=""/>
    <s v=""/>
    <s v=""/>
    <s v="Material"/>
    <s v=""/>
    <s v=""/>
    <s v=""/>
    <s v="1000809900"/>
    <s v="LUPIN TXL FEE B 4112E"/>
    <s v="Upstream"/>
    <s v="1046"/>
    <s v=""/>
    <s v=""/>
    <s v=""/>
    <s v=""/>
    <s v=""/>
    <s v=""/>
    <s v=""/>
    <n v="1"/>
    <s v="EA"/>
    <n v="465.23"/>
    <s v=""/>
    <n v="465.23"/>
    <s v="--multiple--"/>
    <s v="708023"/>
    <d v="2025-10-03T08:28:58"/>
    <s v=""/>
    <s v=""/>
    <s v=""/>
    <s v=""/>
  </r>
  <r>
    <s v="202544610"/>
    <s v="AM Fabrication Inc"/>
    <x v="9"/>
    <s v="Ruston Pardue"/>
    <s v="Omar Gonzales"/>
    <s v="Pm on VRU, checked oil level, changed oil filter, and made sure unit was operational."/>
    <s v="5051064"/>
    <s v="Upstream"/>
    <s v="148328"/>
    <s v="USD"/>
    <n v="374.98"/>
    <s v="Direct Entry"/>
    <s v="1"/>
    <s v="1236"/>
    <s v="Diamondback PM VRU"/>
    <s v="Stock item"/>
    <d v="2025-10-03T07:14:18"/>
    <d v="2025-09-25T11:30:00"/>
    <d v="2025-09-25T13:00:00"/>
    <s v=""/>
    <s v="MILLIE B BATTERY"/>
    <s v=""/>
    <s v=""/>
    <s v=""/>
    <s v=""/>
    <s v=""/>
    <s v=""/>
    <s v=""/>
    <s v=""/>
    <s v=""/>
    <s v=""/>
    <s v=""/>
    <s v=""/>
    <s v=""/>
    <s v=""/>
    <s v=""/>
    <s v=""/>
    <s v=""/>
    <s v=""/>
    <s v=""/>
    <s v=""/>
    <s v=""/>
    <s v=""/>
    <s v="Labor"/>
    <s v=""/>
    <s v=""/>
    <s v=""/>
    <s v="8000305000"/>
    <s v="MILLIE B BATTERY"/>
    <s v="Upstream"/>
    <s v="1046"/>
    <s v=""/>
    <s v=""/>
    <s v=""/>
    <s v=""/>
    <s v=""/>
    <s v=""/>
    <s v=""/>
    <n v="1"/>
    <s v="EA"/>
    <n v="325"/>
    <s v=""/>
    <n v="325"/>
    <s v="--multiple--"/>
    <s v="703623"/>
    <d v="2025-10-03T07:15:30"/>
    <s v=""/>
    <s v=""/>
    <s v=""/>
    <s v=""/>
  </r>
  <r>
    <s v="431219"/>
    <s v="Diamond Pump and Transport, LLC"/>
    <x v="10"/>
    <s v="Ruston Pardue"/>
    <s v="Omar Gonzales"/>
    <s v="431219-WASHOUT AND PULL BOTTOMS"/>
    <s v="5051049"/>
    <s v="Upstream"/>
    <s v="169834"/>
    <s v="USD"/>
    <n v="641.25"/>
    <s v="Direct Entry"/>
    <s v="1"/>
    <s v="VACUUM TRUCK"/>
    <s v="Vac Truck"/>
    <s v=""/>
    <d v="2025-10-11T10:53:25"/>
    <d v="2025-10-06T08:30:00"/>
    <d v="2025-10-06T15:15:00"/>
    <d v="1899-12-30T06:45:00"/>
    <s v="FLOYD BAT"/>
    <s v=""/>
    <s v=""/>
    <s v="*"/>
    <s v=""/>
    <s v=""/>
    <s v=""/>
    <s v=""/>
    <s v=""/>
    <s v=""/>
    <s v=""/>
    <s v=""/>
    <s v=""/>
    <s v=""/>
    <s v=""/>
    <s v=""/>
    <s v=""/>
    <s v=""/>
    <s v=""/>
    <s v=""/>
    <s v=""/>
    <n v="0"/>
    <s v="bbl"/>
    <s v=""/>
    <s v=""/>
    <s v=""/>
    <s v=""/>
    <s v="8000138000"/>
    <s v="FLOYD 1 BATTERY"/>
    <s v="Upstream"/>
    <s v="1046"/>
    <s v=""/>
    <s v=""/>
    <s v=""/>
    <s v=""/>
    <s v=""/>
    <s v=""/>
    <s v="Hours Worked"/>
    <n v="6.75"/>
    <s v="hour"/>
    <n v="95"/>
    <s v=""/>
    <n v="641.25"/>
    <s v="Pricebook"/>
    <s v="705890"/>
    <d v="2025-10-13T15:51:19"/>
    <s v=""/>
    <s v=""/>
    <s v=""/>
    <s v=""/>
  </r>
  <r>
    <s v="215072"/>
    <s v="TANKLOGIX LLC"/>
    <x v="3"/>
    <s v="Michael Andrews"/>
    <s v="Dusty Gutierrez"/>
    <s v="Mabee Breedlove AD 2405MS, Michael Andrews, Automation"/>
    <s v="5051043"/>
    <s v="Upstream"/>
    <s v=""/>
    <s v="USD"/>
    <n v="920.5"/>
    <s v="Direct Entry"/>
    <s v="1"/>
    <s v=""/>
    <s v="Vehichle Expenses/Mileage"/>
    <s v=""/>
    <d v="2025-10-13T14:21:57"/>
    <d v="2025-10-03T07:30:00"/>
    <d v="2025-10-03T13:00:00"/>
    <s v=""/>
    <s v="Mabee Breedlove AD 2405MS"/>
    <s v=""/>
    <s v=""/>
    <s v=""/>
    <s v=""/>
    <s v=""/>
    <s v=""/>
    <s v=""/>
    <s v=""/>
    <s v=""/>
    <s v=""/>
    <s v=""/>
    <s v=""/>
    <s v=""/>
    <s v=""/>
    <s v=""/>
    <s v=""/>
    <s v=""/>
    <s v=""/>
    <s v=""/>
    <s v=""/>
    <s v=""/>
    <s v=""/>
    <s v="Labor"/>
    <s v=""/>
    <s v=""/>
    <s v=""/>
    <s v="1000277400"/>
    <s v="MABEE BREEDLOVE AD 2405MS"/>
    <s v="Upstream"/>
    <s v="1046"/>
    <s v=""/>
    <s v=""/>
    <s v=""/>
    <s v=""/>
    <s v=""/>
    <s v=""/>
    <s v=""/>
    <n v="78"/>
    <s v="HR"/>
    <n v="2"/>
    <s v=""/>
    <n v="156"/>
    <s v="--multiple--"/>
    <s v="709725"/>
    <d v="2025-10-13T14:23:44"/>
    <s v=""/>
    <s v=""/>
    <s v=""/>
    <s v=""/>
  </r>
  <r>
    <s v="207193"/>
    <s v="Double D Supply Inc"/>
    <x v="2"/>
    <s v="Blane Ward"/>
    <s v="P.A. Gonzales"/>
    <s v="RETAIL SUPPLIES"/>
    <s v="5051049"/>
    <s v="Upstream"/>
    <s v=""/>
    <s v="USD"/>
    <n v="364.22"/>
    <s v="Direct Entry"/>
    <s v="1"/>
    <s v="Plastic Coated Assemblies:IPC Line Pipe:pc2xlp"/>
    <s v="2&quot; x 21' Sch 80 XH Line Pipe IPC"/>
    <s v=""/>
    <d v="2025-10-06T12:47:47"/>
    <d v="2025-09-29T12:00:00"/>
    <d v="2025-09-29T12:00:00"/>
    <s v=""/>
    <s v="CLARK 15 TB"/>
    <s v=""/>
    <s v=""/>
    <s v=""/>
    <s v=""/>
    <s v=""/>
    <s v=""/>
    <s v=""/>
    <s v=""/>
    <s v=""/>
    <s v=""/>
    <s v=""/>
    <s v=""/>
    <s v=""/>
    <s v=""/>
    <s v=""/>
    <s v=""/>
    <s v=""/>
    <s v=""/>
    <s v=""/>
    <s v=""/>
    <s v=""/>
    <s v=""/>
    <s v="Equipment"/>
    <s v=""/>
    <s v=""/>
    <s v=""/>
    <s v="8300088700"/>
    <s v="CLARK 15 BATTERY"/>
    <s v="Upstream"/>
    <s v="1046"/>
    <s v=""/>
    <s v=""/>
    <s v=""/>
    <s v=""/>
    <s v=""/>
    <s v=""/>
    <s v=""/>
    <n v="1"/>
    <s v="EA"/>
    <n v="255.39"/>
    <s v=""/>
    <n v="255.39"/>
    <s v=""/>
    <s v="703999"/>
    <d v="2025-10-06T12:50:50"/>
    <s v=""/>
    <s v=""/>
    <s v=""/>
    <s v=""/>
  </r>
  <r>
    <s v="215075"/>
    <s v="TANKLOGIX LLC"/>
    <x v="3"/>
    <s v="Michael Andrews"/>
    <s v="Dusty Gutierrez"/>
    <s v="Mason West, Michael Andrews, Automation"/>
    <s v="5051043"/>
    <s v="Upstream"/>
    <s v=""/>
    <s v="USD"/>
    <n v="642.5"/>
    <s v="Direct Entry"/>
    <s v="1"/>
    <s v=""/>
    <s v="Vehichle Expenses/Mileage"/>
    <s v=""/>
    <d v="2025-10-13T12:34:31"/>
    <d v="2025-10-03T13:00:00"/>
    <d v="2025-10-03T16:30:00"/>
    <s v=""/>
    <s v="Mason West"/>
    <s v=""/>
    <s v=""/>
    <s v=""/>
    <s v=""/>
    <s v=""/>
    <s v=""/>
    <s v=""/>
    <s v=""/>
    <s v=""/>
    <s v=""/>
    <s v=""/>
    <s v=""/>
    <s v=""/>
    <s v=""/>
    <s v=""/>
    <s v=""/>
    <s v=""/>
    <s v=""/>
    <s v=""/>
    <s v=""/>
    <s v=""/>
    <s v=""/>
    <s v="Labor"/>
    <s v=""/>
    <s v=""/>
    <s v=""/>
    <s v="8000047100"/>
    <s v="UL MASON WEST BATTERY"/>
    <s v="Upstream"/>
    <s v="1046"/>
    <s v=""/>
    <s v=""/>
    <s v=""/>
    <s v=""/>
    <s v=""/>
    <s v=""/>
    <s v=""/>
    <n v="78"/>
    <s v="HR"/>
    <n v="2"/>
    <s v=""/>
    <n v="156"/>
    <s v="--multiple--"/>
    <s v="709725"/>
    <d v="2025-10-13T12:37:09"/>
    <s v=""/>
    <s v=""/>
    <s v=""/>
    <s v=""/>
  </r>
  <r>
    <s v="P69600"/>
    <s v="Air Compressor Solutions, Inc."/>
    <x v="9"/>
    <s v="Michael Robles"/>
    <s v="Bobby Ramirez"/>
    <s v="PARTS INVOICE"/>
    <s v="5051017"/>
    <s v="Upstream"/>
    <s v="139514"/>
    <s v="USD"/>
    <n v="324.43"/>
    <s v="Direct Entry"/>
    <s v="1"/>
    <s v="CWM32-00-30V18"/>
    <s v="CONTACTOR"/>
    <s v="PARTS"/>
    <d v="2025-10-02T09:25:38"/>
    <d v="2025-09-25T00:00:00"/>
    <d v="2025-09-25T00:00:00"/>
    <s v=""/>
    <s v=""/>
    <s v=""/>
    <s v=""/>
    <s v=""/>
    <s v=""/>
    <s v=""/>
    <s v=""/>
    <s v=""/>
    <s v=""/>
    <s v=""/>
    <s v=""/>
    <s v=""/>
    <s v=""/>
    <s v=""/>
    <s v=""/>
    <s v=""/>
    <s v=""/>
    <s v=""/>
    <s v=""/>
    <s v=""/>
    <s v=""/>
    <s v=""/>
    <s v=""/>
    <s v="Material"/>
    <s v=""/>
    <s v=""/>
    <s v=""/>
    <s v="8000303300"/>
    <s v="GOMER BATTERY"/>
    <s v="Upstream"/>
    <s v="1046"/>
    <s v=""/>
    <s v=""/>
    <s v=""/>
    <s v=""/>
    <s v=""/>
    <s v=""/>
    <s v=""/>
    <n v="3"/>
    <s v="EA"/>
    <n v="70.42"/>
    <s v=""/>
    <n v="211.26"/>
    <s v="--multiple--"/>
    <s v="703646"/>
    <d v="2025-10-02T09:27:52"/>
    <s v=""/>
    <s v=""/>
    <s v=""/>
    <s v=""/>
  </r>
  <r>
    <s v="98436"/>
    <s v="BLS Electrical, Inc."/>
    <x v="8"/>
    <s v="Michelle Fuller"/>
    <s v="Jimmy Martin"/>
    <s v="Diamondback _x000a_Billings Unit 808WB_x000a_GPS: 32.0616035, -102.1431230_x000a_Time: 7:00am-9:00am_x000a_Truck: 710_x000a_LOE: Upstream_x000a_GL: 5051043_x000a_WO#: 156636R_x000a__x000a_Work order stated that the Tubing PT was not reading properly. I grabbed a new PT from AWC just in case it needed replaced. After finding the correct entry to this location I checked the PT and the display was showing poorly. I went over to the RMC and found the Fuse for the PT. I tried to power cycle the PT and surprisingly that did fix the issue. The values in the HMI matched the values on the PT display."/>
    <s v="5051043"/>
    <s v="Upstream"/>
    <s v=""/>
    <s v="USD"/>
    <n v="200"/>
    <s v="API"/>
    <s v="1"/>
    <s v="Automation Tech 2"/>
    <s v="Automation Tech 2"/>
    <s v=""/>
    <d v="2025-09-22T12:50:22"/>
    <d v="2025-09-08T07:00:00"/>
    <d v="2025-09-08T09:00:00"/>
    <s v=""/>
    <s v="BILLINGS UNIT 808WB"/>
    <s v=""/>
    <s v=""/>
    <s v=""/>
    <s v=""/>
    <s v=""/>
    <s v=""/>
    <s v=""/>
    <s v=""/>
    <s v=""/>
    <s v=""/>
    <s v=""/>
    <s v=""/>
    <s v=""/>
    <s v=""/>
    <s v=""/>
    <s v=""/>
    <s v=""/>
    <s v=""/>
    <s v=""/>
    <s v=""/>
    <s v=""/>
    <s v=""/>
    <s v="Labor"/>
    <s v=""/>
    <s v=""/>
    <s v=""/>
    <s v="1000232900"/>
    <s v="BILLINGS UNIT 808WB"/>
    <s v="Upstream"/>
    <s v="1046"/>
    <s v=""/>
    <s v=""/>
    <s v=""/>
    <s v=""/>
    <s v=""/>
    <s v=""/>
    <s v=""/>
    <n v="2"/>
    <s v="HR"/>
    <n v="75"/>
    <s v=""/>
    <n v="150"/>
    <s v="--multiple--"/>
    <s v="710565"/>
    <d v="2025-10-13T06:09:22"/>
    <s v=""/>
    <s v=""/>
    <s v="Requisitioner Error"/>
    <s v=""/>
  </r>
  <r>
    <s v="2025-06977"/>
    <s v="GTG Automation, Inc."/>
    <x v="9"/>
    <s v="Michelle Fuller"/>
    <s v="Jimmy Martin"/>
    <s v="Service Time: 0700-1000 Truck: 110_x000a_Drove to location for no power on water transfer pump arrive to location trouble shoot panel everything had proper voltage. Toggle switch was off turn it on pump will work on hand auto still not working so we troubleshoot panel again and PLC found out display wasn’t working has good voltage just screen wouldn’t turn on we let Joel know"/>
    <s v="5051044"/>
    <s v="Upstream"/>
    <s v=""/>
    <s v="USD"/>
    <n v="561"/>
    <s v="Direct Entry"/>
    <s v="1"/>
    <s v=""/>
    <s v="ELECTRICIAN 1"/>
    <s v=""/>
    <d v="2025-10-02T09:38:34"/>
    <d v="2025-09-29T07:00:00"/>
    <d v="2025-09-29T10:00:00"/>
    <s v=""/>
    <s v=""/>
    <s v=""/>
    <s v=""/>
    <s v=""/>
    <s v=""/>
    <s v=""/>
    <s v=""/>
    <s v=""/>
    <s v=""/>
    <s v=""/>
    <s v=""/>
    <s v=""/>
    <s v=""/>
    <s v=""/>
    <s v=""/>
    <s v=""/>
    <s v=""/>
    <s v=""/>
    <s v=""/>
    <s v=""/>
    <s v=""/>
    <s v=""/>
    <s v=""/>
    <s v="Labor"/>
    <s v=""/>
    <s v=""/>
    <s v=""/>
    <s v="8300196400"/>
    <s v="RUSTY NAIL 1HB BATTERY"/>
    <s v="Upstream"/>
    <s v="1046"/>
    <s v=""/>
    <s v=""/>
    <s v=""/>
    <s v=""/>
    <s v=""/>
    <s v=""/>
    <s v=""/>
    <n v="3"/>
    <s v="HR"/>
    <n v="67"/>
    <s v=""/>
    <n v="201"/>
    <s v="--multiple--"/>
    <s v="707669"/>
    <d v="2025-10-02T09:41:58"/>
    <s v=""/>
    <s v=""/>
    <s v=""/>
    <s v=""/>
  </r>
  <r>
    <s v="2025-06978"/>
    <s v="GTG Automation, Inc."/>
    <x v="9"/>
    <s v="Michelle Fuller"/>
    <s v="Jimmy Martin"/>
    <s v="Service Time: 1000-1400 Truck: 110_x000a_Drove to location turn power off disconnected power to drive and transformer pull flexes and wires out drive and transformer then disconnected the automation wires and remove them from drive also disconnected ground wires on the outside of drive and transformer"/>
    <s v="5051044"/>
    <s v="Upstream"/>
    <s v=""/>
    <s v="USD"/>
    <n v="748"/>
    <s v="Direct Entry"/>
    <s v="1"/>
    <s v=""/>
    <s v="ELECTRICIAN 1"/>
    <s v=""/>
    <d v="2025-10-02T09:45:28"/>
    <d v="2025-09-29T10:00:00"/>
    <d v="2025-09-29T14:00:00"/>
    <s v=""/>
    <s v=""/>
    <s v=""/>
    <s v=""/>
    <s v=""/>
    <s v=""/>
    <s v=""/>
    <s v=""/>
    <s v=""/>
    <s v=""/>
    <s v=""/>
    <s v=""/>
    <s v=""/>
    <s v=""/>
    <s v=""/>
    <s v=""/>
    <s v=""/>
    <s v=""/>
    <s v=""/>
    <s v=""/>
    <s v=""/>
    <s v=""/>
    <s v=""/>
    <s v=""/>
    <s v="Labor"/>
    <s v=""/>
    <s v=""/>
    <s v=""/>
    <s v="1001628400"/>
    <s v="NE CTY 3547 251"/>
    <s v="Upstream"/>
    <s v="1046"/>
    <s v=""/>
    <s v=""/>
    <s v=""/>
    <s v=""/>
    <s v=""/>
    <s v=""/>
    <s v=""/>
    <n v="4"/>
    <s v="HR"/>
    <n v="67"/>
    <s v=""/>
    <n v="268"/>
    <s v="--multiple--"/>
    <s v="707669"/>
    <d v="2025-10-02T12:18:43"/>
    <s v=""/>
    <s v=""/>
    <s v=""/>
    <s v=""/>
  </r>
  <r>
    <s v="2025-06979"/>
    <s v="GTG Automation, Inc."/>
    <x v="9"/>
    <s v="Michelle Fuller"/>
    <s v="Jimmy Martin"/>
    <s v="Service Time: 1400-1500, 1500-1700 Truck: 110_x000a_Drove to location and swap rotation from CCW to CW turn well back on and made sure everything was working properly"/>
    <s v="5051044"/>
    <s v="Upstream"/>
    <s v=""/>
    <s v="USD"/>
    <n v="685"/>
    <s v="Direct Entry"/>
    <s v="1"/>
    <s v=""/>
    <s v="ELECTRICIAN 1"/>
    <s v=""/>
    <d v="2025-10-02T12:20:04"/>
    <d v="2025-09-29T14:00:00"/>
    <d v="2025-09-29T15:00:00"/>
    <s v=""/>
    <s v=""/>
    <s v=""/>
    <s v=""/>
    <s v=""/>
    <s v=""/>
    <s v=""/>
    <s v=""/>
    <s v=""/>
    <s v=""/>
    <s v=""/>
    <s v=""/>
    <s v=""/>
    <s v=""/>
    <s v=""/>
    <s v=""/>
    <s v=""/>
    <s v=""/>
    <s v=""/>
    <s v=""/>
    <s v=""/>
    <s v=""/>
    <s v=""/>
    <s v=""/>
    <s v="Labor"/>
    <s v=""/>
    <s v=""/>
    <s v=""/>
    <s v="1000256600"/>
    <s v="BLACKFOOT EAST B 705JM"/>
    <s v="Upstream"/>
    <s v="1046"/>
    <s v=""/>
    <s v=""/>
    <s v=""/>
    <s v=""/>
    <s v=""/>
    <s v=""/>
    <s v=""/>
    <n v="1"/>
    <s v="HR"/>
    <n v="67"/>
    <s v=""/>
    <n v="67"/>
    <s v="--multiple--"/>
    <s v="707669"/>
    <d v="2025-10-02T12:33:10"/>
    <s v=""/>
    <s v=""/>
    <s v=""/>
    <s v=""/>
  </r>
  <r>
    <s v="2025-06999"/>
    <s v="GTG Automation, Inc."/>
    <x v="9"/>
    <s v="Michelle Fuller"/>
    <s v="Jimmy Martin"/>
    <s v="Service Time: 0700-1000 Truck: 110_x000a_Drove to Cain electric and pick up a new starter size 3 then drove to location remove bad starter mount new one terminated and turn it on and made sure it was working properly"/>
    <s v="5051044"/>
    <s v="Upstream"/>
    <s v=""/>
    <s v="USD"/>
    <n v="561"/>
    <s v="Direct Entry"/>
    <s v="1"/>
    <s v=""/>
    <s v="ELECTRICIAN 1"/>
    <s v=""/>
    <d v="2025-10-02T09:43:00"/>
    <d v="2025-09-30T07:00:00"/>
    <d v="2025-09-30T10:00:00"/>
    <s v=""/>
    <s v=""/>
    <s v=""/>
    <s v=""/>
    <s v=""/>
    <s v=""/>
    <s v=""/>
    <s v=""/>
    <s v=""/>
    <s v=""/>
    <s v=""/>
    <s v=""/>
    <s v=""/>
    <s v=""/>
    <s v=""/>
    <s v=""/>
    <s v=""/>
    <s v=""/>
    <s v=""/>
    <s v=""/>
    <s v=""/>
    <s v=""/>
    <s v=""/>
    <s v=""/>
    <s v="Labor"/>
    <s v=""/>
    <s v=""/>
    <s v=""/>
    <s v="1000046000"/>
    <s v="ST NW 2502H"/>
    <s v="Upstream"/>
    <s v="1046"/>
    <s v=""/>
    <s v=""/>
    <s v=""/>
    <s v=""/>
    <s v=""/>
    <s v=""/>
    <s v=""/>
    <n v="3"/>
    <s v="HR"/>
    <n v="67"/>
    <s v=""/>
    <n v="201"/>
    <s v="--multiple--"/>
    <s v="707669"/>
    <d v="2025-10-02T09:44:08"/>
    <s v=""/>
    <s v=""/>
    <s v=""/>
    <s v=""/>
  </r>
  <r>
    <s v="R-5242"/>
    <s v="ACH Services, LLC"/>
    <x v="10"/>
    <s v="Kyle Jordan"/>
    <s v="P.A. Gonzales"/>
    <s v="Drove to location to install wind walls."/>
    <s v="5051027"/>
    <s v="Upstream"/>
    <s v="168388"/>
    <s v="USD"/>
    <n v="1813.75"/>
    <s v="Direct Entry"/>
    <s v="1"/>
    <s v="Roustabout - 3-Man"/>
    <s v="Roustabout - 3-Man"/>
    <s v=""/>
    <d v="2025-10-10T10:30:19"/>
    <d v="2025-10-09T07:00:00"/>
    <d v="2025-10-09T17:15:00"/>
    <s v=""/>
    <s v="WHEELER WILLIAMS 39-34 BATTERY"/>
    <s v=""/>
    <s v=""/>
    <s v=""/>
    <s v=""/>
    <s v=""/>
    <s v=""/>
    <s v=""/>
    <s v=""/>
    <s v=""/>
    <s v=""/>
    <s v=""/>
    <s v=""/>
    <s v=""/>
    <s v=""/>
    <s v=""/>
    <s v=""/>
    <s v=""/>
    <s v=""/>
    <s v=""/>
    <s v=""/>
    <s v=""/>
    <s v=""/>
    <s v="Labor"/>
    <s v=""/>
    <s v=""/>
    <s v=""/>
    <s v="8300166100"/>
    <s v="WHEELER WILLIAMS 39-34 BATTERY"/>
    <s v="Upstream"/>
    <s v="1046"/>
    <s v=""/>
    <s v=""/>
    <s v=""/>
    <s v=""/>
    <s v=""/>
    <s v=""/>
    <s v=""/>
    <n v="10.25"/>
    <s v="HR"/>
    <n v="135"/>
    <s v=""/>
    <n v="1383.75"/>
    <s v="Pricebook"/>
    <s v="712932"/>
    <d v="2025-10-13T12:25:32"/>
    <s v=""/>
    <s v=""/>
    <s v=""/>
    <s v=""/>
  </r>
  <r>
    <s v="T-444849"/>
    <s v="Liberty Lift Solutions LLC"/>
    <x v="9"/>
    <s v="Kyle Jordan"/>
    <s v="P.A. Gonzales"/>
    <s v="Traveled To Location, Safety Meeting, Grease And Inspect. WO 165008 Requested By: PA Gonzales LLS Rep: David Hastings"/>
    <s v="5051035"/>
    <s v="Upstream"/>
    <s v="165008"/>
    <s v="USD"/>
    <n v="155"/>
    <s v="Direct Entry"/>
    <s v="1"/>
    <s v="NS0006"/>
    <s v="Pumping Unit Inspections"/>
    <s v="Other"/>
    <d v="2025-10-13T15:34:38"/>
    <d v="2025-10-09T12:00:00"/>
    <d v="2025-10-09T13:00:00"/>
    <s v=""/>
    <s v="Ricker Rupert P HB 4"/>
    <s v=""/>
    <s v=""/>
    <s v=""/>
    <s v=""/>
    <s v=""/>
    <s v=""/>
    <s v=""/>
    <s v=""/>
    <s v=""/>
    <s v=""/>
    <s v=""/>
    <s v=""/>
    <s v=""/>
    <s v=""/>
    <s v=""/>
    <s v=""/>
    <s v=""/>
    <s v=""/>
    <s v=""/>
    <s v=""/>
    <s v=""/>
    <s v=""/>
    <s v="Labor"/>
    <s v=""/>
    <s v=""/>
    <s v=""/>
    <s v="1001346300"/>
    <s v="RICKER, RUPERT P - HB 4"/>
    <s v="Upstream"/>
    <s v="1046"/>
    <s v=""/>
    <s v=""/>
    <s v=""/>
    <s v=""/>
    <s v=""/>
    <s v=""/>
    <s v=""/>
    <n v="1"/>
    <s v="EA"/>
    <n v="155"/>
    <s v=""/>
    <n v="155"/>
    <s v="--multiple--"/>
    <s v="708256"/>
    <d v="2025-10-13T15:35:53"/>
    <s v=""/>
    <s v=""/>
    <s v=""/>
    <s v=""/>
  </r>
  <r>
    <s v="T-444882"/>
    <s v="Liberty Lift Solutions LLC"/>
    <x v="9"/>
    <s v="Kyle Jordan"/>
    <s v="P.A. Gonzales"/>
    <s v="Traveled To Location, Safety Meeting, Grease And Inspect. WO 165060 Requested By: PA Gonzales LLS Rep: David Hastings"/>
    <s v="5051035"/>
    <s v="Upstream"/>
    <s v="165060"/>
    <s v="USD"/>
    <n v="155"/>
    <s v="Direct Entry"/>
    <s v="1"/>
    <s v="NS0006"/>
    <s v="Pumping Unit Inspections"/>
    <s v="Other"/>
    <d v="2025-10-13T15:36:55"/>
    <d v="2025-10-09T13:00:00"/>
    <d v="2025-10-09T14:00:00"/>
    <s v=""/>
    <s v="Wheeler 4"/>
    <s v=""/>
    <s v=""/>
    <s v=""/>
    <s v=""/>
    <s v=""/>
    <s v=""/>
    <s v=""/>
    <s v=""/>
    <s v=""/>
    <s v=""/>
    <s v=""/>
    <s v=""/>
    <s v=""/>
    <s v=""/>
    <s v=""/>
    <s v=""/>
    <s v=""/>
    <s v=""/>
    <s v=""/>
    <s v=""/>
    <s v=""/>
    <s v=""/>
    <s v="Labor"/>
    <s v=""/>
    <s v=""/>
    <s v=""/>
    <s v="1001223800"/>
    <s v="WHEELER 4"/>
    <s v="Upstream"/>
    <s v="1046"/>
    <s v=""/>
    <s v=""/>
    <s v=""/>
    <s v=""/>
    <s v=""/>
    <s v=""/>
    <s v=""/>
    <n v="1"/>
    <s v="EA"/>
    <n v="155"/>
    <s v=""/>
    <n v="155"/>
    <s v="--multiple--"/>
    <s v="708256"/>
    <d v="2025-10-13T15:38:01"/>
    <s v=""/>
    <s v=""/>
    <s v=""/>
    <s v=""/>
  </r>
  <r>
    <s v="T-445113"/>
    <s v="Liberty Lift Solutions LLC"/>
    <x v="9"/>
    <s v="Kyle Jordan"/>
    <s v="P.A. Gonzales"/>
    <s v="Traveled To Location, Safety Meeting, Grease And Inspect. WO 165166 Requested By: PA Gonzales LLS Rep: David Hastings"/>
    <s v="5051035"/>
    <s v="Upstream"/>
    <s v="165166"/>
    <s v="USD"/>
    <n v="155"/>
    <s v="Direct Entry"/>
    <s v="1"/>
    <s v="NS0006"/>
    <s v="Pumping Unit Inspections"/>
    <s v="Other"/>
    <d v="2025-10-13T15:55:06"/>
    <d v="2025-10-10T09:00:00"/>
    <d v="2025-10-10T10:00:00"/>
    <s v=""/>
    <s v="Williams 33 2"/>
    <s v=""/>
    <s v=""/>
    <s v=""/>
    <s v=""/>
    <s v=""/>
    <s v=""/>
    <s v=""/>
    <s v=""/>
    <s v=""/>
    <s v=""/>
    <s v=""/>
    <s v=""/>
    <s v=""/>
    <s v=""/>
    <s v=""/>
    <s v=""/>
    <s v=""/>
    <s v=""/>
    <s v=""/>
    <s v=""/>
    <s v=""/>
    <s v=""/>
    <s v="Labor"/>
    <s v=""/>
    <s v=""/>
    <s v=""/>
    <s v="1001317100"/>
    <s v="WILLIAMS 33 2"/>
    <s v="Upstream"/>
    <s v="1046"/>
    <s v=""/>
    <s v=""/>
    <s v=""/>
    <s v=""/>
    <s v=""/>
    <s v=""/>
    <s v=""/>
    <n v="1"/>
    <s v="EA"/>
    <n v="155"/>
    <s v=""/>
    <n v="155"/>
    <s v="--multiple--"/>
    <s v="708256"/>
    <d v="2025-10-13T15:56:14"/>
    <s v=""/>
    <s v=""/>
    <s v=""/>
    <s v=""/>
  </r>
  <r>
    <s v="T-445178"/>
    <s v="Liberty Lift Solutions LLC"/>
    <x v="9"/>
    <s v="Kyle Jordan"/>
    <s v="P.A. Gonzales"/>
    <s v="Traveled To Location, Safety Meeting, Grease And Inspect. WO 165037 Requested By: PA Gonzales LLS Rep: David Hastings"/>
    <s v="5051035"/>
    <s v="Upstream"/>
    <s v="165037"/>
    <s v="USD"/>
    <n v="155"/>
    <s v="Direct Entry"/>
    <s v="1"/>
    <s v="NS0006"/>
    <s v="Pumping Unit Inspections"/>
    <s v="Other"/>
    <d v="2025-10-13T15:58:38"/>
    <d v="2025-10-10T10:00:00"/>
    <d v="2025-10-10T11:00:00"/>
    <s v=""/>
    <s v="Williams 6"/>
    <s v=""/>
    <s v=""/>
    <s v=""/>
    <s v=""/>
    <s v=""/>
    <s v=""/>
    <s v=""/>
    <s v=""/>
    <s v=""/>
    <s v=""/>
    <s v=""/>
    <s v=""/>
    <s v=""/>
    <s v=""/>
    <s v=""/>
    <s v=""/>
    <s v=""/>
    <s v=""/>
    <s v=""/>
    <s v=""/>
    <s v=""/>
    <s v=""/>
    <s v="Labor"/>
    <s v=""/>
    <s v=""/>
    <s v=""/>
    <s v="1001315800"/>
    <s v="WILLIAMS 6"/>
    <s v="Upstream"/>
    <s v="1046"/>
    <s v=""/>
    <s v=""/>
    <s v=""/>
    <s v=""/>
    <s v=""/>
    <s v=""/>
    <s v=""/>
    <n v="1"/>
    <s v="EA"/>
    <n v="155"/>
    <s v=""/>
    <n v="155"/>
    <s v="--multiple--"/>
    <s v="708256"/>
    <d v="2025-10-13T15:59:39"/>
    <s v=""/>
    <s v=""/>
    <s v=""/>
    <s v=""/>
  </r>
  <r>
    <s v="178553"/>
    <s v="Mulholland Energy Services"/>
    <x v="4"/>
    <s v="Luis Ortega"/>
    <s v="P.A. Gonzales"/>
    <s v="INV240348912_x000a_X1 HYDRO TO GO DIG UP THAT CELLAR ON THE COLLAPSED WELLHEAD"/>
    <s v="5051062"/>
    <s v="Upstream"/>
    <s v="166243"/>
    <s v="USD"/>
    <n v="2336.25"/>
    <s v="B2B"/>
    <s v="1"/>
    <s v="FRESHWATER FEE-HYDRO"/>
    <s v="FRESHWATER FEE-HYDRO"/>
    <s v=""/>
    <d v="2025-10-05T18:03:10"/>
    <d v="2025-09-26T11:15:00"/>
    <d v="2025-09-26T19:00:00"/>
    <s v=""/>
    <s v="RICKER 45 2"/>
    <s v=""/>
    <s v=""/>
    <s v=""/>
    <s v=""/>
    <s v=""/>
    <s v=""/>
    <s v=""/>
    <s v=""/>
    <s v=""/>
    <s v=""/>
    <s v=""/>
    <s v=""/>
    <s v=""/>
    <s v=""/>
    <s v=""/>
    <s v=""/>
    <s v=""/>
    <s v=""/>
    <s v=""/>
    <s v=""/>
    <s v=""/>
    <s v=""/>
    <s v="Material"/>
    <s v=""/>
    <s v=""/>
    <s v=""/>
    <s v="1001340600"/>
    <s v="RICKER 45 2"/>
    <s v="Upstream"/>
    <s v="1046"/>
    <s v=""/>
    <s v=""/>
    <s v=""/>
    <s v=""/>
    <s v=""/>
    <s v=""/>
    <s v="Other"/>
    <n v="1"/>
    <s v="EA"/>
    <n v="50"/>
    <s v=""/>
    <n v="50"/>
    <s v="--multiple--"/>
    <s v="708611"/>
    <d v="2025-10-10T09:12:29"/>
    <s v=""/>
    <s v=""/>
    <s v="Ticket Amount Error | Ticket Reference Error"/>
    <s v=""/>
  </r>
  <r>
    <s v="2025-06995"/>
    <s v="GTG Automation, Inc."/>
    <x v="9"/>
    <s v="Michelle Fuller"/>
    <s v="Jimmy Martin"/>
    <s v="Service Time: 1000-1500, 1500-1700 Truck: 110_x000a_Drove to location replaced blown line fuse check voltage tried to turn well on and it blew two line fuses disconnected motor replaced blown fuses didn’t blew any fuses this time so we Meg out motor and main service everything looks good so a line crew was call out to check transformer on main bank they did found that the transformer was bad so they replaced and everything start working properly"/>
    <s v="5051044"/>
    <s v="Upstream"/>
    <s v=""/>
    <s v="USD"/>
    <n v="1474.01"/>
    <s v="Direct Entry"/>
    <s v="1"/>
    <s v=""/>
    <s v="ELECTRICIAN 1"/>
    <s v=""/>
    <d v="2025-10-02T12:48:01"/>
    <d v="2025-09-30T10:00:00"/>
    <d v="2025-09-30T15:00:00"/>
    <s v=""/>
    <s v=""/>
    <s v=""/>
    <s v=""/>
    <s v=""/>
    <s v=""/>
    <s v=""/>
    <s v=""/>
    <s v=""/>
    <s v=""/>
    <s v=""/>
    <s v=""/>
    <s v=""/>
    <s v=""/>
    <s v=""/>
    <s v=""/>
    <s v=""/>
    <s v=""/>
    <s v=""/>
    <s v=""/>
    <s v=""/>
    <s v=""/>
    <s v=""/>
    <s v=""/>
    <s v="Labor"/>
    <s v=""/>
    <s v=""/>
    <s v=""/>
    <s v="1000440600"/>
    <s v="TRAILAND A UNIT 3905WB"/>
    <s v="Upstream"/>
    <s v="1046"/>
    <s v=""/>
    <s v=""/>
    <s v=""/>
    <s v=""/>
    <s v=""/>
    <s v=""/>
    <s v=""/>
    <n v="5"/>
    <s v="HR"/>
    <n v="67"/>
    <s v=""/>
    <n v="335"/>
    <s v="--multiple--"/>
    <s v="707669"/>
    <d v="2025-10-02T12:51:17"/>
    <s v=""/>
    <s v=""/>
    <s v=""/>
    <s v=""/>
  </r>
  <r>
    <s v="259108"/>
    <s v="Chemical Weed Control"/>
    <x v="10"/>
    <s v="Patricio Cervantes"/>
    <s v="P.A. Gonzales"/>
    <s v="WEED SPRAYING FOR 89-C"/>
    <s v="5051027"/>
    <s v="Upstream"/>
    <s v=""/>
    <s v="USD"/>
    <n v="675.5"/>
    <s v="Direct Entry"/>
    <s v="1"/>
    <s v="Additional SQFT over 26,000"/>
    <s v="Additional SQFT over 26,000"/>
    <s v=""/>
    <d v="2025-09-12T15:08:31"/>
    <d v="2025-09-04T10:00:00"/>
    <d v="2025-09-04T12:00:00"/>
    <s v=""/>
    <s v="WELL 4/ TRANS"/>
    <s v=""/>
    <s v=""/>
    <s v=""/>
    <s v=""/>
    <s v=""/>
    <s v=""/>
    <s v=""/>
    <s v=""/>
    <s v=""/>
    <s v=""/>
    <s v=""/>
    <s v=""/>
    <s v=""/>
    <s v=""/>
    <s v=""/>
    <s v=""/>
    <s v=""/>
    <s v=""/>
    <s v=""/>
    <s v=""/>
    <s v=""/>
    <s v=""/>
    <s v="Labor"/>
    <s v=""/>
    <s v=""/>
    <s v=""/>
    <s v="1001217300"/>
    <s v="ROCKER B - W 4"/>
    <s v="Upstream"/>
    <s v="1046"/>
    <s v=""/>
    <s v=""/>
    <s v=""/>
    <s v=""/>
    <s v=""/>
    <s v=""/>
    <s v=""/>
    <n v="18000"/>
    <s v="SQ FT"/>
    <n v="0"/>
    <s v=""/>
    <n v="81"/>
    <s v="Pricebook"/>
    <s v="705499"/>
    <d v="2025-10-06T17:31:44"/>
    <s v=""/>
    <s v=""/>
    <s v=""/>
    <s v=""/>
  </r>
  <r>
    <s v="259172"/>
    <s v="Chemical Weed Control"/>
    <x v="10"/>
    <s v="Patricio Cervantes"/>
    <s v="P.A. Gonzales"/>
    <s v="WEED SPRAYING FOR ROCKER B"/>
    <s v="5051027"/>
    <s v="Upstream"/>
    <s v=""/>
    <s v="USD"/>
    <n v="1527"/>
    <s v="Direct Entry"/>
    <s v="1"/>
    <s v="Additional SQFT over 26,000"/>
    <s v="Additional SQFT over 26,000"/>
    <s v=""/>
    <d v="2025-10-06T17:41:24"/>
    <d v="2025-09-05T08:00:00"/>
    <d v="2025-09-05T09:00:00"/>
    <s v=""/>
    <s v="WELL 126-1/ TRANS"/>
    <s v=""/>
    <s v=""/>
    <s v=""/>
    <s v=""/>
    <s v=""/>
    <s v=""/>
    <s v=""/>
    <s v=""/>
    <s v=""/>
    <s v=""/>
    <s v=""/>
    <s v=""/>
    <s v=""/>
    <s v=""/>
    <s v=""/>
    <s v=""/>
    <s v=""/>
    <s v=""/>
    <s v=""/>
    <s v=""/>
    <s v=""/>
    <s v=""/>
    <s v="Labor"/>
    <s v=""/>
    <s v=""/>
    <s v=""/>
    <s v="1001234100"/>
    <s v="ROCKER B 126"/>
    <s v="Upstream"/>
    <s v="1046"/>
    <s v=""/>
    <s v=""/>
    <s v=""/>
    <s v=""/>
    <s v=""/>
    <s v=""/>
    <s v=""/>
    <n v="18000"/>
    <s v="SQ FT"/>
    <n v="0"/>
    <s v=""/>
    <n v="81"/>
    <s v="Pricebook"/>
    <s v="705499"/>
    <d v="2025-10-06T17:45:40"/>
    <s v=""/>
    <s v=""/>
    <s v=""/>
    <s v=""/>
  </r>
  <r>
    <s v="259173"/>
    <s v="Chemical Weed Control"/>
    <x v="10"/>
    <s v="Patricio Cervantes"/>
    <s v="P.A. Gonzales"/>
    <s v="WEED SPRAYING FOR PHILLIPS ZULETTE A"/>
    <s v="5051027"/>
    <s v="Upstream"/>
    <s v=""/>
    <s v="USD"/>
    <n v="481.5"/>
    <s v="Direct Entry"/>
    <s v="1"/>
    <s v="Additional SQFT over 26,000"/>
    <s v="Additional SQFT over 26,000"/>
    <s v=""/>
    <d v="2025-10-06T17:46:47"/>
    <d v="2025-09-05T08:00:00"/>
    <d v="2025-09-05T09:00:00"/>
    <s v=""/>
    <s v="BATTERY 3/ MRUN/ TRANS"/>
    <s v=""/>
    <s v=""/>
    <s v=""/>
    <s v=""/>
    <s v=""/>
    <s v=""/>
    <s v=""/>
    <s v=""/>
    <s v=""/>
    <s v=""/>
    <s v=""/>
    <s v=""/>
    <s v=""/>
    <s v=""/>
    <s v=""/>
    <s v=""/>
    <s v=""/>
    <s v=""/>
    <s v=""/>
    <s v=""/>
    <s v=""/>
    <s v=""/>
    <s v="Labor"/>
    <s v=""/>
    <s v=""/>
    <s v=""/>
    <s v="8300138600"/>
    <s v="PHILLIPS ZULETTE A BATTERY"/>
    <s v="Upstream"/>
    <s v="1046"/>
    <s v=""/>
    <s v=""/>
    <s v=""/>
    <s v=""/>
    <s v=""/>
    <s v=""/>
    <s v=""/>
    <n v="89000"/>
    <s v="SQ FT"/>
    <n v="0"/>
    <s v=""/>
    <n v="400.5"/>
    <s v="Pricebook"/>
    <s v="705499"/>
    <d v="2025-10-06T17:49:35"/>
    <s v=""/>
    <s v=""/>
    <s v=""/>
    <s v=""/>
  </r>
  <r>
    <s v="206960"/>
    <s v="Double D Supply Inc"/>
    <x v="5"/>
    <s v="Patricio Cervantes"/>
    <s v="P.A. Gonzales"/>
    <s v="RETAIL SUPPLIES"/>
    <s v="5051028"/>
    <s v="Upstream"/>
    <s v=""/>
    <s v="USD"/>
    <n v="19.190000000000001"/>
    <s v="Direct Entry"/>
    <s v="1"/>
    <s v="Cleaning Materials:tot90"/>
    <s v="TUB-O-TOWELS 90 Cleaning Wipes"/>
    <s v=""/>
    <d v="2025-10-01T13:34:55"/>
    <d v="2025-09-17T12:00:00"/>
    <d v="2025-09-17T12:00:00"/>
    <s v=""/>
    <s v="JOHN WARRINER PUMPER SUPPLY"/>
    <s v=""/>
    <s v=""/>
    <s v=""/>
    <s v=""/>
    <s v=""/>
    <s v=""/>
    <s v=""/>
    <s v=""/>
    <s v=""/>
    <s v=""/>
    <s v=""/>
    <s v=""/>
    <s v=""/>
    <s v=""/>
    <s v=""/>
    <s v=""/>
    <s v=""/>
    <s v=""/>
    <s v=""/>
    <s v=""/>
    <s v=""/>
    <s v=""/>
    <s v="Material"/>
    <s v=""/>
    <s v=""/>
    <s v=""/>
    <s v="9100020100"/>
    <s v="FRM RTE-GONZALES P.A."/>
    <s v="Upstream"/>
    <s v="1046"/>
    <s v=""/>
    <s v=""/>
    <s v=""/>
    <s v=""/>
    <s v=""/>
    <s v=""/>
    <s v=""/>
    <n v="1"/>
    <s v="EA"/>
    <n v="19.190000000000001"/>
    <s v=""/>
    <n v="19.190000000000001"/>
    <s v=""/>
    <s v="703999"/>
    <d v="2025-10-01T13:36:07"/>
    <s v=""/>
    <s v=""/>
    <s v=""/>
    <s v=""/>
  </r>
  <r>
    <s v="206961"/>
    <s v="Double D Supply Inc"/>
    <x v="5"/>
    <s v="Patricio Cervantes"/>
    <s v="P.A. Gonzales"/>
    <s v="RETAIL SUPPLIES"/>
    <s v="5051049"/>
    <s v="Upstream"/>
    <s v=""/>
    <s v="USD"/>
    <n v="265.39999999999998"/>
    <s v="Direct Entry"/>
    <s v="1"/>
    <s v="engine parts:ac"/>
    <s v="Altronic coil"/>
    <s v=""/>
    <d v="2025-10-01T14:00:01"/>
    <d v="2025-09-17T12:00:00"/>
    <d v="2025-09-17T12:00:00"/>
    <s v=""/>
    <s v="COPE 83 #1"/>
    <s v=""/>
    <s v=""/>
    <s v=""/>
    <s v=""/>
    <s v=""/>
    <s v=""/>
    <s v=""/>
    <s v=""/>
    <s v=""/>
    <s v=""/>
    <s v=""/>
    <s v=""/>
    <s v=""/>
    <s v=""/>
    <s v=""/>
    <s v=""/>
    <s v=""/>
    <s v=""/>
    <s v=""/>
    <s v=""/>
    <s v=""/>
    <s v=""/>
    <s v="Equipment"/>
    <s v=""/>
    <s v=""/>
    <s v=""/>
    <s v="1001231400"/>
    <s v="COPE 83 1"/>
    <s v="Upstream"/>
    <s v="1046"/>
    <s v=""/>
    <s v=""/>
    <s v=""/>
    <s v=""/>
    <s v=""/>
    <s v=""/>
    <s v=""/>
    <n v="2"/>
    <s v="EA"/>
    <n v="132.69999999999999"/>
    <s v=""/>
    <n v="265.39999999999998"/>
    <s v=""/>
    <s v="703999"/>
    <d v="2025-10-01T14:00:58"/>
    <s v=""/>
    <s v=""/>
    <s v=""/>
    <s v=""/>
  </r>
  <r>
    <s v="14057"/>
    <s v="GDL Industrial Electronics"/>
    <x v="8"/>
    <s v="Michelle Fuller"/>
    <s v="Jimmy Martin"/>
    <s v="MATERIAL"/>
    <s v="5051003"/>
    <s v="Upstream"/>
    <s v=""/>
    <s v="USD"/>
    <n v="888.41"/>
    <s v="Direct Entry"/>
    <s v="1"/>
    <s v="48-22-8447"/>
    <s v="PACKOUT 22IN 3-DRAWER BOX"/>
    <s v=""/>
    <d v="2025-10-04T09:32:28"/>
    <d v="2025-10-02T12:00:00"/>
    <d v="2025-10-02T12:00:00"/>
    <s v=""/>
    <s v=""/>
    <s v=""/>
    <s v=""/>
    <s v=""/>
    <s v=""/>
    <s v=""/>
    <s v=""/>
    <s v=""/>
    <s v=""/>
    <s v=""/>
    <s v=""/>
    <s v=""/>
    <s v=""/>
    <s v=""/>
    <s v=""/>
    <s v=""/>
    <s v=""/>
    <s v=""/>
    <s v=""/>
    <s v=""/>
    <s v=""/>
    <s v=""/>
    <s v=""/>
    <s v="Material"/>
    <s v=""/>
    <s v=""/>
    <s v=""/>
    <s v="9100005100"/>
    <s v="FRM RTE-SMITH ERIC"/>
    <s v="Upstream"/>
    <s v="1046"/>
    <s v=""/>
    <s v=""/>
    <s v=""/>
    <s v=""/>
    <s v=""/>
    <s v=""/>
    <s v=""/>
    <n v="0.33"/>
    <s v="EA"/>
    <n v="269"/>
    <s v=""/>
    <n v="89.67"/>
    <s v="--multiple--"/>
    <s v="704121"/>
    <d v="2025-10-04T09:35:16"/>
    <s v=""/>
    <s v=""/>
    <s v=""/>
    <s v=""/>
  </r>
  <r>
    <s v="10233139"/>
    <s v="Jet Specialty Inc"/>
    <x v="3"/>
    <s v="Nolan Smart"/>
    <s v="Taylor Smith"/>
    <s v="LEASE: ZEBCO27-39B 2JM/1000659700/5051003; BUYER: NOLAN SMART/TYLER;"/>
    <s v="5051003"/>
    <s v="Upstream"/>
    <s v=""/>
    <s v="USD"/>
    <n v="6100"/>
    <s v="API"/>
    <s v="1"/>
    <s v="9990"/>
    <s v="2100418-009 TFIO MODULE 8/ A/I GRAY"/>
    <s v="E&amp;M"/>
    <d v="2025-10-10T13:33:44"/>
    <d v="2025-09-26T00:00:00"/>
    <d v="2025-09-26T00:00:00"/>
    <s v=""/>
    <s v=""/>
    <s v=""/>
    <s v=""/>
    <s v=""/>
    <s v=""/>
    <s v=""/>
    <s v=""/>
    <s v=""/>
    <s v=""/>
    <s v=""/>
    <s v=""/>
    <s v=""/>
    <s v=""/>
    <s v=""/>
    <s v=""/>
    <s v=""/>
    <s v=""/>
    <s v=""/>
    <s v=""/>
    <s v=""/>
    <s v=""/>
    <s v=""/>
    <s v=""/>
    <s v="Material"/>
    <s v=""/>
    <s v=""/>
    <s v=""/>
    <s v="1000659700"/>
    <s v="ZEBCO 27-39 B 2JM"/>
    <s v="Upstream"/>
    <s v="1046"/>
    <s v=""/>
    <s v=""/>
    <s v=""/>
    <s v=""/>
    <s v=""/>
    <s v=""/>
    <s v=""/>
    <n v="10"/>
    <s v="EA"/>
    <n v="610"/>
    <s v=""/>
    <n v="6100"/>
    <s v="--multiple--"/>
    <s v="708023"/>
    <d v="2025-10-10T13:33:44"/>
    <s v=""/>
    <s v=""/>
    <s v=""/>
    <s v=""/>
  </r>
  <r>
    <s v="PM00304"/>
    <s v="Onit Energy Solutions"/>
    <x v="3"/>
    <s v="Paden Black"/>
    <s v="James Compton"/>
    <s v="PSV PM"/>
    <s v="5051052"/>
    <s v="Upstream"/>
    <s v="164446"/>
    <s v="USD"/>
    <n v="370"/>
    <s v="Direct Entry"/>
    <s v="1"/>
    <s v="OES-PSV-PM"/>
    <s v="PSV TEST/ONLY PM"/>
    <s v=""/>
    <d v="2025-10-10T14:54:27"/>
    <d v="2025-10-10T09:00:00"/>
    <d v="2025-10-10T11:00:00"/>
    <s v=""/>
    <s v="ARGONAUT 1H BATTERY"/>
    <s v=""/>
    <s v=""/>
    <s v=""/>
    <s v=""/>
    <s v=""/>
    <s v=""/>
    <s v=""/>
    <s v=""/>
    <s v=""/>
    <s v=""/>
    <s v=""/>
    <s v=""/>
    <s v=""/>
    <s v=""/>
    <s v=""/>
    <s v=""/>
    <s v=""/>
    <s v=""/>
    <s v=""/>
    <s v=""/>
    <s v=""/>
    <s v=""/>
    <s v="Labor"/>
    <s v=""/>
    <s v=""/>
    <s v=""/>
    <s v="8300077800"/>
    <s v="ARGONAUT 1H BATTERY"/>
    <s v="Upstream"/>
    <s v="1046"/>
    <s v=""/>
    <s v=""/>
    <s v=""/>
    <s v=""/>
    <s v=""/>
    <s v=""/>
    <s v=""/>
    <n v="2"/>
    <s v="HR"/>
    <n v="185"/>
    <s v=""/>
    <n v="370"/>
    <s v="Pricebook"/>
    <s v="712949"/>
    <d v="2025-10-10T14:55:22"/>
    <s v=""/>
    <s v=""/>
    <s v=""/>
    <s v=""/>
  </r>
  <r>
    <s v="PM00305"/>
    <s v="Onit Energy Solutions"/>
    <x v="3"/>
    <s v="Paden Black"/>
    <s v="Joshua Bales"/>
    <s v="PSV PM"/>
    <s v="5051052"/>
    <s v="Upstream"/>
    <s v="164364"/>
    <s v="USD"/>
    <n v="370"/>
    <s v="Direct Entry"/>
    <s v="1"/>
    <s v="OES-PSV-PM"/>
    <s v="PSV TEST/ONLY PM"/>
    <s v=""/>
    <d v="2025-10-10T14:56:09"/>
    <d v="2025-10-10T11:00:00"/>
    <d v="2025-10-10T13:00:00"/>
    <s v=""/>
    <s v="ACKERLY STOKES -21- BATTERY"/>
    <s v=""/>
    <s v=""/>
    <s v=""/>
    <s v=""/>
    <s v=""/>
    <s v=""/>
    <s v=""/>
    <s v=""/>
    <s v=""/>
    <s v=""/>
    <s v=""/>
    <s v=""/>
    <s v=""/>
    <s v=""/>
    <s v=""/>
    <s v=""/>
    <s v=""/>
    <s v=""/>
    <s v=""/>
    <s v=""/>
    <s v=""/>
    <s v=""/>
    <s v="Labor"/>
    <s v=""/>
    <s v=""/>
    <s v=""/>
    <s v="8000033500"/>
    <s v="ACKERLY STOKES -21- BATTERY"/>
    <s v="Upstream"/>
    <s v="1046"/>
    <s v=""/>
    <s v=""/>
    <s v=""/>
    <s v=""/>
    <s v=""/>
    <s v=""/>
    <s v=""/>
    <n v="2"/>
    <s v="HR"/>
    <n v="185"/>
    <s v=""/>
    <n v="370"/>
    <s v="Pricebook"/>
    <s v="712949"/>
    <d v="2025-10-10T14:56:58"/>
    <s v=""/>
    <s v=""/>
    <s v=""/>
    <s v=""/>
  </r>
  <r>
    <s v="30264"/>
    <s v="Well Solutions LLC"/>
    <x v="9"/>
    <s v="Michael Mitchell"/>
    <s v="Christopher Cain"/>
    <s v="HOT WATER CASING/FL 70 BBL"/>
    <s v="5051026"/>
    <s v="Upstream"/>
    <s v=""/>
    <s v="USD"/>
    <n v="535.5"/>
    <s v="Direct Entry"/>
    <s v="1"/>
    <s v="10000020"/>
    <s v="Scheduled Program Hot Oil per BBL"/>
    <s v="Hot OIl"/>
    <d v="2025-10-08T12:37:23"/>
    <d v="2025-10-07T09:45:00"/>
    <d v="2025-10-07T12:30:00"/>
    <s v=""/>
    <s v=""/>
    <s v=""/>
    <s v=""/>
    <s v=""/>
    <s v=""/>
    <s v=""/>
    <s v=""/>
    <s v=""/>
    <s v=""/>
    <s v=""/>
    <s v=""/>
    <s v=""/>
    <s v=""/>
    <s v=""/>
    <s v=""/>
    <s v=""/>
    <s v=""/>
    <s v=""/>
    <s v=""/>
    <s v=""/>
    <s v=""/>
    <s v=""/>
    <s v=""/>
    <s v="Labor"/>
    <s v=""/>
    <s v=""/>
    <s v=""/>
    <s v="1000055500"/>
    <s v="COLE RANCH 35 4511"/>
    <s v="Upstream"/>
    <s v="1046"/>
    <s v=""/>
    <s v=""/>
    <s v=""/>
    <s v=""/>
    <s v=""/>
    <s v=""/>
    <s v=""/>
    <n v="70"/>
    <s v="BBL"/>
    <n v="7.65"/>
    <s v=""/>
    <n v="535.5"/>
    <s v="--multiple--"/>
    <s v="702744"/>
    <d v="2025-10-08T12:38:27"/>
    <s v=""/>
    <s v=""/>
    <s v=""/>
    <s v=""/>
  </r>
  <r>
    <s v="MD2690408"/>
    <s v="Jet Specialty Inc"/>
    <x v="4"/>
    <s v="Rafael Velez"/>
    <s v="Mason Rutledge"/>
    <s v="LEASE: PIER 21-24 UNIT # 1; BUYER: RAFAEL VELEZ/MASON RUTLEDGE; PO: WK# 166971"/>
    <s v="5051024"/>
    <s v="Upstream"/>
    <s v="166971"/>
    <s v="USD"/>
    <n v="8.1300000000000008"/>
    <s v="API"/>
    <s v="1"/>
    <s v="74975"/>
    <s v="4&quot; 300# FLEX GASKET"/>
    <s v="E&amp;M"/>
    <d v="2025-10-09T16:40:08"/>
    <d v="2025-09-25T00:00:00"/>
    <d v="2025-09-25T00:00:00"/>
    <s v=""/>
    <s v=""/>
    <s v=""/>
    <s v=""/>
    <s v=""/>
    <s v=""/>
    <s v=""/>
    <s v=""/>
    <s v=""/>
    <s v=""/>
    <s v=""/>
    <s v=""/>
    <s v=""/>
    <s v=""/>
    <s v=""/>
    <s v=""/>
    <s v=""/>
    <s v=""/>
    <s v=""/>
    <s v=""/>
    <s v=""/>
    <s v=""/>
    <s v=""/>
    <s v=""/>
    <s v="Material"/>
    <s v=""/>
    <s v=""/>
    <s v=""/>
    <s v="8300192900"/>
    <s v="PIER 21-24 UNIT 1 BATTERY"/>
    <s v="Upstream"/>
    <s v="1046"/>
    <s v=""/>
    <s v=""/>
    <s v=""/>
    <s v=""/>
    <s v=""/>
    <s v=""/>
    <s v=""/>
    <n v="3"/>
    <s v="EA"/>
    <n v="2.71"/>
    <s v=""/>
    <n v="8.1300000000000008"/>
    <s v="--multiple--"/>
    <s v="708023"/>
    <d v="2025-10-10T07:53:47"/>
    <s v=""/>
    <s v=""/>
    <s v=""/>
    <s v=""/>
  </r>
  <r>
    <s v="FT-3102"/>
    <s v="Rotation Resources, LLC"/>
    <x v="5"/>
    <s v="Michael Self"/>
    <s v="Marco Rodriguez"/>
    <s v="Rotation Resources LLC"/>
    <s v="5051037"/>
    <s v="Upstream"/>
    <s v=""/>
    <s v="USD"/>
    <n v="1000"/>
    <s v="Direct Entry"/>
    <s v="1"/>
    <s v="RR012"/>
    <s v="MONTHLY MONITORING"/>
    <s v="Monitoring"/>
    <d v="2025-09-30T04:20:02"/>
    <d v="2025-09-01T00:00:00"/>
    <d v="2025-09-01T00:00:00"/>
    <s v=""/>
    <s v="HERCULES 1 SWD"/>
    <s v=""/>
    <s v=""/>
    <s v=""/>
    <s v=""/>
    <s v=""/>
    <s v=""/>
    <s v=""/>
    <s v=""/>
    <s v=""/>
    <s v=""/>
    <s v=""/>
    <s v=""/>
    <s v=""/>
    <s v=""/>
    <s v=""/>
    <s v=""/>
    <s v=""/>
    <s v=""/>
    <s v=""/>
    <s v=""/>
    <s v=""/>
    <s v=""/>
    <s v="Equipment"/>
    <s v=""/>
    <s v=""/>
    <s v=""/>
    <s v="1001740000"/>
    <s v="HERCULES 1D"/>
    <s v="Upstream"/>
    <s v="1046"/>
    <s v=""/>
    <s v=""/>
    <s v=""/>
    <s v=""/>
    <s v=""/>
    <s v=""/>
    <s v=""/>
    <n v="2"/>
    <s v="month"/>
    <n v="500"/>
    <s v=""/>
    <n v="1000"/>
    <s v=""/>
    <s v="713677"/>
    <d v="2025-09-30T09:32:37"/>
    <s v=""/>
    <s v=""/>
    <s v=""/>
    <s v=""/>
  </r>
  <r>
    <s v="BL2672577"/>
    <s v="Jet Specialty Inc"/>
    <x v="3"/>
    <s v="Patricio Cervantes"/>
    <s v="P.A. Gonzales"/>
    <s v="LEASE: HABY C BATTERY; BUYER: P.A. GONZALES;"/>
    <s v="5051028"/>
    <s v="Upstream"/>
    <s v=""/>
    <s v="USD"/>
    <n v="118.35"/>
    <s v="API"/>
    <s v="1"/>
    <s v="900190"/>
    <s v="7EM QUADRA-FLEX ELEMENT"/>
    <s v=""/>
    <d v="2025-09-30T15:10:50"/>
    <d v="2025-09-27T00:01:00"/>
    <d v="2025-09-27T00:01:00"/>
    <s v=""/>
    <s v="HABY C BATTERY"/>
    <s v=""/>
    <s v=""/>
    <s v=""/>
    <s v=""/>
    <s v=""/>
    <s v=""/>
    <s v=""/>
    <s v=""/>
    <s v=""/>
    <s v=""/>
    <s v=""/>
    <s v=""/>
    <s v=""/>
    <s v=""/>
    <s v=""/>
    <s v=""/>
    <s v=""/>
    <s v=""/>
    <s v=""/>
    <s v=""/>
    <s v=""/>
    <s v=""/>
    <s v="Material"/>
    <s v=""/>
    <s v=""/>
    <s v=""/>
    <s v="8300104200"/>
    <s v="HABY C BATTERY"/>
    <s v="Upstream"/>
    <s v="1046"/>
    <s v=""/>
    <s v=""/>
    <s v=""/>
    <s v=""/>
    <s v=""/>
    <s v=""/>
    <s v=""/>
    <n v="1"/>
    <s v="each"/>
    <n v="62.84"/>
    <s v=""/>
    <n v="62.84"/>
    <s v="--multiple--"/>
    <s v="708023"/>
    <d v="2025-09-30T15:10:50"/>
    <s v=""/>
    <s v=""/>
    <s v=""/>
    <s v=""/>
  </r>
  <r>
    <s v="259270"/>
    <s v="Chemical Weed Control"/>
    <x v="10"/>
    <s v="Patricio Cervantes"/>
    <s v="P.A. Gonzales"/>
    <s v="WEED SPRAYING FOR PHILLIPS ZULETTE"/>
    <s v="5051027"/>
    <s v="Upstream"/>
    <s v=""/>
    <s v="USD"/>
    <n v="704.5"/>
    <s v="Direct Entry"/>
    <s v="1"/>
    <s v="Additional SQFT over 26,000"/>
    <s v="Additional SQFT over 26,000"/>
    <s v=""/>
    <d v="2025-10-06T17:32:49"/>
    <d v="2025-09-29T05:00:00"/>
    <d v="2025-09-29T07:00:00"/>
    <s v=""/>
    <s v="BATTERY/ MESQUITE"/>
    <s v=""/>
    <s v=""/>
    <s v=""/>
    <s v=""/>
    <s v=""/>
    <s v=""/>
    <s v=""/>
    <s v=""/>
    <s v=""/>
    <s v=""/>
    <s v=""/>
    <s v=""/>
    <s v=""/>
    <s v=""/>
    <s v=""/>
    <s v=""/>
    <s v=""/>
    <s v=""/>
    <s v=""/>
    <s v=""/>
    <s v=""/>
    <s v=""/>
    <s v="Labor"/>
    <s v=""/>
    <s v=""/>
    <s v=""/>
    <s v="8300138600"/>
    <s v="PHILLIPS ZULETTE A BATTERY"/>
    <s v="Upstream"/>
    <s v="1046"/>
    <s v=""/>
    <s v=""/>
    <s v=""/>
    <s v=""/>
    <s v=""/>
    <s v=""/>
    <s v=""/>
    <n v="156556"/>
    <s v="SQ FT"/>
    <n v="0"/>
    <s v=""/>
    <n v="704.5"/>
    <s v="Pricebook"/>
    <s v="705499"/>
    <d v="2025-10-06T17:34:35"/>
    <s v=""/>
    <s v=""/>
    <s v=""/>
    <s v=""/>
  </r>
  <r>
    <s v="259271"/>
    <s v="Chemical Weed Control"/>
    <x v="10"/>
    <s v="Patricio Cervantes"/>
    <s v="P.A. Gonzales"/>
    <s v="WEED SPRAYING FOR RODA"/>
    <s v="5051027"/>
    <s v="Upstream"/>
    <s v=""/>
    <s v="USD"/>
    <n v="732"/>
    <s v="Direct Entry"/>
    <s v="1"/>
    <s v="Additional SQFT over 26,000"/>
    <s v="Additional SQFT over 26,000"/>
    <s v=""/>
    <d v="2025-10-06T17:35:36"/>
    <d v="2025-09-29T08:00:00"/>
    <d v="2025-09-29T10:00:00"/>
    <s v=""/>
    <s v="BATTERY/ MRUN/ MESQUITE"/>
    <s v=""/>
    <s v=""/>
    <s v=""/>
    <s v=""/>
    <s v=""/>
    <s v=""/>
    <s v=""/>
    <s v=""/>
    <s v=""/>
    <s v=""/>
    <s v=""/>
    <s v=""/>
    <s v=""/>
    <s v=""/>
    <s v=""/>
    <s v=""/>
    <s v=""/>
    <s v=""/>
    <s v=""/>
    <s v=""/>
    <s v=""/>
    <s v=""/>
    <s v="Labor"/>
    <s v=""/>
    <s v=""/>
    <s v=""/>
    <s v="8300149000"/>
    <s v="RODA 1 BATTERY"/>
    <s v="Upstream"/>
    <s v="1046"/>
    <s v=""/>
    <s v=""/>
    <s v=""/>
    <s v=""/>
    <s v=""/>
    <s v=""/>
    <s v=""/>
    <n v="139111"/>
    <s v="SQ FT"/>
    <n v="0"/>
    <s v=""/>
    <n v="626"/>
    <s v="Pricebook"/>
    <s v="705499"/>
    <d v="2025-10-06T17:37:54"/>
    <s v=""/>
    <s v=""/>
    <s v=""/>
    <s v=""/>
  </r>
  <r>
    <s v="259272"/>
    <s v="Chemical Weed Control"/>
    <x v="10"/>
    <s v="Patricio Cervantes"/>
    <s v="P.A. Gonzales"/>
    <s v="WEED SPRAYING FOR RAPE"/>
    <s v="5051027"/>
    <s v="Upstream"/>
    <s v=""/>
    <s v="USD"/>
    <n v="93.5"/>
    <s v="Direct Entry"/>
    <s v="1"/>
    <s v="Additional SQFT over 26,000"/>
    <s v="Additional SQFT over 26,000"/>
    <s v=""/>
    <d v="2025-10-06T17:39:21"/>
    <d v="2025-09-29T09:00:00"/>
    <d v="2025-09-29T10:00:00"/>
    <s v=""/>
    <s v="WELL 1/ TRANS/ MESQUITE"/>
    <s v=""/>
    <s v=""/>
    <s v=""/>
    <s v=""/>
    <s v=""/>
    <s v=""/>
    <s v=""/>
    <s v=""/>
    <s v=""/>
    <s v=""/>
    <s v=""/>
    <s v=""/>
    <s v=""/>
    <s v=""/>
    <s v=""/>
    <s v=""/>
    <s v=""/>
    <s v=""/>
    <s v=""/>
    <s v=""/>
    <s v=""/>
    <s v=""/>
    <s v="Labor"/>
    <s v=""/>
    <s v=""/>
    <s v=""/>
    <s v="1001214900"/>
    <s v="RAPE 1"/>
    <s v="Upstream"/>
    <s v="1046"/>
    <s v=""/>
    <s v=""/>
    <s v=""/>
    <s v=""/>
    <s v=""/>
    <s v=""/>
    <s v=""/>
    <n v="20778"/>
    <s v="SQ FT"/>
    <n v="0"/>
    <s v=""/>
    <n v="93.5"/>
    <s v="Pricebook"/>
    <s v="705499"/>
    <d v="2025-10-06T17:40:30"/>
    <s v=""/>
    <s v=""/>
    <s v=""/>
    <s v=""/>
  </r>
  <r>
    <s v="285927"/>
    <s v="Bold Production Services"/>
    <x v="5"/>
    <s v="Michael Self"/>
    <s v="Marco Rodriguez"/>
    <s v="BOSS CTB RENTAL"/>
    <s v="5051037"/>
    <s v="Upstream"/>
    <s v=""/>
    <s v="USD"/>
    <n v="12250"/>
    <s v="Direct Entry"/>
    <s v="1"/>
    <s v="10MMscf/d 250M Btu/Hr-F"/>
    <s v="10MM 250 Btu/Hr Glycol Dehydration Unit - Full Rate"/>
    <s v=""/>
    <d v="2025-10-01T10:37:20"/>
    <d v="2025-09-01T00:00:00"/>
    <d v="2025-09-30T00:00:00"/>
    <s v=""/>
    <s v="BOSS CTB"/>
    <s v=""/>
    <s v=""/>
    <s v=""/>
    <s v=""/>
    <s v=""/>
    <s v=""/>
    <s v=""/>
    <s v=""/>
    <s v=""/>
    <s v=""/>
    <s v=""/>
    <s v=""/>
    <s v=""/>
    <s v=""/>
    <s v=""/>
    <s v=""/>
    <s v=""/>
    <s v=""/>
    <s v=""/>
    <s v=""/>
    <s v=""/>
    <s v=""/>
    <s v="Equipment"/>
    <s v=""/>
    <s v=""/>
    <s v=""/>
    <s v="8000323900"/>
    <s v="BOSS EAST BATTERY"/>
    <s v="Upstream"/>
    <s v="1046"/>
    <s v=""/>
    <s v=""/>
    <s v=""/>
    <s v=""/>
    <s v=""/>
    <s v=""/>
    <s v=""/>
    <n v="1"/>
    <s v="Mo"/>
    <n v="8000"/>
    <s v=""/>
    <n v="8000"/>
    <s v=""/>
    <s v="706456"/>
    <d v="2025-10-01T12:57:26"/>
    <s v=""/>
    <s v=""/>
    <s v=""/>
    <s v=""/>
  </r>
  <r>
    <s v="241316"/>
    <s v="Royal Oilfield Services LLC"/>
    <x v="0"/>
    <s v="Michael Self"/>
    <s v="Marco Rodriguez"/>
    <s v="MR, requested to clean the base of 2 VRU's then dispose 5bbls of p/w at pilot, moreland swd"/>
    <s v="5051057"/>
    <s v="Upstream"/>
    <s v=""/>
    <s v="USD"/>
    <n v="543.75"/>
    <s v="Direct Entry"/>
    <s v="1"/>
    <s v="100001"/>
    <s v="Vacuum Truck"/>
    <s v="Vacuum Truck"/>
    <d v="2025-09-19T12:32:29"/>
    <d v="2025-09-18T14:00:00"/>
    <d v="2025-09-18T20:00:00"/>
    <d v="1899-12-30T06:00:00"/>
    <s v="Drago Battery"/>
    <s v=""/>
    <s v=""/>
    <s v="produced water"/>
    <s v=""/>
    <s v=""/>
    <s v=""/>
    <s v=""/>
    <s v=""/>
    <s v=""/>
    <s v=""/>
    <s v=""/>
    <s v=""/>
    <s v=""/>
    <s v=""/>
    <s v=""/>
    <s v=""/>
    <s v=""/>
    <s v=""/>
    <s v=""/>
    <s v=""/>
    <n v="0"/>
    <s v="bbl"/>
    <s v=""/>
    <s v=""/>
    <s v=""/>
    <s v=""/>
    <s v="8000314800"/>
    <s v="DRAGO BATTERY"/>
    <s v="Upstream"/>
    <s v="1046"/>
    <s v=""/>
    <s v=""/>
    <s v=""/>
    <s v=""/>
    <s v=""/>
    <s v=""/>
    <s v="Hours Worked"/>
    <n v="6"/>
    <s v="hour"/>
    <n v="90"/>
    <s v=""/>
    <n v="540"/>
    <s v="Pricebook"/>
    <s v="703639"/>
    <d v="2025-09-30T09:25:39"/>
    <s v=""/>
    <s v=""/>
    <s v=""/>
    <s v=""/>
  </r>
  <r>
    <s v="659976"/>
    <s v="J&amp;R Roustabout, LLC"/>
    <x v="5"/>
    <s v="Michael Self"/>
    <s v="Marco Rodriguez"/>
    <s v="PORTA POTTY _x000a_8/28/25 - 9/28/25"/>
    <s v="5051037"/>
    <s v="Upstream"/>
    <s v=""/>
    <s v="USD"/>
    <n v="750"/>
    <s v="Direct Entry"/>
    <s v="1"/>
    <s v="SINGLE PORTA POTTY"/>
    <s v="SINGLE PORTA POTTY"/>
    <s v="RENTAL"/>
    <d v="2025-10-01T09:36:10"/>
    <d v="2025-09-28T00:00:00"/>
    <d v="2025-09-28T00:00:00"/>
    <s v=""/>
    <s v="BRUCE"/>
    <s v=""/>
    <s v=""/>
    <s v=""/>
    <s v=""/>
    <s v=""/>
    <s v=""/>
    <s v=""/>
    <s v=""/>
    <s v=""/>
    <s v=""/>
    <s v=""/>
    <s v=""/>
    <s v=""/>
    <s v=""/>
    <s v=""/>
    <s v=""/>
    <s v=""/>
    <s v=""/>
    <s v=""/>
    <s v=""/>
    <s v=""/>
    <s v=""/>
    <s v="Equipment"/>
    <s v=""/>
    <s v=""/>
    <s v=""/>
    <s v="8000314300"/>
    <s v="BRUCE BATTERY"/>
    <s v="Upstream"/>
    <s v="1046"/>
    <s v=""/>
    <s v=""/>
    <s v=""/>
    <s v=""/>
    <s v=""/>
    <s v=""/>
    <s v=""/>
    <n v="1"/>
    <s v="MONTHLY"/>
    <n v="750"/>
    <s v=""/>
    <n v="750"/>
    <s v="Pricebook"/>
    <s v="712950"/>
    <d v="2025-10-01T09:37:05"/>
    <s v=""/>
    <s v=""/>
    <s v=""/>
    <s v=""/>
  </r>
  <r>
    <s v="1518967464"/>
    <s v="ThompsonGas, LLC"/>
    <x v="9"/>
    <s v="Michael Self"/>
    <s v="Marco Rodriguez"/>
    <s v="PROPANE DELIVERED TO GARNER #2 4"/>
    <s v="5051032"/>
    <s v="Upstream"/>
    <s v=""/>
    <s v="USD"/>
    <n v="899.07"/>
    <s v="Direct Entry"/>
    <s v="1"/>
    <s v="16"/>
    <s v="LIQUID PROPANE"/>
    <s v=""/>
    <d v="2025-10-02T14:01:50"/>
    <d v="2025-10-01T08:00:00"/>
    <d v="2025-10-01T09:00:00"/>
    <s v=""/>
    <s v="GARNER #2 4"/>
    <s v=""/>
    <s v=""/>
    <s v=""/>
    <s v=""/>
    <s v=""/>
    <s v=""/>
    <s v=""/>
    <s v=""/>
    <s v=""/>
    <s v=""/>
    <s v=""/>
    <s v=""/>
    <s v=""/>
    <s v=""/>
    <s v=""/>
    <s v=""/>
    <s v=""/>
    <s v=""/>
    <s v=""/>
    <s v=""/>
    <s v=""/>
    <s v=""/>
    <s v="Material"/>
    <s v=""/>
    <s v=""/>
    <s v=""/>
    <s v="1001398000"/>
    <s v="GARNER 2 4"/>
    <s v="Upstream"/>
    <s v="1046"/>
    <s v=""/>
    <s v=""/>
    <s v=""/>
    <s v=""/>
    <s v=""/>
    <s v=""/>
    <s v=""/>
    <n v="385.7"/>
    <s v="GAL"/>
    <n v="2.33"/>
    <s v=""/>
    <n v="899.07"/>
    <s v=""/>
    <s v="713391"/>
    <d v="2025-10-02T14:03:09"/>
    <s v=""/>
    <s v=""/>
    <s v=""/>
    <s v=""/>
  </r>
  <r>
    <s v="25047752"/>
    <s v="Lone Star Instrumentation &amp; Electric Corp"/>
    <x v="7"/>
    <s v="Ramiro Rangel"/>
    <s v="Dusty Gutierrez"/>
    <s v="WORK DESCRIPTION: Terminated boxes to heat trace by the vru. Ran cable for heat trace on valves on main gas line."/>
    <s v="5051128"/>
    <s v="Upstream"/>
    <s v=""/>
    <s v="USD"/>
    <n v="1240"/>
    <s v="B2B"/>
    <s v="1"/>
    <s v=""/>
    <s v="Qualified Electrician"/>
    <s v=""/>
    <d v="2025-10-13T11:24:57"/>
    <d v="2025-09-29T06:30:00"/>
    <d v="2025-09-29T14:30:00"/>
    <s v=""/>
    <s v="HOLT RANCH NORTH BATTERY"/>
    <s v=""/>
    <s v=""/>
    <s v=""/>
    <s v=""/>
    <s v=""/>
    <s v=""/>
    <s v=""/>
    <s v=""/>
    <s v=""/>
    <s v=""/>
    <s v=""/>
    <s v=""/>
    <s v=""/>
    <s v=""/>
    <s v=""/>
    <s v=""/>
    <s v=""/>
    <s v=""/>
    <s v=""/>
    <s v=""/>
    <s v=""/>
    <s v=""/>
    <s v="Labor"/>
    <s v=""/>
    <s v=""/>
    <s v=""/>
    <s v="8000111900"/>
    <s v="HOLT RANCH NORTH BATTERY"/>
    <s v="Upstream"/>
    <s v="1046"/>
    <s v=""/>
    <s v=""/>
    <s v=""/>
    <s v=""/>
    <s v=""/>
    <s v=""/>
    <s v=""/>
    <n v="8"/>
    <s v="HR"/>
    <n v="65"/>
    <s v=""/>
    <n v="520"/>
    <s v="--multiple--"/>
    <s v="708305"/>
    <d v="2025-10-13T14:33:06"/>
    <s v=""/>
    <s v=""/>
    <s v=""/>
    <s v=""/>
  </r>
  <r>
    <s v="25047753"/>
    <s v="Lone Star Instrumentation &amp; Electric Corp"/>
    <x v="7"/>
    <s v="Ramiro Rangel"/>
    <s v="Dusty Gutierrez"/>
    <s v="WORK DESCRIPTION: Disconnected the ESP equipment from service."/>
    <s v="5051044"/>
    <s v="Upstream"/>
    <s v=""/>
    <s v="USD"/>
    <n v="310"/>
    <s v="B2B"/>
    <s v="1"/>
    <s v=""/>
    <s v="Qualified Electrician"/>
    <s v=""/>
    <d v="2025-10-13T11:24:57"/>
    <d v="2025-09-29T14:30:00"/>
    <d v="2025-09-29T16:30:00"/>
    <s v=""/>
    <s v="MABEE 14-9 2802H"/>
    <s v=""/>
    <s v=""/>
    <s v=""/>
    <s v=""/>
    <s v=""/>
    <s v=""/>
    <s v=""/>
    <s v=""/>
    <s v=""/>
    <s v=""/>
    <s v=""/>
    <s v=""/>
    <s v=""/>
    <s v=""/>
    <s v=""/>
    <s v=""/>
    <s v=""/>
    <s v=""/>
    <s v=""/>
    <s v=""/>
    <s v=""/>
    <s v=""/>
    <s v="Labor"/>
    <s v=""/>
    <s v=""/>
    <s v=""/>
    <s v="1001756100"/>
    <s v="MABEE 14-9 2802H"/>
    <s v="Upstream"/>
    <s v="1046"/>
    <s v=""/>
    <s v=""/>
    <s v=""/>
    <s v=""/>
    <s v=""/>
    <s v=""/>
    <s v=""/>
    <n v="2"/>
    <s v="HR"/>
    <n v="65"/>
    <s v=""/>
    <n v="130"/>
    <s v="--multiple--"/>
    <s v="708305"/>
    <d v="2025-10-13T14:34:39"/>
    <s v=""/>
    <s v=""/>
    <s v=""/>
    <s v=""/>
  </r>
  <r>
    <s v="1002431"/>
    <s v="B-P Supply Inc"/>
    <x v="3"/>
    <s v="Art Bazan"/>
    <s v="Perry Jamison"/>
    <s v="PARTS ORDERED BY ART BAZAN - FRM RTE-JAMISON PERRY"/>
    <s v="5051028"/>
    <s v="Upstream"/>
    <s v=""/>
    <s v="USD"/>
    <n v="73.94"/>
    <s v="B2B"/>
    <s v="1"/>
    <s v="0209-KRYLON-BLK"/>
    <s v="KRYLON GLOSSY BLACK PAINT"/>
    <s v="Other"/>
    <d v="2025-10-07T15:14:18"/>
    <d v="2025-09-26T00:00:00"/>
    <d v="2025-09-26T00:00:00"/>
    <s v=""/>
    <s v=""/>
    <s v=""/>
    <s v=""/>
    <s v=""/>
    <s v=""/>
    <s v=""/>
    <s v=""/>
    <s v=""/>
    <s v=""/>
    <s v=""/>
    <s v=""/>
    <s v=""/>
    <s v=""/>
    <s v=""/>
    <s v=""/>
    <s v=""/>
    <s v=""/>
    <s v=""/>
    <s v=""/>
    <s v=""/>
    <s v=""/>
    <s v=""/>
    <s v=""/>
    <s v="Material"/>
    <s v=""/>
    <s v=""/>
    <s v=""/>
    <s v="9100020300"/>
    <s v="FRM RTE-JAMISON PERRY"/>
    <s v="Upstream"/>
    <s v="1046"/>
    <s v=""/>
    <s v=""/>
    <s v=""/>
    <s v=""/>
    <s v=""/>
    <s v=""/>
    <s v=""/>
    <n v="6"/>
    <s v="EA"/>
    <n v="12.32"/>
    <s v=""/>
    <n v="73.94"/>
    <s v="--multiple--"/>
    <s v="705219"/>
    <d v="2025-10-10T13:39:15"/>
    <s v=""/>
    <s v=""/>
    <s v=""/>
    <s v=""/>
  </r>
  <r>
    <s v="51119884"/>
    <s v="Lufkin US Acquisition Company LLC"/>
    <x v="3"/>
    <s v="Bud Wilson"/>
    <s v="Perry Jamison"/>
    <s v="MATERIAL"/>
    <s v="5051035"/>
    <s v="Upstream"/>
    <s v=""/>
    <s v="USD"/>
    <n v="1053"/>
    <s v="Direct Entry"/>
    <s v="1"/>
    <s v="062.1001"/>
    <s v="Load Cell 50K"/>
    <s v=""/>
    <d v="2025-10-01T11:32:08"/>
    <d v="2025-08-13T08:00:00"/>
    <d v="2025-08-13T09:00:00"/>
    <s v=""/>
    <s v=""/>
    <s v=""/>
    <s v=""/>
    <s v=""/>
    <s v=""/>
    <s v=""/>
    <s v=""/>
    <s v=""/>
    <s v=""/>
    <s v=""/>
    <s v=""/>
    <s v=""/>
    <s v=""/>
    <s v=""/>
    <s v=""/>
    <s v=""/>
    <s v=""/>
    <s v=""/>
    <s v=""/>
    <s v=""/>
    <s v=""/>
    <s v=""/>
    <s v=""/>
    <s v="Material"/>
    <s v=""/>
    <s v=""/>
    <s v=""/>
    <s v="1000460500"/>
    <s v="MABEE BREEDLOVE 2105H"/>
    <s v="Upstream"/>
    <s v="1046"/>
    <s v=""/>
    <s v=""/>
    <s v=""/>
    <s v=""/>
    <s v=""/>
    <s v=""/>
    <s v=""/>
    <n v="1"/>
    <s v="EA"/>
    <n v="595"/>
    <s v=""/>
    <n v="595"/>
    <s v="--multiple--"/>
    <s v="706723"/>
    <d v="2025-10-01T11:33:47"/>
    <s v=""/>
    <s v=""/>
    <s v=""/>
    <s v=""/>
  </r>
  <r>
    <s v="51119885"/>
    <s v="Lufkin US Acquisition Company LLC"/>
    <x v="3"/>
    <s v="Bud Wilson"/>
    <s v="Perry Jamison"/>
    <s v="MATERIAL"/>
    <s v="5051035"/>
    <s v="Upstream"/>
    <s v=""/>
    <s v="USD"/>
    <n v="1053"/>
    <s v="Direct Entry"/>
    <s v="1"/>
    <s v="062.1001"/>
    <s v="Load Cell 50K"/>
    <s v=""/>
    <d v="2025-10-01T12:03:16"/>
    <d v="2025-08-13T08:00:00"/>
    <d v="2025-08-13T09:00:00"/>
    <s v=""/>
    <s v=""/>
    <s v=""/>
    <s v=""/>
    <s v=""/>
    <s v=""/>
    <s v=""/>
    <s v=""/>
    <s v=""/>
    <s v=""/>
    <s v=""/>
    <s v=""/>
    <s v=""/>
    <s v=""/>
    <s v=""/>
    <s v=""/>
    <s v=""/>
    <s v=""/>
    <s v=""/>
    <s v=""/>
    <s v=""/>
    <s v=""/>
    <s v=""/>
    <s v=""/>
    <s v="Material"/>
    <s v=""/>
    <s v=""/>
    <s v=""/>
    <s v="1000459700"/>
    <s v="MABEE BREEDLOVE 11"/>
    <s v="Upstream"/>
    <s v="1046"/>
    <s v=""/>
    <s v=""/>
    <s v=""/>
    <s v=""/>
    <s v=""/>
    <s v=""/>
    <s v=""/>
    <n v="1"/>
    <s v="EA"/>
    <n v="595"/>
    <s v=""/>
    <n v="595"/>
    <s v="--multiple--"/>
    <s v="706723"/>
    <d v="2025-10-01T12:04:07"/>
    <s v=""/>
    <s v=""/>
    <s v=""/>
    <s v=""/>
  </r>
  <r>
    <s v="338613"/>
    <s v="Lufkin US Acquisition Company LLC"/>
    <x v="3"/>
    <s v="Bud Wilson"/>
    <s v="Perry Jamison"/>
    <s v="We traveled to the Lufkin base to pick up the necessary materials for installing a controller. Upon arriving at the site, we reviewed and signed_x000a_the Job Safety Analysis (JSA). We found that the well was already equipped with an LWM 1.0 controller. We proceeded to remove the_x000a_existing controller. The pump panel wiring had to be reconfigured because it was using control relays. We inspected the Hall effect sensors_x000a_and found them to be functional. We reinstalled the radio module and connected the receiver base for the wireless load cell. We programmed_x000a_the controller with the surface and downhole data. The well started up without any problems, and we observed accurate data on the pump_x000a_performance chart. We set the malfunction alarm thresholds and successfully tested them."/>
    <s v="5051035"/>
    <s v="Upstream"/>
    <s v=""/>
    <s v="USD"/>
    <n v="1097.5"/>
    <s v="Direct Entry"/>
    <s v="1"/>
    <s v="980.0040"/>
    <s v="Miles Traveled"/>
    <s v=""/>
    <d v="2025-09-30T10:34:08"/>
    <d v="2025-09-29T10:30:00"/>
    <d v="2025-09-29T15:30:00"/>
    <s v=""/>
    <s v=""/>
    <s v=""/>
    <s v=""/>
    <s v=""/>
    <s v=""/>
    <s v=""/>
    <s v=""/>
    <s v=""/>
    <s v=""/>
    <s v=""/>
    <s v=""/>
    <s v=""/>
    <s v=""/>
    <s v=""/>
    <s v=""/>
    <s v=""/>
    <s v=""/>
    <s v=""/>
    <s v=""/>
    <s v=""/>
    <s v=""/>
    <s v=""/>
    <s v=""/>
    <s v="Labor"/>
    <s v=""/>
    <s v=""/>
    <s v=""/>
    <s v="1001305800"/>
    <s v="RIKER 1"/>
    <s v="Upstream"/>
    <s v="1046"/>
    <s v=""/>
    <s v=""/>
    <s v=""/>
    <s v=""/>
    <s v=""/>
    <s v=""/>
    <s v=""/>
    <n v="120"/>
    <s v="MI"/>
    <n v="1.75"/>
    <s v=""/>
    <n v="210"/>
    <s v="--multiple--"/>
    <s v="706723"/>
    <d v="2025-09-30T10:41:24"/>
    <s v=""/>
    <s v=""/>
    <s v=""/>
    <s v=""/>
  </r>
  <r>
    <s v="51119921"/>
    <s v="Lufkin US Acquisition Company LLC"/>
    <x v="3"/>
    <s v="Bud Wilson"/>
    <s v="Perry Jamison"/>
    <s v="PARTS"/>
    <s v="5051035"/>
    <s v="Upstream"/>
    <s v=""/>
    <s v="USD"/>
    <n v="369"/>
    <s v="Direct Entry"/>
    <s v="1"/>
    <s v="530.5010"/>
    <s v="LCD LWM"/>
    <s v="530.5010"/>
    <d v="2025-10-02T07:13:28"/>
    <d v="2025-10-01T00:00:00"/>
    <d v="2025-10-01T00:00:00"/>
    <s v=""/>
    <s v="PINOT 65 5"/>
    <s v=""/>
    <s v=""/>
    <s v=""/>
    <s v=""/>
    <s v=""/>
    <s v=""/>
    <s v=""/>
    <s v=""/>
    <s v=""/>
    <s v=""/>
    <s v=""/>
    <s v=""/>
    <s v=""/>
    <s v=""/>
    <s v=""/>
    <s v=""/>
    <s v=""/>
    <s v=""/>
    <s v=""/>
    <s v=""/>
    <s v=""/>
    <s v=""/>
    <s v="Material"/>
    <s v=""/>
    <s v=""/>
    <s v=""/>
    <s v="1000582300"/>
    <s v="PINOT 65 5"/>
    <s v="Upstream"/>
    <s v="1046"/>
    <s v=""/>
    <s v=""/>
    <s v=""/>
    <s v=""/>
    <s v=""/>
    <s v=""/>
    <s v=""/>
    <n v="1"/>
    <s v="EA"/>
    <n v="275"/>
    <s v=""/>
    <n v="275"/>
    <s v="--multiple--"/>
    <s v="706723"/>
    <d v="2025-10-02T07:14:08"/>
    <s v=""/>
    <s v=""/>
    <s v=""/>
    <s v=""/>
  </r>
  <r>
    <s v="51119917"/>
    <s v="Lufkin US Acquisition Company LLC"/>
    <x v="3"/>
    <s v="Bud Wilson"/>
    <s v="Perry Jamison"/>
    <s v="PARTS"/>
    <s v="5051035"/>
    <s v="Upstream"/>
    <s v=""/>
    <s v="USD"/>
    <n v="369"/>
    <s v="Direct Entry"/>
    <s v="1"/>
    <s v="530.5010"/>
    <s v="LCD LWM"/>
    <s v="530.5010"/>
    <d v="2025-10-02T07:15:43"/>
    <d v="2025-10-01T00:00:00"/>
    <d v="2025-10-01T00:00:00"/>
    <s v=""/>
    <s v="SNELL LABOR 2"/>
    <s v=""/>
    <s v=""/>
    <s v=""/>
    <s v=""/>
    <s v=""/>
    <s v=""/>
    <s v=""/>
    <s v=""/>
    <s v=""/>
    <s v=""/>
    <s v=""/>
    <s v=""/>
    <s v=""/>
    <s v=""/>
    <s v=""/>
    <s v=""/>
    <s v=""/>
    <s v=""/>
    <s v=""/>
    <s v=""/>
    <s v=""/>
    <s v=""/>
    <s v="Material"/>
    <s v=""/>
    <s v=""/>
    <s v=""/>
    <s v="1001305600"/>
    <s v="SNELL LABOR 2"/>
    <s v="Upstream"/>
    <s v="1046"/>
    <s v=""/>
    <s v=""/>
    <s v=""/>
    <s v=""/>
    <s v=""/>
    <s v=""/>
    <s v=""/>
    <n v="1"/>
    <s v="EA"/>
    <n v="275"/>
    <s v=""/>
    <n v="275"/>
    <s v="--multiple--"/>
    <s v="706723"/>
    <d v="2025-10-02T07:16:08"/>
    <s v=""/>
    <s v=""/>
    <s v=""/>
    <s v=""/>
  </r>
  <r>
    <s v="51119918"/>
    <s v="Lufkin US Acquisition Company LLC"/>
    <x v="3"/>
    <s v="Bud Wilson"/>
    <s v="Perry Jamison"/>
    <s v="PARTS"/>
    <s v="5051035"/>
    <s v="Upstream"/>
    <s v=""/>
    <s v="USD"/>
    <n v="369"/>
    <s v="Direct Entry"/>
    <s v="1"/>
    <s v="530.5010"/>
    <s v="LCD LWM"/>
    <s v="530.5010"/>
    <d v="2025-10-02T07:16:41"/>
    <d v="2025-10-01T00:00:00"/>
    <d v="2025-10-01T00:00:00"/>
    <s v=""/>
    <s v="RIKER 1"/>
    <s v=""/>
    <s v=""/>
    <s v=""/>
    <s v=""/>
    <s v=""/>
    <s v=""/>
    <s v=""/>
    <s v=""/>
    <s v=""/>
    <s v=""/>
    <s v=""/>
    <s v=""/>
    <s v=""/>
    <s v=""/>
    <s v=""/>
    <s v=""/>
    <s v=""/>
    <s v=""/>
    <s v=""/>
    <s v=""/>
    <s v=""/>
    <s v=""/>
    <s v="Material"/>
    <s v=""/>
    <s v=""/>
    <s v=""/>
    <s v="1001305800"/>
    <s v="RIKER 1"/>
    <s v="Upstream"/>
    <s v="1046"/>
    <s v=""/>
    <s v=""/>
    <s v=""/>
    <s v=""/>
    <s v=""/>
    <s v=""/>
    <s v=""/>
    <n v="1"/>
    <s v="EA"/>
    <n v="275"/>
    <s v=""/>
    <n v="275"/>
    <s v="--multiple--"/>
    <s v="706723"/>
    <d v="2025-10-02T07:17:08"/>
    <s v=""/>
    <s v=""/>
    <s v=""/>
    <s v=""/>
  </r>
  <r>
    <s v="51119919"/>
    <s v="Lufkin US Acquisition Company LLC"/>
    <x v="3"/>
    <s v="Bud Wilson"/>
    <s v="Perry Jamison"/>
    <s v="PARTS"/>
    <s v="5051035"/>
    <s v="Upstream"/>
    <s v=""/>
    <s v="USD"/>
    <n v="369"/>
    <s v="Direct Entry"/>
    <s v="1"/>
    <s v="530.5010"/>
    <s v="LCD LWM"/>
    <s v="530.5010"/>
    <d v="2025-10-02T07:18:22"/>
    <d v="2025-10-01T00:00:00"/>
    <d v="2025-10-01T00:00:00"/>
    <s v=""/>
    <s v="BREEDLOVE FD 7"/>
    <s v=""/>
    <s v=""/>
    <s v=""/>
    <s v=""/>
    <s v=""/>
    <s v=""/>
    <s v=""/>
    <s v=""/>
    <s v=""/>
    <s v=""/>
    <s v=""/>
    <s v=""/>
    <s v=""/>
    <s v=""/>
    <s v=""/>
    <s v=""/>
    <s v=""/>
    <s v=""/>
    <s v=""/>
    <s v=""/>
    <s v=""/>
    <s v=""/>
    <s v="Material"/>
    <s v=""/>
    <s v=""/>
    <s v=""/>
    <s v="1001296000"/>
    <s v="BREEDLOVE, F.D. 7"/>
    <s v="Upstream"/>
    <s v="1046"/>
    <s v=""/>
    <s v=""/>
    <s v=""/>
    <s v=""/>
    <s v=""/>
    <s v=""/>
    <s v=""/>
    <n v="1"/>
    <s v="EA"/>
    <n v="275"/>
    <s v=""/>
    <n v="275"/>
    <s v="--multiple--"/>
    <s v="706723"/>
    <d v="2025-10-02T07:18:53"/>
    <s v=""/>
    <s v=""/>
    <s v=""/>
    <s v=""/>
  </r>
  <r>
    <s v="25047755"/>
    <s v="Lone Star Instrumentation &amp; Electric Corp"/>
    <x v="7"/>
    <s v="Ramiro Rangel"/>
    <s v="Dusty Gutierrez"/>
    <s v="WORK DESCRIPTION: Checked on unit for POC issue, found motor was bad. Tagged out unit."/>
    <s v="5051044"/>
    <s v="Upstream"/>
    <s v=""/>
    <s v="USD"/>
    <n v="211.5"/>
    <s v="B2B"/>
    <s v="1"/>
    <s v="LS119"/>
    <s v="Qualified Electrician Overtime"/>
    <s v=""/>
    <d v="2025-10-13T11:24:58"/>
    <d v="2025-09-29T16:30:00"/>
    <d v="2025-09-29T17:30:00"/>
    <s v=""/>
    <s v="MABEE LN H 1WD"/>
    <s v=""/>
    <s v=""/>
    <s v=""/>
    <s v=""/>
    <s v=""/>
    <s v=""/>
    <s v=""/>
    <s v=""/>
    <s v=""/>
    <s v=""/>
    <s v=""/>
    <s v=""/>
    <s v=""/>
    <s v=""/>
    <s v=""/>
    <s v=""/>
    <s v=""/>
    <s v=""/>
    <s v=""/>
    <s v=""/>
    <s v=""/>
    <s v=""/>
    <s v="Labor"/>
    <s v=""/>
    <s v=""/>
    <s v=""/>
    <s v="1000353400"/>
    <s v="MABEE LN H 1WD"/>
    <s v="Upstream"/>
    <s v="1046"/>
    <s v=""/>
    <s v=""/>
    <s v=""/>
    <s v=""/>
    <s v=""/>
    <s v=""/>
    <s v=""/>
    <n v="1"/>
    <s v="HR"/>
    <n v="97.5"/>
    <s v=""/>
    <n v="97.5"/>
    <s v="--multiple--"/>
    <s v="708305"/>
    <d v="2025-10-13T14:40:23"/>
    <s v=""/>
    <s v=""/>
    <s v=""/>
    <s v=""/>
  </r>
  <r>
    <s v="51119920"/>
    <s v="Lufkin US Acquisition Company LLC"/>
    <x v="3"/>
    <s v="Bud Wilson"/>
    <s v="Perry Jamison"/>
    <s v="PARTS"/>
    <s v="5051035"/>
    <s v="Upstream"/>
    <s v=""/>
    <s v="USD"/>
    <n v="369"/>
    <s v="Direct Entry"/>
    <s v="1"/>
    <s v="530.5010"/>
    <s v="LCD LWM"/>
    <s v="530.5010"/>
    <d v="2025-10-02T07:40:13"/>
    <d v="2025-10-01T00:00:00"/>
    <d v="2025-10-01T00:00:00"/>
    <s v=""/>
    <s v="CHABLIS 7"/>
    <s v=""/>
    <s v=""/>
    <s v=""/>
    <s v=""/>
    <s v=""/>
    <s v=""/>
    <s v=""/>
    <s v=""/>
    <s v=""/>
    <s v=""/>
    <s v=""/>
    <s v=""/>
    <s v=""/>
    <s v=""/>
    <s v=""/>
    <s v=""/>
    <s v=""/>
    <s v=""/>
    <s v=""/>
    <s v=""/>
    <s v=""/>
    <s v=""/>
    <s v="Material"/>
    <s v=""/>
    <s v=""/>
    <s v=""/>
    <s v="1000575000"/>
    <s v="CHABLIS 7"/>
    <s v="Upstream"/>
    <s v="1046"/>
    <s v=""/>
    <s v=""/>
    <s v=""/>
    <s v=""/>
    <s v=""/>
    <s v=""/>
    <s v=""/>
    <n v="1"/>
    <s v="EA"/>
    <n v="275"/>
    <s v=""/>
    <n v="275"/>
    <s v="--multiple--"/>
    <s v="706723"/>
    <d v="2025-10-02T07:40:38"/>
    <s v=""/>
    <s v=""/>
    <s v=""/>
    <s v=""/>
  </r>
  <r>
    <s v="25047756"/>
    <s v="Lone Star Instrumentation &amp; Electric Corp"/>
    <x v="7"/>
    <s v="Ramiro Rangel"/>
    <s v="Dusty Gutierrez"/>
    <s v="WORK DESCRIPTION:Pulled cut outs on the bank to disconnect well from service."/>
    <s v="5051044"/>
    <s v="Upstream"/>
    <s v=""/>
    <s v="USD"/>
    <n v="211.5"/>
    <s v="B2B"/>
    <s v="1"/>
    <s v="LS119"/>
    <s v="Qualified Electrician Overtime"/>
    <s v=""/>
    <d v="2025-10-13T11:25:00"/>
    <d v="2025-09-29T17:30:00"/>
    <d v="2025-09-29T18:30:00"/>
    <s v=""/>
    <s v="MABEE L 6"/>
    <s v=""/>
    <s v=""/>
    <s v=""/>
    <s v=""/>
    <s v=""/>
    <s v=""/>
    <s v=""/>
    <s v=""/>
    <s v=""/>
    <s v=""/>
    <s v=""/>
    <s v=""/>
    <s v=""/>
    <s v=""/>
    <s v=""/>
    <s v=""/>
    <s v=""/>
    <s v=""/>
    <s v=""/>
    <s v=""/>
    <s v=""/>
    <s v=""/>
    <s v="Labor"/>
    <s v=""/>
    <s v=""/>
    <s v=""/>
    <s v="1000353300"/>
    <s v="MABEE L 6"/>
    <s v="Upstream"/>
    <s v="1046"/>
    <s v=""/>
    <s v=""/>
    <s v=""/>
    <s v=""/>
    <s v=""/>
    <s v=""/>
    <s v=""/>
    <n v="1"/>
    <s v="HR"/>
    <n v="97.5"/>
    <s v=""/>
    <n v="97.5"/>
    <s v="--multiple--"/>
    <s v="708305"/>
    <d v="2025-10-13T14:41:42"/>
    <s v=""/>
    <s v=""/>
    <s v=""/>
    <s v=""/>
  </r>
  <r>
    <s v="25047789"/>
    <s v="Lone Star Instrumentation &amp; Electric Corp"/>
    <x v="7"/>
    <s v="Ramiro Rangel"/>
    <s v="Dusty Gutierrez"/>
    <s v="WORK DESCRIPTION: Added junction box for heat trace on the facility main gas line. Terminated all boxes and energized heat trace to the flare on the north side of location. On flare charge line valve. On the vru discharge lines. Ran main run for power to the charge pumps, the recycle pumps, vru lines on south end, and the scrubber tank for the south flare."/>
    <s v="5051128"/>
    <s v="Upstream"/>
    <s v=""/>
    <s v="USD"/>
    <n v="2244.63"/>
    <s v="B2B"/>
    <s v="1"/>
    <s v=""/>
    <s v="Qualified Electrician"/>
    <s v=""/>
    <d v="2025-10-13T11:25:13"/>
    <d v="2025-09-30T06:30:00"/>
    <d v="2025-09-30T19:15:00"/>
    <s v=""/>
    <s v="HOLT RANCH NORTH BATTERY"/>
    <s v=""/>
    <s v=""/>
    <s v=""/>
    <s v=""/>
    <s v=""/>
    <s v=""/>
    <s v=""/>
    <s v=""/>
    <s v=""/>
    <s v=""/>
    <s v=""/>
    <s v=""/>
    <s v=""/>
    <s v=""/>
    <s v=""/>
    <s v=""/>
    <s v=""/>
    <s v=""/>
    <s v=""/>
    <s v=""/>
    <s v=""/>
    <s v=""/>
    <s v="Labor"/>
    <s v=""/>
    <s v=""/>
    <s v=""/>
    <s v="8000111900"/>
    <s v="HOLT RANCH NORTH BATTERY"/>
    <s v="Upstream"/>
    <s v="1046"/>
    <s v=""/>
    <s v=""/>
    <s v=""/>
    <s v=""/>
    <s v=""/>
    <s v=""/>
    <s v=""/>
    <n v="8"/>
    <s v="HR"/>
    <n v="65"/>
    <s v=""/>
    <n v="520"/>
    <s v="--multiple--"/>
    <s v="708305"/>
    <d v="2025-10-13T15:23:59"/>
    <s v=""/>
    <s v=""/>
    <s v=""/>
    <s v=""/>
  </r>
  <r>
    <s v="25047788"/>
    <s v="Lone Star Instrumentation &amp; Electric Corp"/>
    <x v="7"/>
    <s v="Ramiro Rangel"/>
    <s v="Dusty Gutierrez"/>
    <s v="WORK DESCRIPTION: Disconnect and remove all flex and wire from drive transformer and disconnect. Load up material onto trailer. Get wire footage and make material list. Get driving directions and call in dig test. Unload material at yard"/>
    <s v="5051044"/>
    <s v="Upstream"/>
    <s v=""/>
    <s v="USD"/>
    <n v="1182.5"/>
    <s v="B2B"/>
    <s v="1"/>
    <s v="LS119"/>
    <s v="Qualified Electrician Overtime"/>
    <s v=""/>
    <d v="2025-10-13T11:25:12"/>
    <d v="2025-09-30T14:15:00"/>
    <d v="2025-09-30T19:15:00"/>
    <s v=""/>
    <s v="UL SITKA 12-37 G #3LS"/>
    <s v=""/>
    <s v=""/>
    <s v=""/>
    <s v=""/>
    <s v=""/>
    <s v=""/>
    <s v=""/>
    <s v=""/>
    <s v=""/>
    <s v=""/>
    <s v=""/>
    <s v=""/>
    <s v=""/>
    <s v=""/>
    <s v=""/>
    <s v=""/>
    <s v=""/>
    <s v=""/>
    <s v=""/>
    <s v=""/>
    <s v=""/>
    <s v=""/>
    <s v="Labor"/>
    <s v=""/>
    <s v=""/>
    <s v=""/>
    <s v="1000725500"/>
    <s v="UL SITKA 12-37 G 3LS"/>
    <s v="Upstream"/>
    <s v="1046"/>
    <s v=""/>
    <s v=""/>
    <s v=""/>
    <s v=""/>
    <s v=""/>
    <s v=""/>
    <s v=""/>
    <n v="5"/>
    <s v="HR"/>
    <n v="97.5"/>
    <s v=""/>
    <n v="487.5"/>
    <s v="--multiple--"/>
    <s v="708305"/>
    <d v="2025-10-13T15:22:15"/>
    <s v=""/>
    <s v=""/>
    <s v=""/>
    <s v=""/>
  </r>
  <r>
    <s v="4628-1152996"/>
    <s v="Cain Electric Supply CORP"/>
    <x v="4"/>
    <s v="Ramiro Rangel"/>
    <s v="Dusty Gutierrez"/>
    <s v="Electrical Materials"/>
    <s v="5051017"/>
    <s v="Upstream"/>
    <s v=""/>
    <s v="USD"/>
    <n v="1088.74"/>
    <s v=""/>
    <s v="1"/>
    <s v="WIRE SDT10/3"/>
    <s v="10-7R THHN TC CTRL CBL"/>
    <s v=""/>
    <d v="2025-10-08T19:04:34"/>
    <d v="2025-10-08T08:00:00"/>
    <d v="2025-10-08T08:00:00"/>
    <s v=""/>
    <s v="Mabee Kelton"/>
    <s v=""/>
    <s v=""/>
    <s v=""/>
    <s v=""/>
    <s v=""/>
    <s v=""/>
    <s v=""/>
    <s v=""/>
    <s v=""/>
    <s v=""/>
    <s v=""/>
    <s v=""/>
    <s v=""/>
    <s v=""/>
    <s v=""/>
    <s v=""/>
    <s v=""/>
    <s v=""/>
    <s v=""/>
    <s v=""/>
    <s v=""/>
    <s v=""/>
    <s v="Material"/>
    <s v=""/>
    <s v=""/>
    <s v=""/>
    <s v="1001773300"/>
    <s v="MABEE KELTON L 4-1 4312H"/>
    <s v="Upstream"/>
    <s v="1046"/>
    <s v=""/>
    <s v=""/>
    <s v=""/>
    <s v=""/>
    <s v=""/>
    <s v=""/>
    <s v=""/>
    <n v="166.67"/>
    <s v="EA"/>
    <n v="1.39"/>
    <s v=""/>
    <n v="230.83"/>
    <s v="--multiple--"/>
    <s v="703819"/>
    <d v="2025-10-10T09:28:17"/>
    <s v=""/>
    <s v=""/>
    <s v=""/>
    <s v=""/>
  </r>
  <r>
    <s v="243527"/>
    <s v="Royal Oilfield Services LLC"/>
    <x v="0"/>
    <s v="Nathaniel Cody"/>
    <s v="Mark Ramos"/>
    <s v="NC- I was requested to remove oil from the water tanks and transfer the obtained fluids to the oil tanks."/>
    <s v="5051054"/>
    <s v="Upstream"/>
    <s v=""/>
    <s v="USD"/>
    <n v="1102.5"/>
    <s v="Direct Entry"/>
    <s v="1"/>
    <s v="100001"/>
    <s v="Vacuum Truck"/>
    <s v="Vacuum Truck"/>
    <d v="2025-09-26T07:36:58"/>
    <d v="2025-09-17T07:30:00"/>
    <d v="2025-09-17T18:45:00"/>
    <d v="1899-12-30T11:15:00"/>
    <s v="TEMPLE DRAWER H BATTERY"/>
    <s v=""/>
    <s v=""/>
    <s v="produced water"/>
    <s v=""/>
    <s v=""/>
    <s v=""/>
    <s v=""/>
    <s v=""/>
    <s v=""/>
    <s v=""/>
    <s v=""/>
    <s v=""/>
    <s v=""/>
    <s v=""/>
    <s v=""/>
    <s v=""/>
    <s v=""/>
    <s v=""/>
    <s v=""/>
    <s v=""/>
    <n v="0"/>
    <s v="bbl"/>
    <s v=""/>
    <s v=""/>
    <s v=""/>
    <s v=""/>
    <s v="8000311900"/>
    <s v="TEMPLE DRAWER H BATTERY"/>
    <s v="Upstream"/>
    <s v="1046"/>
    <s v=""/>
    <s v=""/>
    <s v=""/>
    <s v=""/>
    <s v=""/>
    <s v=""/>
    <s v="Hours Worked"/>
    <n v="11.25"/>
    <s v="hour"/>
    <n v="90"/>
    <s v=""/>
    <n v="1012.5"/>
    <s v="Pricebook"/>
    <s v="703639"/>
    <d v="2025-09-29T17:38:02"/>
    <s v=""/>
    <s v=""/>
    <s v=""/>
    <s v=""/>
  </r>
  <r>
    <s v="243528"/>
    <s v="Royal Oilfield Services LLC"/>
    <x v="0"/>
    <s v="Nathaniel Cody"/>
    <s v="Mark Ramos"/>
    <s v="NC- I was asked to vacuum rainwater from the battery container."/>
    <s v="5051054"/>
    <s v="Upstream"/>
    <s v=""/>
    <s v="USD"/>
    <n v="1147.5"/>
    <s v="Direct Entry"/>
    <s v="1"/>
    <s v="100001"/>
    <s v="Vacuum Truck"/>
    <s v="Vacuum Truck"/>
    <d v="2025-09-25T19:59:08"/>
    <d v="2025-09-17T18:45:00"/>
    <d v="2025-09-18T04:30:00"/>
    <d v="1899-12-30T09:45:00"/>
    <s v="TEMPLE DRAWER H BATTERY"/>
    <s v=""/>
    <s v=""/>
    <s v="Produced water"/>
    <s v=""/>
    <s v=""/>
    <s v=""/>
    <s v=""/>
    <s v=""/>
    <s v=""/>
    <s v=""/>
    <s v=""/>
    <s v=""/>
    <s v=""/>
    <s v=""/>
    <s v=""/>
    <s v=""/>
    <s v=""/>
    <s v=""/>
    <s v=""/>
    <s v=""/>
    <n v="0"/>
    <s v="bbl"/>
    <s v=""/>
    <s v=""/>
    <s v=""/>
    <s v=""/>
    <s v="8000311900"/>
    <s v="TEMPLE DRAWER H BATTERY"/>
    <s v="Upstream"/>
    <s v="1046"/>
    <s v=""/>
    <s v=""/>
    <s v=""/>
    <s v=""/>
    <s v=""/>
    <s v=""/>
    <s v="Hours Worked"/>
    <n v="9.75"/>
    <s v="hour"/>
    <n v="90"/>
    <s v=""/>
    <n v="877.5"/>
    <s v="Pricebook"/>
    <s v="703639"/>
    <d v="2025-09-29T17:37:58"/>
    <s v=""/>
    <s v=""/>
    <s v=""/>
    <s v=""/>
  </r>
  <r>
    <s v="241217"/>
    <s v="Royal Oilfield Services LLC"/>
    <x v="0"/>
    <s v="Nathaniel Cody"/>
    <s v="Mark Ramos"/>
    <s v="NC - Hauled 120 bbls of produced water from water tank on location to ruger disposal royal ticket # 146924"/>
    <s v="5051054"/>
    <s v="Upstream"/>
    <s v=""/>
    <s v="USD"/>
    <n v="225"/>
    <s v="Direct Entry"/>
    <s v="1"/>
    <s v="100001"/>
    <s v="Vacuum Truck"/>
    <s v="Vacuum Truck"/>
    <d v="2025-09-25T13:42:55"/>
    <d v="2025-09-18T16:00:00"/>
    <d v="2025-09-18T17:30:00"/>
    <d v="1899-12-30T01:30:00"/>
    <s v="WHITE 2 2 BATTERY"/>
    <s v=""/>
    <s v=""/>
    <s v="Produced Water"/>
    <s v=""/>
    <s v=""/>
    <s v=""/>
    <s v=""/>
    <s v=""/>
    <s v=""/>
    <s v=""/>
    <s v=""/>
    <s v=""/>
    <s v=""/>
    <s v=""/>
    <s v=""/>
    <s v=""/>
    <s v=""/>
    <s v=""/>
    <s v=""/>
    <s v=""/>
    <n v="0"/>
    <s v="bbl"/>
    <s v=""/>
    <s v=""/>
    <s v=""/>
    <s v=""/>
    <s v="8300166200"/>
    <s v="WHITE 2 2 BATTERY"/>
    <s v="Upstream"/>
    <s v="1046"/>
    <s v=""/>
    <s v=""/>
    <s v=""/>
    <s v=""/>
    <s v=""/>
    <s v=""/>
    <s v="Hours Worked"/>
    <n v="1.5"/>
    <s v="hour"/>
    <n v="90"/>
    <s v=""/>
    <n v="135"/>
    <s v="Pricebook"/>
    <s v="703639"/>
    <d v="2025-09-29T12:09:44"/>
    <s v=""/>
    <s v=""/>
    <s v=""/>
    <s v=""/>
  </r>
  <r>
    <s v="241878"/>
    <s v="Royal Oilfield Services LLC"/>
    <x v="0"/>
    <s v="Nathaniel Cody"/>
    <s v="Mark Ramos"/>
    <s v="NC- hauled 240 bbls of produced water from location to Ruger SWD, Royal Ticket #173657, 173658"/>
    <s v="5051054"/>
    <s v="Upstream"/>
    <s v=""/>
    <s v="USD"/>
    <n v="607.5"/>
    <s v="Direct Entry"/>
    <s v="1"/>
    <s v="100001"/>
    <s v="Vacuum Truck"/>
    <s v="Vacuum Truck"/>
    <d v="2025-09-25T19:30:04"/>
    <d v="2025-09-18T16:30:00"/>
    <d v="2025-09-18T21:15:00"/>
    <d v="1899-12-30T04:45:00"/>
    <s v="QUINN 40 BATTERY"/>
    <s v=""/>
    <s v=""/>
    <s v="produced water"/>
    <s v=""/>
    <s v=""/>
    <s v=""/>
    <s v=""/>
    <s v=""/>
    <s v=""/>
    <s v=""/>
    <s v=""/>
    <s v=""/>
    <s v=""/>
    <s v=""/>
    <s v=""/>
    <s v=""/>
    <s v=""/>
    <s v=""/>
    <s v=""/>
    <s v=""/>
    <n v="0"/>
    <s v="bbl"/>
    <s v=""/>
    <s v=""/>
    <s v=""/>
    <s v=""/>
    <s v="8300140700"/>
    <s v="QUINN 40 BATTERY"/>
    <s v="Upstream"/>
    <s v="1046"/>
    <s v=""/>
    <s v=""/>
    <s v=""/>
    <s v=""/>
    <s v=""/>
    <s v=""/>
    <s v="Hours Worked"/>
    <n v="4.75"/>
    <s v="hour"/>
    <n v="90"/>
    <s v=""/>
    <n v="427.5"/>
    <s v="Pricebook"/>
    <s v="703639"/>
    <d v="2025-09-29T17:37:51"/>
    <s v=""/>
    <s v=""/>
    <s v=""/>
    <s v=""/>
  </r>
  <r>
    <s v="299818"/>
    <s v="Cowboy Pump &amp; Supply"/>
    <x v="10"/>
    <s v="Raul Melgoza"/>
    <s v="Richard Onzures"/>
    <s v="PARTS DELIVERED"/>
    <s v="5051052"/>
    <s v="Upstream"/>
    <s v="154772"/>
    <s v="USD"/>
    <n v="275.26"/>
    <s v="Direct Entry"/>
    <s v="1"/>
    <s v="23-SS012X14BUSH"/>
    <s v="1/2&quot; X 1/4&quot; SS BUSHING !!!"/>
    <s v="THD FITTINGS"/>
    <d v="2025-10-03T15:33:36"/>
    <d v="2025-09-03T00:00:00"/>
    <d v="2025-09-03T00:00:00"/>
    <s v=""/>
    <s v=""/>
    <s v=""/>
    <s v=""/>
    <s v=""/>
    <s v=""/>
    <s v=""/>
    <s v=""/>
    <s v=""/>
    <s v=""/>
    <s v=""/>
    <s v=""/>
    <s v=""/>
    <s v=""/>
    <s v=""/>
    <s v=""/>
    <s v=""/>
    <s v=""/>
    <s v=""/>
    <s v=""/>
    <s v=""/>
    <s v=""/>
    <s v=""/>
    <s v=""/>
    <s v="Material"/>
    <s v=""/>
    <s v=""/>
    <s v=""/>
    <s v="8300168100"/>
    <s v="WINDOWPANE 4 1 BATTERY"/>
    <s v="Upstream"/>
    <s v="1046"/>
    <s v=""/>
    <s v=""/>
    <s v=""/>
    <s v=""/>
    <s v=""/>
    <s v=""/>
    <s v=""/>
    <n v="12"/>
    <s v="EA"/>
    <n v="4.13"/>
    <s v=""/>
    <n v="49.56"/>
    <s v="E-Maintenance"/>
    <s v="703921"/>
    <d v="2025-10-03T15:36:29"/>
    <s v=""/>
    <s v=""/>
    <s v=""/>
    <s v=""/>
  </r>
  <r>
    <s v="104437CR"/>
    <s v="Spartan Companies LLC"/>
    <x v="8"/>
    <s v="Omar Torres"/>
    <s v="Michael Cavazos"/>
    <s v="Credit Memo - 104437CR - For VAC on invoice 104437"/>
    <s v="5051012"/>
    <s v="Upstream"/>
    <s v=""/>
    <s v="USD"/>
    <n v="-264"/>
    <s v="Direct Entry"/>
    <s v="1"/>
    <s v="LGS31"/>
    <s v="VAC"/>
    <s v=""/>
    <d v="2025-10-03T10:07:07"/>
    <d v="2025-01-17T08:00:00"/>
    <d v="2025-01-17T16:00:00"/>
    <s v=""/>
    <s v=""/>
    <s v=""/>
    <s v=""/>
    <s v=""/>
    <s v=""/>
    <s v=""/>
    <s v=""/>
    <s v=""/>
    <s v=""/>
    <s v=""/>
    <s v=""/>
    <s v=""/>
    <s v=""/>
    <s v=""/>
    <s v=""/>
    <s v=""/>
    <s v=""/>
    <s v=""/>
    <s v=""/>
    <s v=""/>
    <s v=""/>
    <s v=""/>
    <s v=""/>
    <s v="Labor"/>
    <s v=""/>
    <s v=""/>
    <s v=""/>
    <s v="9100017200"/>
    <s v="FRM RTE-CAVAZOS MICHAEL"/>
    <s v="Upstream"/>
    <s v="1046"/>
    <s v=""/>
    <s v=""/>
    <s v=""/>
    <s v=""/>
    <s v=""/>
    <s v=""/>
    <s v=""/>
    <n v="-8"/>
    <s v="HR"/>
    <n v="33"/>
    <s v=""/>
    <n v="-264"/>
    <s v="E-Maintenance"/>
    <s v="710530"/>
    <d v="2025-10-14T12:49:09"/>
    <s v=""/>
    <s v=""/>
    <s v="Validation Overlapping Hours"/>
    <s v=""/>
  </r>
  <r>
    <s v="1518971849"/>
    <s v="ThompsonGas, LLC"/>
    <x v="8"/>
    <s v="Omar Torres"/>
    <s v="Michael Cavazos"/>
    <s v="TANK RENT- BULLDOG FRESHWATER   09/01/25-09/30/25"/>
    <s v="5051032"/>
    <s v="Upstream"/>
    <s v=""/>
    <s v="USD"/>
    <n v="2600"/>
    <s v="Direct Entry"/>
    <s v="1"/>
    <s v="1006"/>
    <s v="Propane Tank"/>
    <s v=""/>
    <d v="2025-10-03T13:51:41"/>
    <d v="2025-09-01T08:00:00"/>
    <d v="2025-09-30T08:00:00"/>
    <s v=""/>
    <s v="BULLDOG FRESHWATER"/>
    <s v=""/>
    <s v=""/>
    <s v=""/>
    <s v=""/>
    <s v=""/>
    <s v=""/>
    <s v=""/>
    <s v=""/>
    <s v=""/>
    <s v=""/>
    <s v=""/>
    <s v=""/>
    <s v=""/>
    <s v=""/>
    <s v=""/>
    <s v=""/>
    <s v=""/>
    <s v=""/>
    <s v=""/>
    <s v=""/>
    <s v=""/>
    <s v=""/>
    <s v="Equipment"/>
    <s v=""/>
    <s v=""/>
    <s v=""/>
    <s v="1001142000"/>
    <s v="FRESHWATER 34-22 B 2JM"/>
    <s v="Upstream"/>
    <s v="1046"/>
    <s v=""/>
    <s v=""/>
    <s v=""/>
    <s v=""/>
    <s v=""/>
    <s v=""/>
    <s v=""/>
    <n v="0.17"/>
    <s v="EA"/>
    <n v="2600"/>
    <s v=""/>
    <n v="433.33"/>
    <s v=""/>
    <s v="713391"/>
    <d v="2025-10-03T13:58:03"/>
    <s v=""/>
    <s v=""/>
    <s v=""/>
    <s v=""/>
  </r>
  <r>
    <s v="590855"/>
    <s v="Bay Ltd"/>
    <x v="7"/>
    <s v="David Fuerte"/>
    <s v="Perry Jamison"/>
    <s v="LOAD OUT TESTER AND HAUL TO TANK BATTERY AND REMOVE OLD TESTER FROM BATTERY AND INSTALL NEW TESTER."/>
    <s v="5051049"/>
    <s v="Upstream"/>
    <s v="156430"/>
    <s v="USD"/>
    <n v="2100"/>
    <s v="Direct Entry"/>
    <s v="1"/>
    <s v=""/>
    <s v="155 ton Crane"/>
    <s v=""/>
    <d v="2025-10-01T09:31:15"/>
    <d v="2025-09-09T09:00:00"/>
    <d v="2025-09-09T13:00:00"/>
    <s v=""/>
    <s v="JAGUAR H BATTERY"/>
    <s v=""/>
    <s v=""/>
    <s v=""/>
    <s v=""/>
    <s v=""/>
    <s v=""/>
    <s v=""/>
    <s v=""/>
    <s v=""/>
    <s v=""/>
    <s v=""/>
    <s v=""/>
    <s v=""/>
    <s v=""/>
    <s v=""/>
    <s v=""/>
    <s v=""/>
    <s v=""/>
    <s v=""/>
    <s v=""/>
    <s v=""/>
    <s v=""/>
    <s v="Equipment"/>
    <s v=""/>
    <s v=""/>
    <s v="10108"/>
    <s v="8000040400"/>
    <s v="JAGUAR H BATTERY"/>
    <s v="Upstream"/>
    <s v="1046"/>
    <s v=""/>
    <s v=""/>
    <s v=""/>
    <s v=""/>
    <s v=""/>
    <s v=""/>
    <s v=""/>
    <n v="4"/>
    <s v="HR"/>
    <n v="375"/>
    <s v=""/>
    <n v="1500"/>
    <s v="Pricebook"/>
    <s v="703740"/>
    <d v="2025-10-09T14:13:13"/>
    <s v=""/>
    <s v=""/>
    <s v="Validation GPS Detail | Validation GPS Detail"/>
    <s v=""/>
  </r>
  <r>
    <s v="591070"/>
    <s v="Bay Ltd"/>
    <x v="7"/>
    <s v="David Fuerte"/>
    <s v="Perry Jamison"/>
    <s v="LOAD AND SET TESTER"/>
    <s v="5051049"/>
    <s v="Upstream"/>
    <s v="156430"/>
    <s v="USD"/>
    <n v="2400"/>
    <s v="Direct Entry"/>
    <s v="1"/>
    <s v=""/>
    <s v="120 ton Crane"/>
    <s v=""/>
    <d v="2025-10-01T08:50:12"/>
    <d v="2025-09-23T05:00:00"/>
    <d v="2025-09-23T10:00:00"/>
    <s v=""/>
    <s v="JAGUAR H BATTERY"/>
    <s v=""/>
    <s v=""/>
    <s v=""/>
    <s v=""/>
    <s v=""/>
    <s v=""/>
    <s v=""/>
    <s v=""/>
    <s v=""/>
    <s v=""/>
    <s v=""/>
    <s v=""/>
    <s v=""/>
    <s v=""/>
    <s v=""/>
    <s v=""/>
    <s v=""/>
    <s v=""/>
    <s v=""/>
    <s v=""/>
    <s v=""/>
    <s v=""/>
    <s v="Equipment"/>
    <s v=""/>
    <s v=""/>
    <s v="10103"/>
    <s v="8000040400"/>
    <s v="JAGUAR H BATTERY"/>
    <s v="Upstream"/>
    <s v="1046"/>
    <s v=""/>
    <s v=""/>
    <s v=""/>
    <s v=""/>
    <s v=""/>
    <s v=""/>
    <s v=""/>
    <n v="5"/>
    <s v="HR"/>
    <n v="335"/>
    <s v=""/>
    <n v="1675"/>
    <s v="Pricebook"/>
    <s v="703740"/>
    <d v="2025-10-09T14:13:46"/>
    <s v=""/>
    <s v=""/>
    <s v="Validation GPS Detail | Coding/Location Issue"/>
    <s v=""/>
  </r>
  <r>
    <s v="591071"/>
    <s v="Bay Ltd"/>
    <x v="7"/>
    <s v="David Fuerte"/>
    <s v="Perry Jamison"/>
    <s v="REMOVING VRU AND HAULING TO YARD AND OFFLOADING THEN LOADING ANOTHER VRU TO SET AT FIRST LOCATION."/>
    <s v="5051049"/>
    <s v="Upstream"/>
    <s v="155478"/>
    <s v="USD"/>
    <n v="2300"/>
    <s v="Direct Entry"/>
    <s v="1"/>
    <s v=""/>
    <s v="120 ton Crane"/>
    <s v=""/>
    <d v="2025-10-01T08:46:59"/>
    <d v="2025-09-23T10:00:00"/>
    <d v="2025-09-23T15:00:00"/>
    <s v=""/>
    <s v="JAGUAR H BATTERY"/>
    <s v=""/>
    <s v=""/>
    <s v=""/>
    <s v=""/>
    <s v=""/>
    <s v=""/>
    <s v=""/>
    <s v=""/>
    <s v=""/>
    <s v=""/>
    <s v=""/>
    <s v=""/>
    <s v=""/>
    <s v=""/>
    <s v=""/>
    <s v=""/>
    <s v=""/>
    <s v=""/>
    <s v=""/>
    <s v=""/>
    <s v=""/>
    <s v=""/>
    <s v="Equipment"/>
    <s v=""/>
    <s v=""/>
    <s v="10103"/>
    <s v="8000040400"/>
    <s v="JAGUAR H BATTERY"/>
    <s v="Upstream"/>
    <s v="1046"/>
    <s v=""/>
    <s v=""/>
    <s v=""/>
    <s v=""/>
    <s v=""/>
    <s v=""/>
    <s v=""/>
    <n v="5"/>
    <s v="HR"/>
    <n v="335"/>
    <s v=""/>
    <n v="1675"/>
    <s v="Pricebook"/>
    <s v="703740"/>
    <d v="2025-10-09T14:14:10"/>
    <s v=""/>
    <s v=""/>
    <s v="Validation GPS Detail | Validation GPS Detail | Service Date/Time Issue"/>
    <s v=""/>
  </r>
  <r>
    <s v="36014"/>
    <s v="Raider Pump &amp; Supply Inc"/>
    <x v="5"/>
    <s v="David Fuerte"/>
    <s v="Perry Jamison"/>
    <s v="WARREN VALVE, WARREN LOCKING HANDLE"/>
    <s v="5051049"/>
    <s v="Upstream"/>
    <s v="167459"/>
    <s v="USD"/>
    <n v="21502.44"/>
    <s v="Direct Entry"/>
    <s v="1"/>
    <s v="VBV-600-150-F-GO-W"/>
    <s v="6&quot; 150# RF FP TRUNNION/ CARBON/NACE GEAR OPERATED WARREN VALVE"/>
    <s v=""/>
    <d v="2025-10-13T08:31:43"/>
    <d v="2025-09-30T00:00:00"/>
    <d v="2025-09-30T00:00:00"/>
    <s v=""/>
    <s v=""/>
    <s v=""/>
    <s v=""/>
    <s v=""/>
    <s v=""/>
    <s v=""/>
    <s v=""/>
    <s v=""/>
    <s v=""/>
    <s v=""/>
    <s v=""/>
    <s v=""/>
    <s v=""/>
    <s v=""/>
    <s v=""/>
    <s v=""/>
    <s v=""/>
    <s v=""/>
    <s v=""/>
    <s v=""/>
    <s v=""/>
    <s v=""/>
    <s v=""/>
    <s v="Material"/>
    <s v=""/>
    <s v=""/>
    <s v=""/>
    <s v="8000141800"/>
    <s v="DECANTER H BATTERY"/>
    <s v="Upstream"/>
    <s v="1046"/>
    <s v=""/>
    <s v=""/>
    <s v=""/>
    <s v=""/>
    <s v=""/>
    <s v=""/>
    <s v=""/>
    <n v="3"/>
    <s v="EA"/>
    <n v="5384.68"/>
    <s v=""/>
    <n v="16154.04"/>
    <s v="E-Maintenance"/>
    <s v="703264"/>
    <d v="2025-10-13T08:35:12"/>
    <s v=""/>
    <s v=""/>
    <s v=""/>
    <s v=""/>
  </r>
  <r>
    <s v="427568"/>
    <s v="Diamond Pump and Transport, LLC"/>
    <x v="9"/>
    <s v="Omar Torres"/>
    <s v="Michael Cavazos"/>
    <s v="427568-EMTPY OUT SCURBBER PULL 20BBLS OF FLUID UNLAOD AT FRAC TANK"/>
    <s v="5051057"/>
    <s v="Upstream"/>
    <s v=""/>
    <s v="USD"/>
    <n v="237.5"/>
    <s v="Direct Entry"/>
    <s v="1"/>
    <s v="VACUUM TRUCK"/>
    <s v="Vac Truck"/>
    <s v=""/>
    <d v="2025-10-11T09:57:08"/>
    <d v="2025-10-06T10:45:00"/>
    <d v="2025-10-06T13:15:00"/>
    <d v="1899-12-30T02:30:00"/>
    <s v="HDU BLOCK STATION 38"/>
    <s v=""/>
    <s v=""/>
    <s v="*"/>
    <s v=""/>
    <s v=""/>
    <s v=""/>
    <s v=""/>
    <s v=""/>
    <s v=""/>
    <s v=""/>
    <s v=""/>
    <s v=""/>
    <s v=""/>
    <s v=""/>
    <s v=""/>
    <s v=""/>
    <s v=""/>
    <s v=""/>
    <s v=""/>
    <s v=""/>
    <n v="0"/>
    <s v="bbl"/>
    <s v=""/>
    <s v=""/>
    <s v=""/>
    <s v=""/>
    <s v="8000313200"/>
    <s v="BLOCK STATION 38 FACILITY"/>
    <s v="Upstream"/>
    <s v="1046"/>
    <s v=""/>
    <s v=""/>
    <s v=""/>
    <s v=""/>
    <s v=""/>
    <s v=""/>
    <s v="Hours Worked"/>
    <n v="2.5"/>
    <s v="hour"/>
    <n v="95"/>
    <s v=""/>
    <n v="237.5"/>
    <s v="Pricebook"/>
    <s v="705890"/>
    <d v="2025-10-13T15:54:47"/>
    <s v=""/>
    <s v=""/>
    <s v=""/>
    <s v=""/>
  </r>
  <r>
    <s v="62031"/>
    <s v="JAT PARTNER LOGISTICS, LLC"/>
    <x v="3"/>
    <s v="David Fuerte"/>
    <s v="Perry Jamison"/>
    <s v="WENT FROM LOCATION TO LOCATION TO RELEASE PRESSURE ON WELL. RETURNED TO YARD."/>
    <s v="5051062"/>
    <s v="Upstream"/>
    <s v="169212"/>
    <s v="USD"/>
    <n v="180"/>
    <s v="Dispatched Mobile - iOS"/>
    <s v="1"/>
    <s v="Vacuum Truck"/>
    <s v="Vacuum Truck"/>
    <s v=""/>
    <d v="2025-10-03T08:50:36"/>
    <d v="2025-10-03T10:00:00"/>
    <d v="2025-10-03T12:00:00"/>
    <d v="1899-12-30T02:00:00"/>
    <s v="BREEDLOVE F.D. 7"/>
    <s v=""/>
    <s v=""/>
    <s v="HOURS"/>
    <s v=""/>
    <s v=""/>
    <s v=""/>
    <s v=""/>
    <s v=""/>
    <s v=""/>
    <s v=""/>
    <s v=""/>
    <s v=""/>
    <s v=""/>
    <s v=""/>
    <s v=""/>
    <s v=""/>
    <s v=""/>
    <s v=""/>
    <s v=""/>
    <s v=""/>
    <n v="0"/>
    <s v="bbl"/>
    <s v=""/>
    <s v=""/>
    <s v=""/>
    <s v=""/>
    <s v="8300084700"/>
    <s v="BREEDLOVE F.D. 7 BATTERY"/>
    <s v="Upstream"/>
    <s v="1046"/>
    <s v=""/>
    <s v=""/>
    <s v=""/>
    <s v=""/>
    <s v=""/>
    <s v=""/>
    <s v="Hours Worked"/>
    <n v="2"/>
    <s v="hour"/>
    <n v="90"/>
    <s v=""/>
    <n v="180"/>
    <s v="--multiple--"/>
    <s v="711903"/>
    <d v="2025-10-10T14:05:11"/>
    <s v=""/>
    <s v=""/>
    <s v=""/>
    <s v=""/>
  </r>
  <r>
    <s v="E01322"/>
    <s v="Mission Flares and Combustion, LLC"/>
    <x v="9"/>
    <s v="Raymond Sanchez"/>
    <s v="Justin Rodriguez"/>
    <s v="PRV Maintenance"/>
    <s v="5051006"/>
    <s v="Upstream"/>
    <s v="159188"/>
    <s v="USD"/>
    <n v="3762.8"/>
    <s v="Direct Entry"/>
    <s v="1"/>
    <s v="E-Mission Tech 2 with CDL"/>
    <s v="E-Mission Tech 2 with CDL"/>
    <s v="Service"/>
    <d v="2025-10-01T13:20:39"/>
    <d v="2025-09-23T17:00:00"/>
    <d v="2025-09-23T18:00:00"/>
    <s v=""/>
    <s v="Rio Guadalupe 22-23 EFGH Battery"/>
    <s v=""/>
    <s v=""/>
    <s v=""/>
    <s v=""/>
    <s v=""/>
    <s v=""/>
    <s v=""/>
    <s v=""/>
    <s v=""/>
    <s v=""/>
    <s v=""/>
    <s v=""/>
    <s v=""/>
    <s v=""/>
    <s v=""/>
    <s v=""/>
    <s v=""/>
    <s v=""/>
    <s v=""/>
    <s v=""/>
    <s v=""/>
    <s v=""/>
    <s v="Labor"/>
    <s v=""/>
    <s v=""/>
    <s v=""/>
    <s v="8300146100"/>
    <s v="RIO GUADALUPE 22-23 EFGH BATTERY"/>
    <s v="Upstream"/>
    <s v="1046"/>
    <s v=""/>
    <s v=""/>
    <s v=""/>
    <s v=""/>
    <s v=""/>
    <s v=""/>
    <s v=""/>
    <n v="1"/>
    <s v="HR"/>
    <n v="80"/>
    <s v=""/>
    <n v="80"/>
    <s v="--multiple--"/>
    <s v="710631"/>
    <d v="2025-10-14T11:30:48"/>
    <s v=""/>
    <s v=""/>
    <s v="Ticket Amount Error"/>
    <s v=""/>
  </r>
  <r>
    <s v="430792"/>
    <s v="Diamond Pump and Transport, LLC"/>
    <x v="7"/>
    <s v="David Fuerte"/>
    <s v="Perry Jamison"/>
    <s v="430792-WASH TRUCK FOR GANG FW FROM VAC TRUCK WASHOUT 2 HEATERS"/>
    <s v="5051049"/>
    <s v="Upstream"/>
    <s v="169922"/>
    <s v="USD"/>
    <n v="739.5"/>
    <s v="Direct Entry"/>
    <s v="1"/>
    <s v="PUMP TRUCK"/>
    <s v="Pump Truck"/>
    <s v="GENERAL"/>
    <d v="2025-10-12T11:49:48"/>
    <d v="2025-10-08T05:45:00"/>
    <d v="2025-10-08T13:00:00"/>
    <s v=""/>
    <s v="SPECK I OZERI LOMOCO 2"/>
    <s v=""/>
    <s v=""/>
    <s v=""/>
    <s v=""/>
    <s v=""/>
    <s v=""/>
    <s v=""/>
    <s v=""/>
    <s v=""/>
    <s v=""/>
    <s v=""/>
    <s v=""/>
    <s v=""/>
    <s v=""/>
    <s v=""/>
    <s v=""/>
    <s v=""/>
    <s v=""/>
    <s v=""/>
    <s v=""/>
    <s v=""/>
    <s v=""/>
    <s v="Equipment"/>
    <s v=""/>
    <s v=""/>
    <s v=""/>
    <s v="8000041100"/>
    <s v="SPECK 1-OZIER 11-LOMOCO 2 BATTERY"/>
    <s v="Upstream"/>
    <s v="1046"/>
    <s v=""/>
    <s v=""/>
    <s v=""/>
    <s v=""/>
    <s v=""/>
    <s v=""/>
    <s v=""/>
    <n v="7.25"/>
    <s v="HR"/>
    <n v="102"/>
    <s v=""/>
    <n v="739.5"/>
    <s v="Pricebook"/>
    <s v="705890"/>
    <d v="2025-10-12T11:50:56"/>
    <s v=""/>
    <s v=""/>
    <s v=""/>
    <s v=""/>
  </r>
  <r>
    <s v="10748"/>
    <s v="SixGun Energy Services"/>
    <x v="6"/>
    <s v="David Fuerte"/>
    <s v="Perry Jamison"/>
    <s v="We drove to the pinotage yard to have insulation lifted, drove to the _x000a_shop to hook up the trailer with the manlift, then drove to the battery, we _x000a_started opening the heater manway and washing the interior, _x000a_disconnected the smock stack on heaters 2 and 3, removed both fire _x000a_tubes and washed them while they were outside for inspection, ordered _x000a_the fire tube and manway gaskets, insulated the water dump and oil _x000a_dump on heater #1, insulated the same on heater #2, installed new _x000a_thermostats on both heaters, re-kitted the back pressure valve on the _x000a_vent line on heater #3, and installed insulation as well. We drove to the _x000a_pinotage yard to lift a water leg, then drove back to the battery, installed _x000a_the new water leg on heater #2, picked up the trash and threw it in the _x000a_trash trailer"/>
    <s v="5051049"/>
    <s v="Upstream"/>
    <s v="169922"/>
    <s v="USD"/>
    <n v="2740"/>
    <s v="Direct Entry"/>
    <s v="1"/>
    <s v="Roustabout:3-man crew"/>
    <s v="3-man crew"/>
    <s v="Roustabout"/>
    <d v="2025-10-09T12:17:49"/>
    <d v="2025-10-08T06:00:00"/>
    <d v="2025-10-08T18:00:00"/>
    <s v=""/>
    <s v=""/>
    <s v=""/>
    <s v=""/>
    <s v=""/>
    <s v=""/>
    <s v=""/>
    <s v=""/>
    <s v=""/>
    <s v=""/>
    <s v=""/>
    <s v=""/>
    <s v=""/>
    <s v=""/>
    <s v=""/>
    <s v=""/>
    <s v=""/>
    <s v=""/>
    <s v=""/>
    <s v=""/>
    <s v=""/>
    <s v=""/>
    <s v=""/>
    <s v=""/>
    <s v="Labor"/>
    <s v=""/>
    <s v=""/>
    <s v=""/>
    <s v="8000041100"/>
    <s v="SPECK 1-OZIER 11-LOMOCO 2 BATTERY"/>
    <s v="Upstream"/>
    <s v="1046"/>
    <s v=""/>
    <s v=""/>
    <s v=""/>
    <s v=""/>
    <s v=""/>
    <s v=""/>
    <s v=""/>
    <n v="12"/>
    <s v="HR"/>
    <n v="130"/>
    <s v=""/>
    <n v="1560"/>
    <s v="--multiple--"/>
    <s v="710774"/>
    <d v="2025-10-09T12:20:01"/>
    <s v=""/>
    <s v=""/>
    <s v=""/>
    <s v=""/>
  </r>
  <r>
    <s v="430654"/>
    <s v="Diamond Pump and Transport, LLC"/>
    <x v="7"/>
    <s v="David Fuerte"/>
    <s v="Perry Jamison"/>
    <s v="430654-HAULED FW TO HO TO WASHOUT TANK"/>
    <s v="5051049"/>
    <s v="Upstream"/>
    <s v=""/>
    <s v="USD"/>
    <n v="1140"/>
    <s v="Direct Entry"/>
    <s v="1"/>
    <s v="VACUUM TRUCK"/>
    <s v="Vac Truck"/>
    <s v=""/>
    <d v="2025-10-12T11:21:06"/>
    <d v="2025-10-09T07:30:00"/>
    <d v="2025-10-09T19:30:00"/>
    <d v="1899-12-30T12:00:00"/>
    <s v="SPECK OZIER 11 2004"/>
    <s v=""/>
    <s v=""/>
    <s v="*"/>
    <s v=""/>
    <s v=""/>
    <s v=""/>
    <s v=""/>
    <s v=""/>
    <s v=""/>
    <s v=""/>
    <s v=""/>
    <s v=""/>
    <s v=""/>
    <s v=""/>
    <s v=""/>
    <s v=""/>
    <s v=""/>
    <s v=""/>
    <s v=""/>
    <s v=""/>
    <n v="0"/>
    <s v="bbl"/>
    <s v=""/>
    <s v=""/>
    <s v=""/>
    <s v=""/>
    <s v="8000041100"/>
    <s v="SPECK 1-OZIER 11-LOMOCO 2 BATTERY"/>
    <s v="Upstream"/>
    <s v="1046"/>
    <s v=""/>
    <s v=""/>
    <s v=""/>
    <s v=""/>
    <s v=""/>
    <s v=""/>
    <s v="Hours Worked"/>
    <n v="12"/>
    <s v="hour"/>
    <n v="95"/>
    <s v=""/>
    <n v="1140"/>
    <s v="Pricebook"/>
    <s v="705890"/>
    <d v="2025-10-12T11:31:18"/>
    <s v=""/>
    <s v=""/>
    <s v=""/>
    <s v=""/>
  </r>
  <r>
    <s v="202544143"/>
    <s v="AM Fabrication Inc"/>
    <x v="4"/>
    <s v="Edgar Quintero"/>
    <s v="Perry Jamison"/>
    <s v="Shut off power isolated blew down change oil filter check oil level left on auto"/>
    <s v="5051064"/>
    <s v="Upstream"/>
    <s v="148484"/>
    <s v="USD"/>
    <n v="383.94"/>
    <s v="Direct Entry"/>
    <s v="1"/>
    <s v="1236"/>
    <s v="Diamondback PM VRU"/>
    <s v="Stock item"/>
    <d v="2025-10-12T07:42:40"/>
    <d v="2025-09-06T17:30:00"/>
    <d v="2025-09-06T18:30:00"/>
    <s v=""/>
    <s v="Pinotage Battery"/>
    <s v=""/>
    <s v=""/>
    <s v=""/>
    <s v=""/>
    <s v=""/>
    <s v=""/>
    <s v=""/>
    <s v=""/>
    <s v=""/>
    <s v=""/>
    <s v=""/>
    <s v=""/>
    <s v=""/>
    <s v=""/>
    <s v=""/>
    <s v=""/>
    <s v=""/>
    <s v=""/>
    <s v=""/>
    <s v=""/>
    <s v=""/>
    <s v=""/>
    <s v="Labor"/>
    <s v=""/>
    <s v=""/>
    <s v=""/>
    <s v="8000039000"/>
    <s v="PINOTAGE BATTERY"/>
    <s v="Upstream"/>
    <s v="1046"/>
    <s v=""/>
    <s v=""/>
    <s v=""/>
    <s v=""/>
    <s v=""/>
    <s v=""/>
    <s v=""/>
    <n v="1"/>
    <s v="EA"/>
    <n v="325"/>
    <s v=""/>
    <n v="325"/>
    <s v="--multiple--"/>
    <s v="703623"/>
    <d v="2025-10-12T07:43:56"/>
    <s v=""/>
    <s v=""/>
    <s v=""/>
    <s v=""/>
  </r>
  <r>
    <s v="202544782"/>
    <s v="AM Fabrication Inc"/>
    <x v="4"/>
    <s v="Edgar Quintero"/>
    <s v="Perry Jamison"/>
    <s v="Shut off power isolated blew down change oil filter drain oil fill with oil left on auto"/>
    <s v="5051064"/>
    <s v="Upstream"/>
    <s v="163910"/>
    <s v="USD"/>
    <n v="882.86"/>
    <s v="Direct Entry"/>
    <s v="1"/>
    <s v="1236"/>
    <s v="Diamondback PM VRU"/>
    <s v="Stock item"/>
    <d v="2025-10-10T11:49:35"/>
    <d v="2025-10-03T15:00:00"/>
    <d v="2025-10-03T16:30:00"/>
    <s v=""/>
    <s v="Mabee Breedlove West H"/>
    <s v=""/>
    <s v=""/>
    <s v=""/>
    <s v=""/>
    <s v=""/>
    <s v=""/>
    <s v=""/>
    <s v=""/>
    <s v=""/>
    <s v=""/>
    <s v=""/>
    <s v=""/>
    <s v=""/>
    <s v=""/>
    <s v=""/>
    <s v=""/>
    <s v=""/>
    <s v=""/>
    <s v=""/>
    <s v=""/>
    <s v=""/>
    <s v=""/>
    <s v="Labor"/>
    <s v=""/>
    <s v=""/>
    <s v=""/>
    <s v="8000040200"/>
    <s v="MABEE BREEDLOVE WEST H BATTERY"/>
    <s v="Upstream"/>
    <s v="1046"/>
    <s v=""/>
    <s v=""/>
    <s v=""/>
    <s v=""/>
    <s v=""/>
    <s v=""/>
    <s v=""/>
    <n v="1"/>
    <s v="EA"/>
    <n v="325"/>
    <s v=""/>
    <n v="325"/>
    <s v="--multiple--"/>
    <s v="703623"/>
    <d v="2025-10-10T12:01:26"/>
    <s v=""/>
    <s v=""/>
    <s v=""/>
    <s v=""/>
  </r>
  <r>
    <s v="427569"/>
    <s v="Diamond Pump and Transport, LLC"/>
    <x v="9"/>
    <s v="Omar Torres"/>
    <s v="Michael Cavazos"/>
    <s v="427569-PULL LAOD OF PW FROM TANK HAULED TO PUBLIC SWD 100BBLS"/>
    <s v="5051054"/>
    <s v="Upstream"/>
    <s v=""/>
    <s v="USD"/>
    <n v="275"/>
    <s v="Direct Entry"/>
    <s v="1"/>
    <s v="VACUUM TRUCK"/>
    <s v="Vac Truck"/>
    <s v=""/>
    <d v="2025-10-11T09:51:01"/>
    <d v="2025-10-06T13:15:00"/>
    <d v="2025-10-06T15:15:00"/>
    <d v="1899-12-30T02:00:00"/>
    <s v="TXL 43B BAT"/>
    <s v=""/>
    <s v=""/>
    <s v="*"/>
    <s v=""/>
    <s v=""/>
    <s v=""/>
    <s v=""/>
    <s v=""/>
    <s v=""/>
    <s v=""/>
    <s v=""/>
    <s v=""/>
    <s v=""/>
    <s v=""/>
    <s v=""/>
    <s v=""/>
    <s v=""/>
    <s v=""/>
    <s v=""/>
    <s v=""/>
    <n v="0"/>
    <s v="bbl"/>
    <s v=""/>
    <s v=""/>
    <s v=""/>
    <s v=""/>
    <s v="8300162300"/>
    <s v="TXL 43B BATTERY"/>
    <s v="Upstream"/>
    <s v="1046"/>
    <s v=""/>
    <s v=""/>
    <s v=""/>
    <s v=""/>
    <s v=""/>
    <s v=""/>
    <s v="Hours Worked"/>
    <n v="2"/>
    <s v="hour"/>
    <n v="95"/>
    <s v=""/>
    <n v="190"/>
    <s v="Pricebook"/>
    <s v="705890"/>
    <d v="2025-10-13T15:54:17"/>
    <s v=""/>
    <s v=""/>
    <s v=""/>
    <s v=""/>
  </r>
  <r>
    <s v="1002474"/>
    <s v="B-P Supply Inc"/>
    <x v="3"/>
    <s v="Ramiro Montez"/>
    <s v="Perry Jamison"/>
    <s v="PARTS ORDERED BY MATHEW ANDREWS - FRM RTE-JAMISON PERRY"/>
    <s v="5051049"/>
    <s v="Upstream"/>
    <s v=""/>
    <s v="USD"/>
    <n v="437.72"/>
    <s v="B2B"/>
    <s v="1"/>
    <s v="0306-OPLC-A-300"/>
    <s v="300# MURPHY SWITCH"/>
    <s v="Other"/>
    <d v="2025-10-07T15:14:38"/>
    <d v="2025-09-26T00:00:00"/>
    <d v="2025-09-26T00:00:00"/>
    <s v=""/>
    <s v=""/>
    <s v=""/>
    <s v=""/>
    <s v=""/>
    <s v=""/>
    <s v=""/>
    <s v=""/>
    <s v=""/>
    <s v=""/>
    <s v=""/>
    <s v=""/>
    <s v=""/>
    <s v=""/>
    <s v=""/>
    <s v=""/>
    <s v=""/>
    <s v=""/>
    <s v=""/>
    <s v=""/>
    <s v=""/>
    <s v=""/>
    <s v=""/>
    <s v=""/>
    <s v="Material"/>
    <s v=""/>
    <s v=""/>
    <s v=""/>
    <s v="9100020300"/>
    <s v="FRM RTE-JAMISON PERRY"/>
    <s v="Upstream"/>
    <s v="1046"/>
    <s v=""/>
    <s v=""/>
    <s v=""/>
    <s v=""/>
    <s v=""/>
    <s v=""/>
    <s v=""/>
    <n v="1"/>
    <s v="EA"/>
    <n v="410.9"/>
    <s v=""/>
    <n v="410.9"/>
    <s v="--multiple--"/>
    <s v="705219"/>
    <d v="2025-10-10T13:47:05"/>
    <s v=""/>
    <s v=""/>
    <s v=""/>
    <s v=""/>
  </r>
  <r>
    <s v="430652"/>
    <s v="Diamond Pump and Transport, LLC"/>
    <x v="9"/>
    <s v="Omar Torres"/>
    <s v="Michael Cavazos"/>
    <s v="430652-DRAIN LINE"/>
    <s v="5051057"/>
    <s v="Upstream"/>
    <s v=""/>
    <s v="USD"/>
    <n v="308.75"/>
    <s v="Direct Entry"/>
    <s v="1"/>
    <s v="VACUUM TRUCK"/>
    <s v="Vac Truck"/>
    <s v=""/>
    <d v="2025-10-13T12:56:48"/>
    <d v="2025-10-07T10:30:00"/>
    <d v="2025-10-07T13:45:00"/>
    <d v="1899-12-30T03:15:00"/>
    <s v="ANDY 22"/>
    <s v=""/>
    <s v=""/>
    <s v="*"/>
    <s v=""/>
    <s v=""/>
    <s v=""/>
    <s v=""/>
    <s v=""/>
    <s v=""/>
    <s v=""/>
    <s v=""/>
    <s v=""/>
    <s v=""/>
    <s v=""/>
    <s v=""/>
    <s v=""/>
    <s v=""/>
    <s v=""/>
    <s v=""/>
    <s v=""/>
    <n v="0"/>
    <s v="bbl"/>
    <s v=""/>
    <s v=""/>
    <s v=""/>
    <s v=""/>
    <s v="1000756600"/>
    <s v="ANDY 22"/>
    <s v="Upstream"/>
    <s v="1046"/>
    <s v=""/>
    <s v=""/>
    <s v=""/>
    <s v=""/>
    <s v=""/>
    <s v=""/>
    <s v="Hours Worked"/>
    <n v="3.25"/>
    <s v="hour"/>
    <n v="95"/>
    <s v=""/>
    <n v="308.75"/>
    <s v="Pricebook"/>
    <s v="705890"/>
    <d v="2025-10-13T12:58:16"/>
    <s v=""/>
    <s v=""/>
    <s v=""/>
    <s v=""/>
  </r>
  <r>
    <s v="53171"/>
    <s v="TCC Sandblasting &amp; Coating"/>
    <x v="3"/>
    <s v="Casey Grigg"/>
    <s v="Richard Garcia"/>
    <s v="Continued to sandblast heater 4 x 20 in color blue. Lowered hoses, once done coating cleaned up work area and left location"/>
    <s v="5051049"/>
    <s v="Upstream"/>
    <s v="165738"/>
    <s v="USD"/>
    <n v="1399.6"/>
    <s v="Direct Entry"/>
    <s v="1"/>
    <s v="Blast Media"/>
    <s v="Blast Media"/>
    <s v=""/>
    <d v="2025-10-10T14:24:45"/>
    <d v="2025-10-08T10:30:00"/>
    <d v="2025-10-08T15:15:00"/>
    <s v=""/>
    <s v=""/>
    <s v=""/>
    <s v=""/>
    <s v=""/>
    <s v=""/>
    <s v=""/>
    <s v=""/>
    <s v=""/>
    <s v=""/>
    <s v=""/>
    <s v=""/>
    <s v=""/>
    <s v=""/>
    <s v=""/>
    <s v=""/>
    <s v=""/>
    <s v=""/>
    <s v=""/>
    <s v=""/>
    <s v=""/>
    <s v=""/>
    <s v=""/>
    <s v=""/>
    <s v="Material"/>
    <s v=""/>
    <s v=""/>
    <s v=""/>
    <s v="8300080100"/>
    <s v="BILLINGSLEY A 1 BATTERY"/>
    <s v="Upstream"/>
    <s v="1046"/>
    <s v=""/>
    <s v=""/>
    <s v=""/>
    <s v=""/>
    <s v=""/>
    <s v=""/>
    <s v=""/>
    <n v="14"/>
    <s v="BAG"/>
    <n v="15.15"/>
    <s v=""/>
    <n v="212.1"/>
    <s v="--multiple--"/>
    <s v="704988"/>
    <d v="2025-10-10T14:31:05"/>
    <s v=""/>
    <s v=""/>
    <s v=""/>
    <s v=""/>
  </r>
  <r>
    <s v="23669"/>
    <s v="Triple B Cranes LLC"/>
    <x v="3"/>
    <s v="Dallen Mize"/>
    <s v="Richard Garcia"/>
    <s v="Crane Service: Repair tester"/>
    <s v="5051049"/>
    <s v="Upstream"/>
    <s v="169864"/>
    <s v="USD"/>
    <n v="3850"/>
    <s v="Direct Entry"/>
    <s v="1"/>
    <s v="TBCCS"/>
    <s v="Crane Service"/>
    <s v="Crane Services"/>
    <d v="2025-10-10T14:20:45"/>
    <d v="2025-10-10T00:00:00"/>
    <d v="2025-10-10T00:00:00"/>
    <s v=""/>
    <s v=""/>
    <s v=""/>
    <s v=""/>
    <s v=""/>
    <s v=""/>
    <s v=""/>
    <s v=""/>
    <s v=""/>
    <s v=""/>
    <s v=""/>
    <s v=""/>
    <s v=""/>
    <s v=""/>
    <s v=""/>
    <s v=""/>
    <s v=""/>
    <s v=""/>
    <s v=""/>
    <s v=""/>
    <s v=""/>
    <s v=""/>
    <s v=""/>
    <s v=""/>
    <s v="Labor"/>
    <s v=""/>
    <s v=""/>
    <s v=""/>
    <s v="8300173700"/>
    <s v="AMOCO-BLANCHE 2-28 UNIT 2 BATTERY"/>
    <s v="Upstream"/>
    <s v="1046"/>
    <s v=""/>
    <s v=""/>
    <s v=""/>
    <s v=""/>
    <s v=""/>
    <s v=""/>
    <s v=""/>
    <n v="1"/>
    <s v="D"/>
    <n v="3850"/>
    <s v=""/>
    <n v="3850"/>
    <s v="E-Maintenance"/>
    <s v="702824"/>
    <d v="2025-10-10T14:23:10"/>
    <s v=""/>
    <s v=""/>
    <s v=""/>
    <s v=""/>
  </r>
  <r>
    <s v="MD2699307"/>
    <s v="Jet Specialty Inc"/>
    <x v="4"/>
    <s v="Francisco Chavez III"/>
    <s v="Richard Garcia"/>
    <s v="LEASE: ACKERLY LANGHAM 24 BATTERY; BUYER: FRANCISCO CHAVEZ; PO: WO# 155819R"/>
    <s v="5051049"/>
    <s v="Upstream"/>
    <s v="155819"/>
    <s v="USD"/>
    <n v="1297.7"/>
    <s v="API"/>
    <s v="1"/>
    <s v="190043"/>
    <s v="36 FWA TREATER VAL KIMRAY DAC"/>
    <s v="E&amp;M"/>
    <d v="2025-10-09T13:40:40"/>
    <d v="2025-09-23T00:00:00"/>
    <d v="2025-09-23T00:00:00"/>
    <s v=""/>
    <s v=""/>
    <s v=""/>
    <s v=""/>
    <s v=""/>
    <s v=""/>
    <s v=""/>
    <s v=""/>
    <s v=""/>
    <s v=""/>
    <s v=""/>
    <s v=""/>
    <s v=""/>
    <s v=""/>
    <s v=""/>
    <s v=""/>
    <s v=""/>
    <s v=""/>
    <s v=""/>
    <s v=""/>
    <s v=""/>
    <s v=""/>
    <s v=""/>
    <s v=""/>
    <s v="Material"/>
    <s v=""/>
    <s v=""/>
    <s v=""/>
    <s v="1000033900"/>
    <s v="ACKERLY LANGHAM 24 1"/>
    <s v="Upstream"/>
    <s v="1046"/>
    <s v=""/>
    <s v=""/>
    <s v=""/>
    <s v=""/>
    <s v=""/>
    <s v=""/>
    <s v=""/>
    <n v="1"/>
    <s v="each"/>
    <n v="1270.68"/>
    <s v=""/>
    <n v="1270.68"/>
    <s v="--multiple--"/>
    <s v="708023"/>
    <d v="2025-10-09T14:19:30"/>
    <s v=""/>
    <s v=""/>
    <s v=""/>
    <s v=""/>
  </r>
  <r>
    <s v="78543"/>
    <s v="Pumping Unit Technologies, LLC"/>
    <x v="1"/>
    <s v="Francisco Chavez III"/>
    <s v="Richard Garcia"/>
    <s v="Stroked &amp; Balanced Unit"/>
    <s v="5051035"/>
    <s v="Upstream"/>
    <s v="163018"/>
    <s v="USD"/>
    <n v="5975"/>
    <s v="Direct Entry"/>
    <s v="1"/>
    <s v=""/>
    <s v="Tandem/Crane with Operator and Pumping Unit Work"/>
    <s v=""/>
    <d v="2025-10-07T13:28:16"/>
    <d v="2025-09-25T13:00:00"/>
    <d v="2025-09-25T20:00:00"/>
    <s v=""/>
    <s v="Koger 2 #4"/>
    <s v=""/>
    <s v=""/>
    <s v=""/>
    <s v=""/>
    <s v=""/>
    <s v=""/>
    <s v=""/>
    <s v=""/>
    <s v=""/>
    <s v=""/>
    <s v=""/>
    <s v=""/>
    <s v=""/>
    <s v=""/>
    <s v=""/>
    <s v=""/>
    <s v=""/>
    <s v=""/>
    <s v=""/>
    <s v=""/>
    <s v=""/>
    <s v=""/>
    <s v="Labor"/>
    <s v=""/>
    <s v=""/>
    <s v=""/>
    <s v="1001314100"/>
    <s v="KOGER 2 4"/>
    <s v="Upstream"/>
    <s v="1046"/>
    <s v=""/>
    <s v=""/>
    <s v=""/>
    <s v=""/>
    <s v=""/>
    <s v=""/>
    <s v=""/>
    <n v="7"/>
    <s v="HR"/>
    <n v="305"/>
    <s v=""/>
    <n v="2135"/>
    <s v="--multiple--"/>
    <s v="712963"/>
    <d v="2025-10-07T13:30:46"/>
    <s v=""/>
    <s v=""/>
    <s v=""/>
    <s v=""/>
  </r>
  <r>
    <s v="78535"/>
    <s v="Pumping Unit Technologies, LLC"/>
    <x v="1"/>
    <s v="Francisco Chavez III"/>
    <s v="Richard Garcia"/>
    <s v="Installed Polish Rod Liner"/>
    <s v="5051035"/>
    <s v="Upstream"/>
    <s v="157676"/>
    <s v="USD"/>
    <n v="1475"/>
    <s v="Direct Entry"/>
    <s v="1"/>
    <s v=""/>
    <s v="Tandem/Crane with Operator and Pumping Unit Work"/>
    <s v=""/>
    <d v="2025-10-07T12:19:52"/>
    <d v="2025-09-26T07:30:00"/>
    <d v="2025-09-26T10:30:00"/>
    <s v=""/>
    <s v="Richards 47 #5"/>
    <s v=""/>
    <s v=""/>
    <s v=""/>
    <s v=""/>
    <s v=""/>
    <s v=""/>
    <s v=""/>
    <s v=""/>
    <s v=""/>
    <s v=""/>
    <s v=""/>
    <s v=""/>
    <s v=""/>
    <s v=""/>
    <s v=""/>
    <s v=""/>
    <s v=""/>
    <s v=""/>
    <s v=""/>
    <s v=""/>
    <s v=""/>
    <s v=""/>
    <s v="Labor"/>
    <s v=""/>
    <s v=""/>
    <s v=""/>
    <s v="1001309400"/>
    <s v="RICHARDS 47 5"/>
    <s v="Upstream"/>
    <s v="1046"/>
    <s v=""/>
    <s v=""/>
    <s v=""/>
    <s v=""/>
    <s v=""/>
    <s v=""/>
    <s v=""/>
    <n v="3"/>
    <s v="HR"/>
    <n v="305"/>
    <s v=""/>
    <n v="915"/>
    <s v="--multiple--"/>
    <s v="712963"/>
    <d v="2025-10-07T12:21:28"/>
    <s v=""/>
    <s v=""/>
    <s v=""/>
    <s v=""/>
  </r>
  <r>
    <s v="211581"/>
    <s v="Basin Trucking LLC"/>
    <x v="1"/>
    <s v="Francisco Chavez III"/>
    <s v="Richard Garcia"/>
    <s v="Drove to location replaced parts on circulating pump 2 lines left ready for production."/>
    <s v="5051049"/>
    <s v="Upstream"/>
    <s v="165952"/>
    <s v="USD"/>
    <n v="227.5"/>
    <s v="Direct Entry"/>
    <s v="1"/>
    <s v="3 Man Crew"/>
    <s v="3 Man Crew"/>
    <s v="Roustabout Crew"/>
    <d v="2025-10-07T12:56:52"/>
    <d v="2025-09-30T14:15:00"/>
    <d v="2025-09-30T16:00:00"/>
    <s v=""/>
    <s v="RICHARDS 45-4 BATTERY"/>
    <s v=""/>
    <s v=""/>
    <s v=""/>
    <s v=""/>
    <s v=""/>
    <s v=""/>
    <s v=""/>
    <s v=""/>
    <s v=""/>
    <s v=""/>
    <s v=""/>
    <s v=""/>
    <s v=""/>
    <s v=""/>
    <s v=""/>
    <s v=""/>
    <s v=""/>
    <s v=""/>
    <s v=""/>
    <s v=""/>
    <s v=""/>
    <s v=""/>
    <s v="Labor"/>
    <s v=""/>
    <s v=""/>
    <s v=""/>
    <s v="8300141800"/>
    <s v="RICHARDS 45-4 BATTERY"/>
    <s v="Upstream"/>
    <s v="1046"/>
    <s v=""/>
    <s v=""/>
    <s v=""/>
    <s v=""/>
    <s v=""/>
    <s v=""/>
    <s v=""/>
    <n v="1.75"/>
    <s v="HR"/>
    <n v="130"/>
    <s v=""/>
    <n v="227.5"/>
    <s v="--multiple--"/>
    <s v="703517"/>
    <d v="2025-10-07T12:57:48"/>
    <s v=""/>
    <s v=""/>
    <s v=""/>
    <s v=""/>
  </r>
  <r>
    <s v="396505"/>
    <s v="Tommy White Supply Company, Inc."/>
    <x v="4"/>
    <s v="Francisco Chavez III"/>
    <s v="Richard Garcia"/>
    <s v="POLISH ROD - TEES - DOME PACKING - RINGS - PONY ROD - GREASE"/>
    <s v="5051035"/>
    <s v="Upstream"/>
    <s v="168693"/>
    <s v="USD"/>
    <n v="2163.02"/>
    <s v="Direct Entry"/>
    <s v="1"/>
    <s v="20-300E622-7"/>
    <s v="POLISH ROD 1-1/2&quot; X 22' SPRAY METAL 7/8&quot; PIN"/>
    <s v="PONY RODS PUP JTS"/>
    <d v="2025-10-09T13:55:49"/>
    <d v="2025-10-02T00:00:00"/>
    <d v="2025-10-02T00:00:00"/>
    <s v=""/>
    <s v="ARNOLD 2 102 LS"/>
    <s v=""/>
    <s v=""/>
    <s v=""/>
    <s v=""/>
    <s v=""/>
    <s v=""/>
    <s v=""/>
    <s v=""/>
    <s v=""/>
    <s v=""/>
    <s v=""/>
    <s v=""/>
    <s v=""/>
    <s v=""/>
    <s v=""/>
    <s v=""/>
    <s v=""/>
    <s v=""/>
    <s v=""/>
    <s v=""/>
    <s v=""/>
    <s v=""/>
    <s v="Material"/>
    <s v=""/>
    <s v=""/>
    <s v=""/>
    <s v="1001115100"/>
    <s v="ARNOLD 2 102 LS"/>
    <s v="Upstream"/>
    <s v="1046"/>
    <s v=""/>
    <s v=""/>
    <s v=""/>
    <s v=""/>
    <s v=""/>
    <s v=""/>
    <s v=""/>
    <n v="1"/>
    <s v="EA"/>
    <n v="1525.39"/>
    <s v=""/>
    <n v="1525.39"/>
    <s v=""/>
    <s v="706526"/>
    <d v="2025-10-09T13:59:36"/>
    <s v=""/>
    <s v=""/>
    <s v=""/>
    <s v=""/>
  </r>
  <r>
    <s v="211482"/>
    <s v="Basin Trucking LLC"/>
    <x v="3"/>
    <s v="Francisco Chavez III"/>
    <s v="Richard Garcia"/>
    <s v="Added a T and valve on the tester"/>
    <s v="5051049"/>
    <s v="Upstream"/>
    <s v="167959"/>
    <s v="USD"/>
    <n v="130"/>
    <s v="Direct Entry"/>
    <s v="1"/>
    <s v="3 Man Crew"/>
    <s v="3 Man Crew"/>
    <s v="Roustabout Crew"/>
    <d v="2025-10-13T13:13:47"/>
    <d v="2025-10-02T17:00:00"/>
    <d v="2025-10-02T18:00:00"/>
    <s v=""/>
    <s v="AMOCO BLANCHE A 2-28 BATTERY"/>
    <s v=""/>
    <s v=""/>
    <s v=""/>
    <s v=""/>
    <s v=""/>
    <s v=""/>
    <s v=""/>
    <s v=""/>
    <s v=""/>
    <s v=""/>
    <s v=""/>
    <s v=""/>
    <s v=""/>
    <s v=""/>
    <s v=""/>
    <s v=""/>
    <s v=""/>
    <s v=""/>
    <s v=""/>
    <s v=""/>
    <s v=""/>
    <s v=""/>
    <s v="Labor"/>
    <s v=""/>
    <s v=""/>
    <s v=""/>
    <s v="8300173600"/>
    <s v="AMOCO BLANCHE A 2-28 BATTERY"/>
    <s v="Upstream"/>
    <s v="1046"/>
    <s v=""/>
    <s v=""/>
    <s v=""/>
    <s v=""/>
    <s v=""/>
    <s v=""/>
    <s v=""/>
    <n v="1"/>
    <s v="HR"/>
    <n v="130"/>
    <s v=""/>
    <n v="130"/>
    <s v="--multiple--"/>
    <s v="703517"/>
    <d v="2025-10-13T13:14:48"/>
    <s v=""/>
    <s v=""/>
    <s v=""/>
    <s v=""/>
  </r>
  <r>
    <s v="213603"/>
    <s v="Basin Trucking LLC"/>
    <x v="6"/>
    <s v="Francisco Chavez III"/>
    <s v="Richard Garcia"/>
    <s v="Drove to location and changed 2&quot; nipples and connection from the BS line retightened everything correctly to avoid any leaks."/>
    <s v="5051049"/>
    <s v="Upstream"/>
    <s v="213603"/>
    <s v="USD"/>
    <n v="130"/>
    <s v="Direct Entry"/>
    <s v="1"/>
    <s v="3 Man Crew"/>
    <s v="3 Man Crew"/>
    <s v="Roustabout Crew"/>
    <d v="2025-10-13T11:51:59"/>
    <d v="2025-10-06T16:15:00"/>
    <d v="2025-10-06T17:15:00"/>
    <s v=""/>
    <s v="KOGER 2 BATTERY"/>
    <s v=""/>
    <s v=""/>
    <s v=""/>
    <s v=""/>
    <s v=""/>
    <s v=""/>
    <s v=""/>
    <s v=""/>
    <s v=""/>
    <s v=""/>
    <s v=""/>
    <s v=""/>
    <s v=""/>
    <s v=""/>
    <s v=""/>
    <s v=""/>
    <s v=""/>
    <s v=""/>
    <s v=""/>
    <s v=""/>
    <s v=""/>
    <s v=""/>
    <s v="Labor"/>
    <s v=""/>
    <s v=""/>
    <s v=""/>
    <s v="8300117400"/>
    <s v="KOGER 2 BATTERY"/>
    <s v="Upstream"/>
    <s v="1046"/>
    <s v=""/>
    <s v=""/>
    <s v=""/>
    <s v=""/>
    <s v=""/>
    <s v=""/>
    <s v=""/>
    <n v="1"/>
    <s v="HR"/>
    <n v="130"/>
    <s v=""/>
    <n v="130"/>
    <s v="--multiple--"/>
    <s v="703517"/>
    <d v="2025-10-13T11:52:58"/>
    <s v=""/>
    <s v=""/>
    <s v=""/>
    <s v=""/>
  </r>
  <r>
    <s v="213605"/>
    <s v="Basin Trucking LLC"/>
    <x v="3"/>
    <s v="Francisco Chavez III"/>
    <s v="Richard Garcia"/>
    <s v="Drove to location and replaced a few 2&quot; connection from drain line of the heater."/>
    <s v="5051049"/>
    <s v="Upstream"/>
    <s v="167547"/>
    <s v="USD"/>
    <n v="292.5"/>
    <s v="Direct Entry"/>
    <s v="1"/>
    <s v="3 Man Crew"/>
    <s v="3 Man Crew"/>
    <s v="Roustabout Crew"/>
    <d v="2025-10-13T11:46:08"/>
    <d v="2025-10-06T18:15:00"/>
    <d v="2025-10-06T20:30:00"/>
    <s v=""/>
    <s v="BILLINGSLEY 12 1 BATTERY"/>
    <s v=""/>
    <s v=""/>
    <s v=""/>
    <s v=""/>
    <s v=""/>
    <s v=""/>
    <s v=""/>
    <s v=""/>
    <s v=""/>
    <s v=""/>
    <s v=""/>
    <s v=""/>
    <s v=""/>
    <s v=""/>
    <s v=""/>
    <s v=""/>
    <s v=""/>
    <s v=""/>
    <s v=""/>
    <s v=""/>
    <s v=""/>
    <s v=""/>
    <s v="Labor"/>
    <s v=""/>
    <s v=""/>
    <s v=""/>
    <s v="8300080000"/>
    <s v="BILLINGSLEY 12 1 BATTERY"/>
    <s v="Upstream"/>
    <s v="1046"/>
    <s v=""/>
    <s v=""/>
    <s v=""/>
    <s v=""/>
    <s v=""/>
    <s v=""/>
    <s v=""/>
    <n v="2.25"/>
    <s v="HR"/>
    <n v="130"/>
    <s v=""/>
    <n v="292.5"/>
    <s v="--multiple--"/>
    <s v="703517"/>
    <d v="2025-10-13T11:47:19"/>
    <s v=""/>
    <s v=""/>
    <s v=""/>
    <s v=""/>
  </r>
  <r>
    <s v="307971"/>
    <s v="JTA SERVICE LLC"/>
    <x v="4"/>
    <s v="Francisco Chavez III"/>
    <s v="Richard Garcia"/>
    <s v="Pump truck service- Drove to location with Unit 322, (left my unit 360 the previous day)  continued to assist to with tank washout and drove back to JTA yard at the end of day."/>
    <s v="5051049"/>
    <s v="Upstream"/>
    <s v="166939"/>
    <s v="USD"/>
    <n v="1035"/>
    <s v="Direct Entry"/>
    <s v="1"/>
    <s v="Pump Truck"/>
    <s v="Pump Truck"/>
    <s v="Pump Truck"/>
    <d v="2025-10-09T12:23:41"/>
    <d v="2025-10-08T07:00:00"/>
    <d v="2025-10-08T16:00:00"/>
    <s v=""/>
    <s v=""/>
    <s v=""/>
    <s v=""/>
    <s v=""/>
    <s v=""/>
    <s v=""/>
    <s v=""/>
    <s v=""/>
    <s v=""/>
    <s v=""/>
    <s v=""/>
    <s v=""/>
    <s v=""/>
    <s v=""/>
    <s v=""/>
    <s v=""/>
    <s v=""/>
    <s v=""/>
    <s v=""/>
    <s v=""/>
    <s v=""/>
    <s v=""/>
    <s v=""/>
    <s v="Labor"/>
    <s v=""/>
    <s v=""/>
    <s v=""/>
    <s v="8000032600"/>
    <s v="ACKERLY HALE -29- BATTERY"/>
    <s v="Upstream"/>
    <s v="1046"/>
    <s v=""/>
    <s v=""/>
    <s v=""/>
    <s v=""/>
    <s v=""/>
    <s v=""/>
    <s v=""/>
    <n v="9"/>
    <s v="HR"/>
    <n v="115"/>
    <s v=""/>
    <n v="1035"/>
    <s v="Pricebook"/>
    <s v="708067"/>
    <d v="2025-10-09T12:25:15"/>
    <s v=""/>
    <s v=""/>
    <s v=""/>
    <s v=""/>
  </r>
  <r>
    <s v="306330"/>
    <s v="JTA SERVICE LLC"/>
    <x v="4"/>
    <s v="Francisco Chavez III"/>
    <s v="Richard Garcia"/>
    <s v="Backhoe service- Continued to load up contaminated dirt and hauled a total of 3 loads to R 360."/>
    <s v="5051027"/>
    <s v="Upstream"/>
    <s v="166939"/>
    <s v="USD"/>
    <n v="840"/>
    <s v="Direct Entry"/>
    <s v="1"/>
    <s v="Backhoe/Dumptruck"/>
    <s v="Backhoe/Dumptruck"/>
    <s v=""/>
    <d v="2025-10-09T12:07:07"/>
    <d v="2025-10-08T12:00:00"/>
    <d v="2025-10-08T20:00:00"/>
    <s v=""/>
    <s v=""/>
    <s v=""/>
    <s v=""/>
    <s v=""/>
    <s v=""/>
    <s v=""/>
    <s v=""/>
    <s v=""/>
    <s v=""/>
    <s v=""/>
    <s v=""/>
    <s v=""/>
    <s v=""/>
    <s v=""/>
    <s v=""/>
    <s v=""/>
    <s v=""/>
    <s v=""/>
    <s v=""/>
    <s v=""/>
    <s v=""/>
    <s v=""/>
    <s v=""/>
    <s v="Labor"/>
    <s v=""/>
    <s v=""/>
    <s v=""/>
    <s v="8000032600"/>
    <s v="ACKERLY HALE -29- BATTERY"/>
    <s v="Upstream"/>
    <s v="1046"/>
    <s v=""/>
    <s v=""/>
    <s v=""/>
    <s v=""/>
    <s v=""/>
    <s v=""/>
    <s v=""/>
    <n v="8"/>
    <s v="HR"/>
    <n v="105"/>
    <s v=""/>
    <n v="840"/>
    <s v="Pricebook"/>
    <s v="708067"/>
    <d v="2025-10-09T12:09:30"/>
    <s v=""/>
    <s v=""/>
    <s v=""/>
    <s v=""/>
  </r>
  <r>
    <s v="306332"/>
    <s v="JTA SERVICE LLC"/>
    <x v="3"/>
    <s v="Francisco Chavez III"/>
    <s v="Richard Garcia"/>
    <s v="Backhoe service- Drove to location and continued to clean up area, broke down fiber glass tank to be hauled off to landfill."/>
    <s v="5051027"/>
    <s v="Upstream"/>
    <s v="166939"/>
    <s v="USD"/>
    <n v="1050"/>
    <s v="Direct Entry"/>
    <s v="1"/>
    <s v="Backhoe/Dumptruck"/>
    <s v="Backhoe/Dumptruck"/>
    <s v=""/>
    <d v="2025-10-10T12:16:37"/>
    <d v="2025-10-09T06:15:00"/>
    <d v="2025-10-09T16:15:00"/>
    <s v=""/>
    <s v=""/>
    <s v=""/>
    <s v=""/>
    <s v=""/>
    <s v=""/>
    <s v=""/>
    <s v=""/>
    <s v=""/>
    <s v=""/>
    <s v=""/>
    <s v=""/>
    <s v=""/>
    <s v=""/>
    <s v=""/>
    <s v=""/>
    <s v=""/>
    <s v=""/>
    <s v=""/>
    <s v=""/>
    <s v=""/>
    <s v=""/>
    <s v=""/>
    <s v=""/>
    <s v="Labor"/>
    <s v=""/>
    <s v=""/>
    <s v=""/>
    <s v="8000032600"/>
    <s v="ACKERLY HALE -29- BATTERY"/>
    <s v="Upstream"/>
    <s v="1046"/>
    <s v=""/>
    <s v=""/>
    <s v=""/>
    <s v=""/>
    <s v=""/>
    <s v=""/>
    <s v=""/>
    <n v="10"/>
    <s v="HR"/>
    <n v="105"/>
    <s v=""/>
    <n v="1050"/>
    <s v="Pricebook"/>
    <s v="708067"/>
    <d v="2025-10-10T12:18:55"/>
    <s v=""/>
    <s v=""/>
    <s v=""/>
    <s v=""/>
  </r>
  <r>
    <s v="324278"/>
    <s v="JTA SERVICE LLC"/>
    <x v="3"/>
    <s v="Francisco Chavez III"/>
    <s v="Richard Garcia"/>
    <s v="Roustabout work- Drove to location with flatbed trailer to cut catwalk and loaded up with the help of backhoe to take to landfill."/>
    <s v="5051027"/>
    <s v="Upstream"/>
    <s v="166939"/>
    <s v="USD"/>
    <n v="912.5"/>
    <s v="Direct Entry"/>
    <s v="1"/>
    <s v="Roustabout-3"/>
    <s v="Roustabout 3 man crew"/>
    <s v=""/>
    <d v="2025-10-10T12:06:48"/>
    <d v="2025-10-09T10:00:00"/>
    <d v="2025-10-09T16:30:00"/>
    <s v=""/>
    <s v=""/>
    <s v=""/>
    <s v=""/>
    <s v=""/>
    <s v=""/>
    <s v=""/>
    <s v=""/>
    <s v=""/>
    <s v=""/>
    <s v=""/>
    <s v=""/>
    <s v=""/>
    <s v=""/>
    <s v=""/>
    <s v=""/>
    <s v=""/>
    <s v=""/>
    <s v=""/>
    <s v=""/>
    <s v=""/>
    <s v=""/>
    <s v=""/>
    <s v=""/>
    <s v="Labor"/>
    <s v=""/>
    <s v=""/>
    <s v=""/>
    <s v="8000032600"/>
    <s v="ACKERLY HALE -29- BATTERY"/>
    <s v="Upstream"/>
    <s v="1046"/>
    <s v=""/>
    <s v=""/>
    <s v=""/>
    <s v=""/>
    <s v=""/>
    <s v=""/>
    <s v=""/>
    <n v="6.5"/>
    <s v="HR"/>
    <n v="125"/>
    <s v=""/>
    <n v="812.5"/>
    <s v="Pricebook"/>
    <s v="708067"/>
    <d v="2025-10-10T12:13:38"/>
    <s v=""/>
    <s v=""/>
    <s v=""/>
    <s v=""/>
  </r>
  <r>
    <s v="211495"/>
    <s v="Basin Trucking LLC"/>
    <x v="6"/>
    <s v="Francisco Chavez III"/>
    <s v="Richard Garcia"/>
    <s v="Drove to location we make part list to be ready for next day."/>
    <s v="5051049"/>
    <s v="Upstream"/>
    <s v="167581"/>
    <s v="USD"/>
    <n v="32.5"/>
    <s v="Direct Entry"/>
    <s v="1"/>
    <s v="3 Man Crew"/>
    <s v="3 Man Crew"/>
    <s v="Roustabout Crew"/>
    <d v="2025-10-10T11:12:38"/>
    <d v="2025-10-09T11:15:00"/>
    <d v="2025-10-09T11:30:00"/>
    <s v=""/>
    <s v="DAVENPORT B 1"/>
    <s v=""/>
    <s v=""/>
    <s v=""/>
    <s v=""/>
    <s v=""/>
    <s v=""/>
    <s v=""/>
    <s v=""/>
    <s v=""/>
    <s v=""/>
    <s v=""/>
    <s v=""/>
    <s v=""/>
    <s v=""/>
    <s v=""/>
    <s v=""/>
    <s v=""/>
    <s v=""/>
    <s v=""/>
    <s v=""/>
    <s v=""/>
    <s v=""/>
    <s v="Labor"/>
    <s v=""/>
    <s v=""/>
    <s v=""/>
    <s v="8300179000"/>
    <s v="DAVENPORT B 1 BATTERY"/>
    <s v="Upstream"/>
    <s v="1046"/>
    <s v=""/>
    <s v=""/>
    <s v=""/>
    <s v=""/>
    <s v=""/>
    <s v=""/>
    <s v=""/>
    <n v="0.25"/>
    <s v="HR"/>
    <n v="130"/>
    <s v=""/>
    <n v="32.5"/>
    <s v="--multiple--"/>
    <s v="703517"/>
    <d v="2025-10-13T12:48:12"/>
    <s v=""/>
    <s v=""/>
    <s v="Coding/Location Issue"/>
    <s v=""/>
  </r>
  <r>
    <s v="44758"/>
    <s v="CentriPump, Inc."/>
    <x v="7"/>
    <s v="Richard Garcia"/>
    <s v="Mason Rutledge"/>
    <s v="REPLACE ELEMENT ON FLARE SCRUBBER PUMP"/>
    <s v="5051006"/>
    <s v="Upstream"/>
    <s v="159487"/>
    <s v="USD"/>
    <n v="653"/>
    <s v="Direct Entry"/>
    <s v="1"/>
    <s v="Misc Material"/>
    <s v="ELEMENT"/>
    <s v=""/>
    <d v="2025-10-13T10:51:12"/>
    <d v="2025-09-16T00:00:00"/>
    <d v="2025-09-16T00:00:00"/>
    <s v=""/>
    <s v=""/>
    <s v=""/>
    <s v=""/>
    <s v=""/>
    <s v=""/>
    <s v=""/>
    <s v=""/>
    <s v=""/>
    <s v=""/>
    <s v=""/>
    <s v=""/>
    <s v=""/>
    <s v=""/>
    <s v=""/>
    <s v=""/>
    <s v=""/>
    <s v=""/>
    <s v=""/>
    <s v=""/>
    <s v=""/>
    <s v=""/>
    <s v=""/>
    <s v=""/>
    <s v="Material"/>
    <s v=""/>
    <s v=""/>
    <s v=""/>
    <s v="8300138900"/>
    <s v="PIER 22-23 UNIT 1-UNIT 2 BATTERY"/>
    <s v="Upstream"/>
    <s v="1046"/>
    <s v=""/>
    <s v=""/>
    <s v=""/>
    <s v=""/>
    <s v=""/>
    <s v=""/>
    <s v=""/>
    <n v="1"/>
    <s v="EA"/>
    <n v="185"/>
    <s v=""/>
    <n v="185"/>
    <s v="E-Maintenance"/>
    <s v="705462"/>
    <d v="2025-10-13T11:48:31"/>
    <s v=""/>
    <s v=""/>
    <s v=""/>
    <s v=""/>
  </r>
  <r>
    <s v="2509303459"/>
    <s v="ASAP Rentals, LLC"/>
    <x v="0"/>
    <s v="P.A. Gonzales"/>
    <s v="Jack Lau"/>
    <s v="TRASH TRAILER COMBO SERVICE"/>
    <s v="5051037"/>
    <s v="Upstream"/>
    <s v=""/>
    <s v="USD"/>
    <n v="870"/>
    <s v="Direct Entry"/>
    <s v="1"/>
    <s v="Disposal (PJ Waste)"/>
    <s v="Disposal (PJ Waste)"/>
    <s v=""/>
    <d v="2025-10-08T13:15:33"/>
    <d v="2025-09-16T00:00:00"/>
    <d v="2025-09-16T00:00:00"/>
    <s v=""/>
    <s v="MERCHANT ESTATE 18-12 E 4WB"/>
    <s v=""/>
    <s v=""/>
    <s v=""/>
    <s v=""/>
    <s v=""/>
    <s v=""/>
    <s v=""/>
    <s v=""/>
    <s v=""/>
    <s v=""/>
    <s v=""/>
    <s v=""/>
    <s v=""/>
    <s v=""/>
    <s v=""/>
    <s v=""/>
    <s v=""/>
    <s v=""/>
    <s v=""/>
    <s v=""/>
    <s v=""/>
    <s v=""/>
    <s v="Labor"/>
    <s v=""/>
    <s v=""/>
    <s v=""/>
    <s v="8300087000"/>
    <s v="CAUBLE 21-30 BATTERY"/>
    <s v="Upstream"/>
    <s v="1046"/>
    <s v=""/>
    <s v=""/>
    <s v=""/>
    <s v=""/>
    <s v=""/>
    <s v=""/>
    <s v=""/>
    <n v="2"/>
    <s v="EA"/>
    <n v="20"/>
    <s v=""/>
    <n v="40"/>
    <s v="--multiple--"/>
    <s v="710590"/>
    <d v="2025-10-08T13:19:20"/>
    <s v=""/>
    <s v=""/>
    <s v=""/>
    <s v=""/>
  </r>
  <r>
    <s v="38565"/>
    <s v="Montco Oilfield Solutions LLC"/>
    <x v="11"/>
    <s v="Patricio Cervantes"/>
    <s v="P.A. Gonzales"/>
    <s v="GENERATOR RENTAL"/>
    <s v="5051025"/>
    <s v="Upstream"/>
    <s v=""/>
    <s v="USD"/>
    <n v="4779"/>
    <s v="Direct Entry"/>
    <s v="1"/>
    <s v="560"/>
    <s v="50 - 60KW DIESEL LAND RENTAL GENERATOR"/>
    <s v=""/>
    <d v="2025-10-03T08:51:20"/>
    <d v="2025-09-01T00:00:00"/>
    <d v="2025-09-30T00:00:00"/>
    <s v=""/>
    <s v=""/>
    <s v=""/>
    <s v=""/>
    <s v=""/>
    <s v=""/>
    <s v=""/>
    <s v=""/>
    <s v=""/>
    <s v=""/>
    <s v=""/>
    <s v=""/>
    <s v=""/>
    <s v=""/>
    <s v=""/>
    <s v=""/>
    <s v=""/>
    <s v=""/>
    <s v=""/>
    <s v=""/>
    <s v=""/>
    <s v=""/>
    <s v=""/>
    <s v=""/>
    <s v="Equipment"/>
    <s v=""/>
    <s v=""/>
    <s v="UNIT 1008"/>
    <s v="8300143100"/>
    <s v="RICKER 38-45 BATTERY"/>
    <s v="Upstream"/>
    <s v="1046"/>
    <s v=""/>
    <s v=""/>
    <s v=""/>
    <s v=""/>
    <s v=""/>
    <s v=""/>
    <s v=""/>
    <n v="30"/>
    <s v="DAYS"/>
    <n v="80"/>
    <s v=""/>
    <n v="2400"/>
    <s v="E-Maintenance"/>
    <s v="704524"/>
    <d v="2025-10-03T08:52:54"/>
    <s v=""/>
    <s v=""/>
    <s v=""/>
    <s v=""/>
  </r>
  <r>
    <s v="64660"/>
    <s v="Valdez Oil Services, L.L.C."/>
    <x v="9"/>
    <s v="Patricio Cervantes"/>
    <s v="P.A. Gonzales"/>
    <s v="Hauled 120 bbl. of PW from RAPE 1-5 to Pinnergy SWD,"/>
    <s v="5051054"/>
    <s v="Upstream"/>
    <s v=""/>
    <s v="USD"/>
    <n v="354"/>
    <s v="Direct Entry"/>
    <s v="1"/>
    <s v="Vacuum Truck"/>
    <s v="Vacuum Truck"/>
    <s v=""/>
    <d v="2025-10-02T11:52:32"/>
    <d v="2025-09-22T08:00:00"/>
    <d v="2025-09-22T11:00:00"/>
    <d v="1899-12-30T03:00:00"/>
    <s v="RAPE 1-5"/>
    <s v=""/>
    <s v=""/>
    <s v="PRODUCED WATER"/>
    <s v=""/>
    <s v=""/>
    <s v=""/>
    <s v=""/>
    <n v="3"/>
    <n v="8"/>
    <s v=""/>
    <n v="6"/>
    <s v=""/>
    <s v=""/>
    <s v=""/>
    <s v=""/>
    <s v=""/>
    <s v=""/>
    <s v=""/>
    <s v=""/>
    <s v=""/>
    <n v="120"/>
    <s v="bbl"/>
    <s v=""/>
    <s v=""/>
    <s v=""/>
    <s v=""/>
    <s v="8300193300"/>
    <s v="RAPE 1 5 BATTERY"/>
    <s v="Upstream"/>
    <s v="1046"/>
    <s v=""/>
    <s v=""/>
    <s v=""/>
    <s v=""/>
    <s v=""/>
    <s v=""/>
    <s v="Hours Worked"/>
    <n v="3"/>
    <s v="hour"/>
    <n v="88"/>
    <s v=""/>
    <n v="264"/>
    <s v="--multiple--"/>
    <s v="712959"/>
    <d v="2025-10-02T11:55:00"/>
    <s v=""/>
    <s v=""/>
    <s v=""/>
    <s v=""/>
  </r>
  <r>
    <s v="64662"/>
    <s v="Valdez Oil Services, L.L.C."/>
    <x v="9"/>
    <s v="Patricio Cervantes"/>
    <s v="P.A. Gonzales"/>
    <s v="Hauled 120 bbl. of PW from Hunt D to Pinnergy SWD."/>
    <s v="5051054"/>
    <s v="Upstream"/>
    <s v=""/>
    <s v="USD"/>
    <n v="354"/>
    <s v="Direct Entry"/>
    <s v="1"/>
    <s v="Vacuum Truck"/>
    <s v="Vacuum Truck"/>
    <s v=""/>
    <d v="2025-10-02T11:48:56"/>
    <d v="2025-09-22T18:00:00"/>
    <d v="2025-09-22T21:00:00"/>
    <d v="1899-12-30T03:00:00"/>
    <s v="HUNT D"/>
    <s v=""/>
    <s v=""/>
    <s v="PRODUCED WATER"/>
    <s v=""/>
    <s v=""/>
    <s v=""/>
    <s v=""/>
    <n v="8"/>
    <n v="8"/>
    <n v="2"/>
    <n v="8"/>
    <s v=""/>
    <s v=""/>
    <s v=""/>
    <s v=""/>
    <s v=""/>
    <s v=""/>
    <s v=""/>
    <s v=""/>
    <s v=""/>
    <n v="120"/>
    <s v="bbl"/>
    <s v=""/>
    <s v=""/>
    <s v=""/>
    <s v=""/>
    <s v="8300112400"/>
    <s v="HUNT D BATTERY"/>
    <s v="Upstream"/>
    <s v="1046"/>
    <s v=""/>
    <s v=""/>
    <s v=""/>
    <s v=""/>
    <s v=""/>
    <s v=""/>
    <s v="Hours Worked"/>
    <n v="3"/>
    <s v="hour"/>
    <n v="88"/>
    <s v=""/>
    <n v="264"/>
    <s v="--multiple--"/>
    <s v="712959"/>
    <d v="2025-10-02T11:51:04"/>
    <s v=""/>
    <s v=""/>
    <s v=""/>
    <s v=""/>
  </r>
  <r>
    <s v="1518898538"/>
    <s v="ThompsonGas, LLC"/>
    <x v="5"/>
    <s v="Patricio Cervantes"/>
    <s v="P.A. Gonzales"/>
    <s v="PROPANE"/>
    <s v="5051032"/>
    <s v="Upstream"/>
    <s v=""/>
    <s v="USD"/>
    <n v="437.06"/>
    <s v="Direct Entry"/>
    <s v="1"/>
    <s v="16"/>
    <s v="LIQUID PROPANE"/>
    <s v=""/>
    <d v="2025-10-01T13:17:10"/>
    <d v="2025-09-23T00:00:00"/>
    <d v="2025-09-23T00:00:00"/>
    <d v="1899-12-30T00:00:00"/>
    <s v="CHRIESMAN 2"/>
    <s v=""/>
    <s v=""/>
    <s v="PROPANE"/>
    <s v=""/>
    <s v=""/>
    <s v=""/>
    <s v=""/>
    <s v=""/>
    <s v=""/>
    <s v=""/>
    <s v=""/>
    <s v=""/>
    <s v=""/>
    <s v=""/>
    <s v=""/>
    <s v=""/>
    <s v=""/>
    <s v=""/>
    <s v=""/>
    <s v=""/>
    <n v="187.5"/>
    <s v="US gal"/>
    <s v=""/>
    <s v=""/>
    <s v=""/>
    <s v=""/>
    <s v="1001457200"/>
    <s v="CHRIESMAN 2"/>
    <s v="Upstream"/>
    <s v="1046"/>
    <s v=""/>
    <s v=""/>
    <s v=""/>
    <s v=""/>
    <s v=""/>
    <s v=""/>
    <s v="Other"/>
    <n v="187.5"/>
    <s v="GAL"/>
    <n v="2.33"/>
    <s v=""/>
    <n v="437.06"/>
    <s v=""/>
    <s v="713391"/>
    <d v="2025-10-01T13:18:13"/>
    <s v=""/>
    <s v=""/>
    <s v=""/>
    <s v=""/>
  </r>
  <r>
    <s v="1518898573"/>
    <s v="ThompsonGas, LLC"/>
    <x v="5"/>
    <s v="Patricio Cervantes"/>
    <s v="P.A. Gonzales"/>
    <s v="PROPANE"/>
    <s v="5051032"/>
    <s v="Upstream"/>
    <s v=""/>
    <s v="USD"/>
    <n v="494.87"/>
    <s v="Direct Entry"/>
    <s v="1"/>
    <s v="16"/>
    <s v="LIQUID PROPANE"/>
    <s v=""/>
    <d v="2025-10-01T13:26:11"/>
    <d v="2025-09-23T00:00:00"/>
    <d v="2025-09-23T00:00:00"/>
    <d v="1899-12-30T00:00:00"/>
    <s v="COPE 83 1"/>
    <s v=""/>
    <s v=""/>
    <s v="PROPANE"/>
    <s v=""/>
    <s v=""/>
    <s v=""/>
    <s v=""/>
    <s v=""/>
    <s v=""/>
    <s v=""/>
    <s v=""/>
    <s v=""/>
    <s v=""/>
    <s v=""/>
    <s v=""/>
    <s v=""/>
    <s v=""/>
    <s v=""/>
    <s v=""/>
    <s v=""/>
    <n v="212.3"/>
    <s v="US gal"/>
    <s v=""/>
    <s v=""/>
    <s v=""/>
    <s v=""/>
    <s v="1001231400"/>
    <s v="COPE 83 1"/>
    <s v="Upstream"/>
    <s v="1046"/>
    <s v=""/>
    <s v=""/>
    <s v=""/>
    <s v=""/>
    <s v=""/>
    <s v=""/>
    <s v="Other"/>
    <n v="212.3"/>
    <s v="GAL"/>
    <n v="2.33"/>
    <s v=""/>
    <n v="494.87"/>
    <s v=""/>
    <s v="713391"/>
    <d v="2025-10-01T13:27:07"/>
    <s v=""/>
    <s v=""/>
    <s v=""/>
    <s v=""/>
  </r>
  <r>
    <s v="64853"/>
    <s v="Valdez Oil Services, L.L.C."/>
    <x v="5"/>
    <s v="Patricio Cervantes"/>
    <s v="P.A. Gonzales"/>
    <s v="Hauled 120 bbl. of PW from COPE 83-84 to Pinnergy SWD."/>
    <s v="5051054"/>
    <s v="Upstream"/>
    <s v=""/>
    <s v="USD"/>
    <n v="442"/>
    <s v="Direct Entry"/>
    <s v="1"/>
    <s v="Vacuum Truck"/>
    <s v="Vacuum Truck"/>
    <s v=""/>
    <d v="2025-10-01T12:22:01"/>
    <d v="2025-09-24T17:45:00"/>
    <d v="2025-09-24T21:45:00"/>
    <d v="1899-12-30T04:00:00"/>
    <s v="COPE 83-84"/>
    <s v=""/>
    <s v=""/>
    <s v="PRODUCED WATER"/>
    <s v=""/>
    <s v=""/>
    <s v=""/>
    <s v=""/>
    <n v="5"/>
    <n v="7"/>
    <s v=""/>
    <n v="7"/>
    <s v=""/>
    <s v=""/>
    <s v=""/>
    <s v=""/>
    <s v=""/>
    <s v=""/>
    <s v=""/>
    <s v=""/>
    <s v=""/>
    <n v="120"/>
    <s v="bbl"/>
    <s v=""/>
    <s v=""/>
    <s v=""/>
    <s v=""/>
    <s v="8300089600"/>
    <s v="COPE 83-84 BATTERY"/>
    <s v="Upstream"/>
    <s v="1046"/>
    <s v=""/>
    <s v=""/>
    <s v=""/>
    <s v=""/>
    <s v=""/>
    <s v=""/>
    <s v="Hours Worked"/>
    <n v="4"/>
    <s v="hour"/>
    <n v="88"/>
    <s v=""/>
    <n v="352"/>
    <s v="--multiple--"/>
    <s v="712959"/>
    <d v="2025-10-01T12:25:53"/>
    <s v=""/>
    <s v=""/>
    <s v=""/>
    <s v=""/>
  </r>
  <r>
    <s v="65514"/>
    <s v="Valdez Oil Services, L.L.C."/>
    <x v="5"/>
    <s v="Patricio Cervantes"/>
    <s v="P.A. Gonzales"/>
    <s v="Hauled 120 bbl. of PW from CLARK 15 to Stout 1D."/>
    <s v="5051054"/>
    <s v="Upstream"/>
    <s v=""/>
    <s v="USD"/>
    <n v="264"/>
    <s v="Direct Entry"/>
    <s v="1"/>
    <s v="Vacuum Truck"/>
    <s v="Vacuum Truck"/>
    <s v=""/>
    <d v="2025-10-01T16:02:13"/>
    <d v="2025-09-25T15:00:00"/>
    <d v="2025-09-25T18:00:00"/>
    <d v="1899-12-30T03:00:00"/>
    <s v="CLARK 15"/>
    <s v=""/>
    <s v=""/>
    <s v="PRODUCED WATER"/>
    <s v=""/>
    <s v=""/>
    <s v=""/>
    <s v=""/>
    <n v="9"/>
    <s v=""/>
    <n v="5"/>
    <n v="9"/>
    <s v=""/>
    <s v=""/>
    <s v=""/>
    <s v=""/>
    <s v=""/>
    <s v=""/>
    <s v=""/>
    <s v=""/>
    <s v=""/>
    <n v="120"/>
    <s v="bbl"/>
    <s v=""/>
    <s v=""/>
    <s v=""/>
    <s v=""/>
    <s v="8300088700"/>
    <s v="CLARK 15 BATTERY"/>
    <s v="Upstream"/>
    <s v="1046"/>
    <s v=""/>
    <s v=""/>
    <s v=""/>
    <s v=""/>
    <s v=""/>
    <s v=""/>
    <s v="Hours Worked"/>
    <n v="3"/>
    <s v="hour"/>
    <n v="88"/>
    <s v=""/>
    <n v="264"/>
    <s v="--multiple--"/>
    <s v="712959"/>
    <d v="2025-10-01T16:04:28"/>
    <s v=""/>
    <s v=""/>
    <s v=""/>
    <s v=""/>
  </r>
  <r>
    <s v="64141"/>
    <s v="Valdez Oil Services, L.L.C."/>
    <x v="5"/>
    <s v="Patricio Cervantes"/>
    <s v="P.A. Gonzales"/>
    <s v="Hauled 120 bbl. of PW from DOUGLAS CARA 10A 2 to Stout 1D."/>
    <s v="5051054"/>
    <s v="Upstream"/>
    <s v=""/>
    <s v="USD"/>
    <n v="220"/>
    <s v="Direct Entry"/>
    <s v="1"/>
    <s v="Vacuum Truck"/>
    <s v="Vacuum Truck"/>
    <s v=""/>
    <d v="2025-10-01T15:37:51"/>
    <d v="2025-09-25T18:30:00"/>
    <d v="2025-09-25T21:00:00"/>
    <d v="1899-12-30T02:30:00"/>
    <s v="DOUGLAS CARA 10A 2"/>
    <s v=""/>
    <s v=""/>
    <s v="PRODUCED WATER"/>
    <s v=""/>
    <s v=""/>
    <s v=""/>
    <s v=""/>
    <n v="6"/>
    <n v="3"/>
    <n v="2"/>
    <n v="4"/>
    <s v=""/>
    <s v=""/>
    <s v=""/>
    <s v=""/>
    <s v=""/>
    <s v=""/>
    <s v=""/>
    <s v=""/>
    <s v=""/>
    <n v="120"/>
    <s v="bbl"/>
    <s v=""/>
    <s v=""/>
    <s v=""/>
    <s v=""/>
    <s v="8300095200"/>
    <s v="DOUGLAS CARA - 10A 2 BATTERY"/>
    <s v="Upstream"/>
    <s v="1046"/>
    <s v=""/>
    <s v=""/>
    <s v=""/>
    <s v=""/>
    <s v=""/>
    <s v=""/>
    <s v="Hours Worked"/>
    <n v="2.5"/>
    <s v="hour"/>
    <n v="88"/>
    <s v=""/>
    <n v="220"/>
    <s v="--multiple--"/>
    <s v="712959"/>
    <d v="2025-10-01T15:41:45"/>
    <s v=""/>
    <s v=""/>
    <s v=""/>
    <s v=""/>
  </r>
  <r>
    <s v="306518"/>
    <s v="JTA SERVICE LLC"/>
    <x v="4"/>
    <s v="Tracy Harris"/>
    <s v="Richard Garcia"/>
    <s v="Drove to location and preformed maintenance on thief hatches. Cleaned up work area."/>
    <s v="5051064"/>
    <s v="Upstream"/>
    <s v="164038"/>
    <s v="USD"/>
    <n v="375"/>
    <s v="Direct Entry"/>
    <s v="1"/>
    <s v="Thief hatch 1-6"/>
    <s v="Regular maintenance on 1-6 thief hatches"/>
    <s v=""/>
    <d v="2025-10-09T11:49:37"/>
    <d v="2025-10-08T15:15:00"/>
    <d v="2025-10-08T16:00:00"/>
    <s v=""/>
    <s v=""/>
    <s v=""/>
    <s v=""/>
    <s v=""/>
    <s v=""/>
    <s v=""/>
    <s v=""/>
    <s v=""/>
    <s v=""/>
    <s v=""/>
    <s v=""/>
    <s v=""/>
    <s v=""/>
    <s v=""/>
    <s v=""/>
    <s v=""/>
    <s v=""/>
    <s v=""/>
    <s v=""/>
    <s v=""/>
    <s v=""/>
    <s v=""/>
    <s v=""/>
    <s v="Labor"/>
    <s v=""/>
    <s v=""/>
    <s v=""/>
    <s v="8300173600"/>
    <s v="AMOCO BLANCHE A 2-28 BATTERY"/>
    <s v="Upstream"/>
    <s v="1046"/>
    <s v=""/>
    <s v=""/>
    <s v=""/>
    <s v=""/>
    <s v=""/>
    <s v=""/>
    <s v=""/>
    <n v="1"/>
    <s v="EA"/>
    <n v="375"/>
    <s v=""/>
    <n v="375"/>
    <s v="Pricebook"/>
    <s v="708067"/>
    <d v="2025-10-09T11:54:35"/>
    <s v=""/>
    <s v=""/>
    <s v=""/>
    <s v=""/>
  </r>
  <r>
    <s v="306520"/>
    <s v="JTA SERVICE LLC"/>
    <x v="4"/>
    <s v="Tracy Harris"/>
    <s v="Richard Garcia"/>
    <s v="Drove to location and preformed maintenance on thief hatches. Cleaned up work area."/>
    <s v="5051064"/>
    <s v="Upstream"/>
    <s v="164300"/>
    <s v="USD"/>
    <n v="700"/>
    <s v="Direct Entry"/>
    <s v="1"/>
    <s v="Thief hatch 7-12"/>
    <s v="Regular maintenance on 7-12 thief hatches"/>
    <s v=""/>
    <d v="2025-10-09T11:45:49"/>
    <d v="2025-10-08T16:00:00"/>
    <d v="2025-10-08T16:30:00"/>
    <s v=""/>
    <s v=""/>
    <s v=""/>
    <s v=""/>
    <s v=""/>
    <s v=""/>
    <s v=""/>
    <s v=""/>
    <s v=""/>
    <s v=""/>
    <s v=""/>
    <s v=""/>
    <s v=""/>
    <s v=""/>
    <s v=""/>
    <s v=""/>
    <s v=""/>
    <s v=""/>
    <s v=""/>
    <s v=""/>
    <s v=""/>
    <s v=""/>
    <s v=""/>
    <s v=""/>
    <s v="Labor"/>
    <s v=""/>
    <s v=""/>
    <s v=""/>
    <s v="8300173700"/>
    <s v="AMOCO-BLANCHE 2-28 UNIT 2 BATTERY"/>
    <s v="Upstream"/>
    <s v="1046"/>
    <s v=""/>
    <s v=""/>
    <s v=""/>
    <s v=""/>
    <s v=""/>
    <s v=""/>
    <s v=""/>
    <n v="1"/>
    <s v="EA"/>
    <n v="700"/>
    <s v=""/>
    <n v="700"/>
    <s v="Pricebook"/>
    <s v="708067"/>
    <d v="2025-10-09T11:47:43"/>
    <s v=""/>
    <s v=""/>
    <s v=""/>
    <s v=""/>
  </r>
  <r>
    <s v="65607"/>
    <s v="Valdez Oil Services, L.L.C."/>
    <x v="9"/>
    <s v="Patricio Cervantes"/>
    <s v="P.A. Gonzales"/>
    <s v="Hauled 120 bbl. of PW from HUGHES 14A to Pinnergy SWD."/>
    <s v="5051054"/>
    <s v="Upstream"/>
    <s v=""/>
    <s v="USD"/>
    <n v="310"/>
    <s v="Direct Entry"/>
    <s v="1"/>
    <s v="Vacuum Truck"/>
    <s v="Vacuum Truck"/>
    <s v=""/>
    <d v="2025-10-10T12:07:43"/>
    <d v="2025-10-07T10:00:00"/>
    <d v="2025-10-07T12:30:00"/>
    <d v="1899-12-30T02:30:00"/>
    <s v="HUGHES 14B"/>
    <s v=""/>
    <s v=""/>
    <s v="PRODUCED WATER"/>
    <s v=""/>
    <s v=""/>
    <s v=""/>
    <s v=""/>
    <n v="5"/>
    <n v="9"/>
    <n v="2"/>
    <n v="4"/>
    <s v=""/>
    <s v=""/>
    <s v=""/>
    <s v=""/>
    <s v=""/>
    <s v=""/>
    <s v=""/>
    <s v=""/>
    <s v=""/>
    <n v="120"/>
    <s v="bbl"/>
    <s v=""/>
    <s v=""/>
    <s v=""/>
    <s v=""/>
    <s v="8300111100"/>
    <s v="HUGHES 14B 1 BATTERY"/>
    <s v="Upstream"/>
    <s v="1046"/>
    <s v=""/>
    <s v=""/>
    <s v=""/>
    <s v=""/>
    <s v=""/>
    <s v=""/>
    <s v="Hours Worked"/>
    <n v="2.5"/>
    <s v="hour"/>
    <n v="88"/>
    <s v=""/>
    <n v="220"/>
    <s v="--multiple--"/>
    <s v="712959"/>
    <d v="2025-10-10T12:11:32"/>
    <s v=""/>
    <s v=""/>
    <s v=""/>
    <s v=""/>
  </r>
  <r>
    <s v="65704"/>
    <s v="Valdez Oil Services, L.L.C."/>
    <x v="9"/>
    <s v="Patricio Cervantes"/>
    <s v="P.A. Gonzales"/>
    <s v="Hauled 120 bbl. of PW from PHILLIPS ZULETTE A to Stout 1D."/>
    <s v="5051054"/>
    <s v="Upstream"/>
    <s v=""/>
    <s v="USD"/>
    <n v="220"/>
    <s v="Direct Entry"/>
    <s v="1"/>
    <s v="Vacuum Truck"/>
    <s v="Vacuum Truck"/>
    <s v=""/>
    <d v="2025-10-10T12:39:15"/>
    <d v="2025-10-08T08:30:00"/>
    <d v="2025-10-08T11:00:00"/>
    <d v="1899-12-30T02:30:00"/>
    <s v="PHILLIPS ZULETTE A"/>
    <s v=""/>
    <s v=""/>
    <s v="PRODUCED WATER"/>
    <s v=""/>
    <s v=""/>
    <s v=""/>
    <s v=""/>
    <n v="7"/>
    <s v=""/>
    <n v="1"/>
    <n v="5"/>
    <s v=""/>
    <s v=""/>
    <s v=""/>
    <s v=""/>
    <s v=""/>
    <s v=""/>
    <s v=""/>
    <s v=""/>
    <s v=""/>
    <n v="120"/>
    <s v="bbl"/>
    <s v=""/>
    <s v=""/>
    <s v=""/>
    <s v=""/>
    <s v="8300138600"/>
    <s v="PHILLIPS ZULETTE A BATTERY"/>
    <s v="Upstream"/>
    <s v="1046"/>
    <s v=""/>
    <s v=""/>
    <s v=""/>
    <s v=""/>
    <s v=""/>
    <s v=""/>
    <s v="Hours Worked"/>
    <n v="2.5"/>
    <s v="hour"/>
    <n v="88"/>
    <s v=""/>
    <n v="220"/>
    <s v="--multiple--"/>
    <s v="712959"/>
    <d v="2025-10-10T12:41:12"/>
    <s v=""/>
    <s v=""/>
    <s v=""/>
    <s v=""/>
  </r>
  <r>
    <s v="0062192"/>
    <s v="LCM Industries Inc."/>
    <x v="5"/>
    <s v="Clayton Marburger"/>
    <s v="Richard Onzures"/>
    <s v="LABOR FIELD"/>
    <s v="5051049"/>
    <s v="Upstream"/>
    <s v=""/>
    <s v="USD"/>
    <n v="1047.1500000000001"/>
    <s v="Direct Entry"/>
    <s v="1"/>
    <s v="/MILES-EF"/>
    <s v="MILES-EDDIE"/>
    <s v="Other"/>
    <d v="2025-09-30T13:39:48"/>
    <d v="2025-08-29T10:35:00"/>
    <d v="2025-08-30T03:00:00"/>
    <s v=""/>
    <s v="STONE COLD 11-2"/>
    <s v=""/>
    <s v=""/>
    <s v=""/>
    <s v=""/>
    <s v=""/>
    <s v=""/>
    <s v=""/>
    <s v=""/>
    <s v=""/>
    <s v=""/>
    <s v=""/>
    <s v=""/>
    <s v=""/>
    <s v=""/>
    <s v=""/>
    <s v=""/>
    <s v=""/>
    <s v=""/>
    <s v=""/>
    <s v=""/>
    <s v=""/>
    <s v=""/>
    <s v="Labor"/>
    <s v=""/>
    <s v=""/>
    <s v=""/>
    <s v="8300171500"/>
    <s v="STONE COLD 11-2 1 BATTERY"/>
    <s v="Upstream"/>
    <s v="1046"/>
    <s v=""/>
    <s v=""/>
    <s v=""/>
    <s v=""/>
    <s v=""/>
    <s v=""/>
    <s v=""/>
    <n v="89"/>
    <s v="MLS"/>
    <n v="1.85"/>
    <s v=""/>
    <n v="164.65"/>
    <s v="E-Maintenance"/>
    <s v="704382"/>
    <d v="2025-09-30T13:47:50"/>
    <s v=""/>
    <s v=""/>
    <s v=""/>
    <s v=""/>
  </r>
  <r>
    <s v="65705"/>
    <s v="Valdez Oil Services, L.L.C."/>
    <x v="9"/>
    <s v="Patricio Cervantes"/>
    <s v="P.A. Gonzales"/>
    <s v="Hauled 120 bbl. of PW from SAM 1-8 to Stout 1D."/>
    <s v="5051054"/>
    <s v="Upstream"/>
    <s v=""/>
    <s v="USD"/>
    <n v="264"/>
    <s v="Direct Entry"/>
    <s v="1"/>
    <s v="Vacuum Truck"/>
    <s v="Vacuum Truck"/>
    <s v=""/>
    <d v="2025-10-10T12:42:42"/>
    <d v="2025-10-08T11:00:00"/>
    <d v="2025-10-08T14:00:00"/>
    <d v="1899-12-30T03:00:00"/>
    <s v="SAM 1-8"/>
    <s v=""/>
    <s v=""/>
    <s v="PRODUCED WATER"/>
    <s v=""/>
    <s v=""/>
    <s v=""/>
    <s v=""/>
    <n v="7"/>
    <n v="5"/>
    <n v="4"/>
    <n v="5"/>
    <s v=""/>
    <s v=""/>
    <s v=""/>
    <s v=""/>
    <s v=""/>
    <s v=""/>
    <s v=""/>
    <s v=""/>
    <s v=""/>
    <n v="120"/>
    <s v="bbl"/>
    <s v=""/>
    <s v=""/>
    <s v=""/>
    <s v=""/>
    <s v="8300150400"/>
    <s v="SAM 1 1-8 BATTERY"/>
    <s v="Upstream"/>
    <s v="1046"/>
    <s v=""/>
    <s v=""/>
    <s v=""/>
    <s v=""/>
    <s v=""/>
    <s v=""/>
    <s v="Hours Worked"/>
    <n v="3"/>
    <s v="hour"/>
    <n v="88"/>
    <s v=""/>
    <n v="264"/>
    <s v="--multiple--"/>
    <s v="712959"/>
    <d v="2025-10-10T12:44:31"/>
    <s v=""/>
    <s v=""/>
    <s v=""/>
    <s v=""/>
  </r>
  <r>
    <s v="64891"/>
    <s v="Valdez Oil Services, L.L.C."/>
    <x v="9"/>
    <s v="Patricio Cervantes"/>
    <s v="P.A. Gonzales"/>
    <s v="Hauled 120 bbl. of PW from DOUGLAS CARA 10A 2 to BYRD."/>
    <s v="5051054"/>
    <s v="Upstream"/>
    <s v=""/>
    <s v="USD"/>
    <n v="398"/>
    <s v="Direct Entry"/>
    <s v="1"/>
    <s v="Vacuum Truck"/>
    <s v="Vacuum Truck"/>
    <s v=""/>
    <d v="2025-10-10T12:31:41"/>
    <d v="2025-10-08T17:00:00"/>
    <d v="2025-10-08T20:30:00"/>
    <d v="1899-12-30T03:30:00"/>
    <s v="DOUGLAS CARA 10A 2"/>
    <s v=""/>
    <s v=""/>
    <s v="PRODUCED WATER"/>
    <s v=""/>
    <s v=""/>
    <s v=""/>
    <s v=""/>
    <n v="5"/>
    <n v="10"/>
    <n v="2"/>
    <n v="3"/>
    <s v=""/>
    <s v=""/>
    <s v=""/>
    <s v=""/>
    <s v=""/>
    <s v=""/>
    <s v=""/>
    <s v=""/>
    <s v=""/>
    <n v="120"/>
    <s v="bbl"/>
    <s v=""/>
    <s v=""/>
    <s v=""/>
    <s v=""/>
    <s v="8300095200"/>
    <s v="DOUGLAS CARA - 10A 2 BATTERY"/>
    <s v="Upstream"/>
    <s v="1046"/>
    <s v=""/>
    <s v=""/>
    <s v=""/>
    <s v=""/>
    <s v=""/>
    <s v=""/>
    <s v="Hours Worked"/>
    <n v="3.5"/>
    <s v="hour"/>
    <n v="88"/>
    <s v=""/>
    <n v="308"/>
    <s v="--multiple--"/>
    <s v="712959"/>
    <d v="2025-10-10T12:34:37"/>
    <s v=""/>
    <s v=""/>
    <s v=""/>
    <s v=""/>
  </r>
  <r>
    <s v="64727"/>
    <s v="Valdez Oil Services, L.L.C."/>
    <x v="9"/>
    <s v="Patricio Cervantes"/>
    <s v="P.A. Gonzales"/>
    <s v="Hauled 120 bbl. of PW from HUNT D to BYRD."/>
    <s v="5051054"/>
    <s v="Upstream"/>
    <s v=""/>
    <s v="USD"/>
    <n v="398"/>
    <s v="Direct Entry"/>
    <s v="1"/>
    <s v="Vacuum Truck"/>
    <s v="Vacuum Truck"/>
    <s v=""/>
    <d v="2025-10-10T11:59:10"/>
    <d v="2025-10-08T17:15:00"/>
    <d v="2025-10-08T20:45:00"/>
    <d v="1899-12-30T03:30:00"/>
    <s v="HUNT D"/>
    <s v=""/>
    <s v=""/>
    <s v="PRODUCED WATER"/>
    <s v=""/>
    <s v=""/>
    <s v=""/>
    <s v=""/>
    <n v="7"/>
    <n v="4"/>
    <n v="1"/>
    <n v="5"/>
    <s v=""/>
    <s v=""/>
    <s v=""/>
    <s v=""/>
    <s v=""/>
    <s v=""/>
    <s v=""/>
    <s v=""/>
    <s v=""/>
    <n v="120"/>
    <s v="bbl"/>
    <s v=""/>
    <s v=""/>
    <s v=""/>
    <s v=""/>
    <s v="8300112400"/>
    <s v="HUNT D BATTERY"/>
    <s v="Upstream"/>
    <s v="1046"/>
    <s v=""/>
    <s v=""/>
    <s v=""/>
    <s v=""/>
    <s v=""/>
    <s v=""/>
    <s v="Hours Worked"/>
    <n v="3.5"/>
    <s v="hour"/>
    <n v="88"/>
    <s v=""/>
    <n v="308"/>
    <s v="--multiple--"/>
    <s v="712959"/>
    <d v="2025-10-10T12:01:59"/>
    <s v=""/>
    <s v=""/>
    <s v=""/>
    <s v=""/>
  </r>
  <r>
    <s v="65706"/>
    <s v="Valdez Oil Services, L.L.C."/>
    <x v="9"/>
    <s v="Patricio Cervantes"/>
    <s v="P.A. Gonzales"/>
    <s v="Hauled 120 bbl. of PW from SUGG F-G to PINNERGY SWD."/>
    <s v="5051054"/>
    <s v="Upstream"/>
    <s v=""/>
    <s v="USD"/>
    <n v="354"/>
    <s v="Direct Entry"/>
    <s v="1"/>
    <s v="Vacuum Truck"/>
    <s v="Vacuum Truck"/>
    <s v=""/>
    <d v="2025-10-10T12:45:25"/>
    <d v="2025-10-08T20:00:00"/>
    <d v="2025-10-08T23:00:00"/>
    <d v="1899-12-30T03:00:00"/>
    <s v="SUGG F-G"/>
    <s v=""/>
    <s v=""/>
    <s v="PRODUCED WATER"/>
    <s v=""/>
    <s v=""/>
    <s v=""/>
    <s v=""/>
    <n v="4"/>
    <n v="6"/>
    <n v="1"/>
    <n v="2"/>
    <s v=""/>
    <s v=""/>
    <s v=""/>
    <s v=""/>
    <s v=""/>
    <s v=""/>
    <s v=""/>
    <s v=""/>
    <s v=""/>
    <n v="120"/>
    <s v="bbl"/>
    <s v=""/>
    <s v=""/>
    <s v=""/>
    <s v=""/>
    <s v="8300157400"/>
    <s v="SUGG F-G BATTERY"/>
    <s v="Upstream"/>
    <s v="1046"/>
    <s v=""/>
    <s v=""/>
    <s v=""/>
    <s v=""/>
    <s v=""/>
    <s v=""/>
    <s v="Hours Worked"/>
    <n v="3"/>
    <s v="hour"/>
    <n v="88"/>
    <s v=""/>
    <n v="264"/>
    <s v="--multiple--"/>
    <s v="712959"/>
    <d v="2025-10-10T12:47:52"/>
    <s v=""/>
    <s v=""/>
    <s v=""/>
    <s v=""/>
  </r>
  <r>
    <s v="18481"/>
    <s v="Bustamante Frontier Services LLC"/>
    <x v="3"/>
    <s v="Perry Jamison"/>
    <s v="Bud Wilson"/>
    <s v="HOT OIL TRUCK"/>
    <s v="5051057"/>
    <s v="Upstream"/>
    <s v=""/>
    <s v="USD"/>
    <n v="440"/>
    <s v="Direct Entry"/>
    <s v="1"/>
    <s v="BFS002"/>
    <s v="HOT OIL TRUCK"/>
    <s v=""/>
    <d v="2025-10-09T09:34:29"/>
    <d v="2025-10-07T10:30:00"/>
    <d v="2025-10-07T14:30:00"/>
    <s v=""/>
    <s v=""/>
    <s v=""/>
    <s v=""/>
    <s v=""/>
    <s v=""/>
    <s v=""/>
    <s v=""/>
    <s v=""/>
    <s v=""/>
    <s v=""/>
    <s v=""/>
    <s v=""/>
    <s v=""/>
    <s v=""/>
    <s v=""/>
    <s v=""/>
    <s v=""/>
    <s v=""/>
    <s v=""/>
    <s v=""/>
    <s v=""/>
    <s v=""/>
    <s v=""/>
    <s v="Labor"/>
    <s v=""/>
    <s v=""/>
    <s v=""/>
    <s v="8000112000"/>
    <s v="INTEGRITY BATTERY"/>
    <s v="Upstream"/>
    <s v="1046"/>
    <s v=""/>
    <s v=""/>
    <s v=""/>
    <s v=""/>
    <s v=""/>
    <s v=""/>
    <s v=""/>
    <n v="4"/>
    <s v="HR"/>
    <n v="110"/>
    <s v=""/>
    <n v="440"/>
    <s v="--multiple--"/>
    <s v="706922"/>
    <d v="2025-10-09T09:35:21"/>
    <s v=""/>
    <s v=""/>
    <s v=""/>
    <s v=""/>
  </r>
  <r>
    <s v="SC00164"/>
    <s v="Onit Energy Solutions"/>
    <x v="3"/>
    <s v="Richard Garcia"/>
    <s v="Mason Rutledge"/>
    <s v="Flare Repair"/>
    <s v="5051006"/>
    <s v="Upstream"/>
    <s v="171393"/>
    <s v="USD"/>
    <n v="836.48"/>
    <s v="Direct Entry"/>
    <s v="1"/>
    <s v="OES-TECH-FCB"/>
    <s v="TECHNICIAN FLARE/COMBUSTOR/BMS"/>
    <s v=""/>
    <d v="2025-10-13T07:47:32"/>
    <d v="2025-10-10T15:00:00"/>
    <d v="2025-10-10T17:00:00"/>
    <s v=""/>
    <s v="BLACK LAGOON 2-3 UNIT 2 BATTERY"/>
    <s v=""/>
    <s v=""/>
    <s v=""/>
    <s v=""/>
    <s v=""/>
    <s v=""/>
    <s v=""/>
    <s v=""/>
    <s v=""/>
    <s v=""/>
    <s v=""/>
    <s v=""/>
    <s v=""/>
    <s v=""/>
    <s v=""/>
    <s v=""/>
    <s v=""/>
    <s v=""/>
    <s v=""/>
    <s v=""/>
    <s v=""/>
    <s v=""/>
    <s v="Labor"/>
    <s v=""/>
    <s v=""/>
    <s v=""/>
    <s v="8300080600"/>
    <s v="BLACK LAGOON 2-3 UNIT 2 BATTERY"/>
    <s v="Upstream"/>
    <s v="1046"/>
    <s v=""/>
    <s v=""/>
    <s v=""/>
    <s v=""/>
    <s v=""/>
    <s v=""/>
    <s v=""/>
    <n v="2"/>
    <s v="HR"/>
    <n v="150"/>
    <s v=""/>
    <n v="300"/>
    <s v="Pricebook"/>
    <s v="712949"/>
    <d v="2025-10-13T07:51:19"/>
    <s v=""/>
    <s v=""/>
    <s v=""/>
    <s v=""/>
  </r>
  <r>
    <s v="243522"/>
    <s v="Royal Oilfield Services LLC"/>
    <x v="0"/>
    <s v="Ramiro Montez"/>
    <s v="Perry Jamison"/>
    <s v="PJ, I was requested to vacuum fluids spilled in pumpjack. removed 1bbl of p/w."/>
    <s v="5051057"/>
    <s v="Upstream"/>
    <s v=""/>
    <s v="USD"/>
    <n v="270"/>
    <s v="Direct Entry"/>
    <s v="1"/>
    <s v="100001"/>
    <s v="Vacuum Truck"/>
    <s v="Vacuum Truck"/>
    <d v="2025-09-25T20:26:20"/>
    <d v="2025-09-15T14:30:00"/>
    <d v="2025-09-15T17:30:00"/>
    <d v="1899-12-30T03:00:00"/>
    <s v="Mabee Breedlove N 2402LS"/>
    <s v=""/>
    <s v=""/>
    <s v="produced water"/>
    <s v=""/>
    <s v=""/>
    <s v=""/>
    <s v=""/>
    <s v=""/>
    <s v=""/>
    <s v=""/>
    <s v=""/>
    <s v=""/>
    <s v=""/>
    <s v=""/>
    <s v=""/>
    <s v=""/>
    <s v=""/>
    <s v=""/>
    <s v=""/>
    <s v=""/>
    <n v="0"/>
    <s v="bbl"/>
    <s v=""/>
    <s v=""/>
    <s v=""/>
    <s v=""/>
    <s v="1000278200"/>
    <s v="MABEE BREEDLOVE N 2402LS"/>
    <s v="Upstream"/>
    <s v="1046"/>
    <s v=""/>
    <s v=""/>
    <s v=""/>
    <s v=""/>
    <s v=""/>
    <s v=""/>
    <s v="Hours Worked"/>
    <n v="3"/>
    <s v="hour"/>
    <n v="90"/>
    <s v=""/>
    <n v="270"/>
    <s v="Pricebook"/>
    <s v="703639"/>
    <d v="2025-09-29T17:38:08"/>
    <s v=""/>
    <s v=""/>
    <s v=""/>
    <s v=""/>
  </r>
  <r>
    <s v="V-55799"/>
    <s v="J&amp;R Roustabout, LLC"/>
    <x v="3"/>
    <s v="Ramiro Montez"/>
    <s v="Perry Jamison"/>
    <s v="DROVE TO LOCATION AND HAULED PW TO SWD AND UNLOADED."/>
    <s v="5051054"/>
    <s v="Upstream"/>
    <s v=""/>
    <s v="USD"/>
    <n v="302"/>
    <s v="Direct Entry"/>
    <s v="1"/>
    <s v="VACUUM TRUCK"/>
    <s v="Vacuum Truck"/>
    <s v="VACUUM"/>
    <d v="2025-10-13T08:50:03"/>
    <d v="2025-10-11T09:45:00"/>
    <d v="2025-10-11T12:15:00"/>
    <d v="1899-12-30T02:30:00"/>
    <s v="CEREZA"/>
    <s v=""/>
    <s v=""/>
    <s v="LABOR"/>
    <s v=""/>
    <s v=""/>
    <s v=""/>
    <s v=""/>
    <s v=""/>
    <s v=""/>
    <s v=""/>
    <s v=""/>
    <s v=""/>
    <s v=""/>
    <s v=""/>
    <s v=""/>
    <s v=""/>
    <s v=""/>
    <s v=""/>
    <s v=""/>
    <s v=""/>
    <n v="0"/>
    <s v="bbl"/>
    <s v=""/>
    <s v=""/>
    <s v=""/>
    <s v=""/>
    <s v="8300087800"/>
    <s v="CEREZA BATTERY"/>
    <s v="Upstream"/>
    <s v="1046"/>
    <s v=""/>
    <s v=""/>
    <s v=""/>
    <s v=""/>
    <s v=""/>
    <s v=""/>
    <s v="Other"/>
    <n v="2.5"/>
    <s v="HR"/>
    <n v="90"/>
    <s v=""/>
    <n v="225"/>
    <s v="Pricebook"/>
    <s v="712950"/>
    <d v="2025-10-13T08:52:23"/>
    <s v=""/>
    <s v=""/>
    <s v=""/>
    <s v=""/>
  </r>
  <r>
    <s v="DB-596"/>
    <s v="ELDAN Empire LLC"/>
    <x v="5"/>
    <s v="Rick Alanis"/>
    <s v="John Blakeney"/>
    <s v="Amoco-Blanche 2-28 - Arrived on location, identified the drive, checked the power, turned off the main disconnect and secured with a lock out and tag. Disconnected 480v, communication and ground."/>
    <s v="5051044"/>
    <s v="Upstream"/>
    <s v=""/>
    <s v="USD"/>
    <n v="350"/>
    <s v="Direct Entry"/>
    <s v="1"/>
    <s v="Journeyman Electrician (Unlicensed)&quot;"/>
    <s v="Journeyman Electrician (Unlicensed)&quot; - Regular Hours"/>
    <s v=""/>
    <d v="2025-08-26T14:59:39"/>
    <d v="2025-08-11T12:00:00"/>
    <d v="2025-08-11T14:00:00"/>
    <s v=""/>
    <s v=""/>
    <s v=""/>
    <s v=""/>
    <s v=""/>
    <s v=""/>
    <s v=""/>
    <s v=""/>
    <s v=""/>
    <s v=""/>
    <s v=""/>
    <s v=""/>
    <s v=""/>
    <s v=""/>
    <s v=""/>
    <s v=""/>
    <s v=""/>
    <s v=""/>
    <s v=""/>
    <s v=""/>
    <s v=""/>
    <s v=""/>
    <s v=""/>
    <s v=""/>
    <s v="Labor"/>
    <s v="Martinez, Eduardo"/>
    <s v=""/>
    <s v=""/>
    <s v="1001525600"/>
    <s v="AMOCO-BLANCHE 2-28 UNIT 1 233"/>
    <s v="Upstream"/>
    <s v="1046"/>
    <s v=""/>
    <s v=""/>
    <s v=""/>
    <s v=""/>
    <s v=""/>
    <s v=""/>
    <s v=""/>
    <n v="2"/>
    <s v="HR"/>
    <n v="75"/>
    <s v=""/>
    <n v="150"/>
    <s v="--multiple--"/>
    <s v="706866"/>
    <d v="2025-10-14T13:02:13"/>
    <s v=""/>
    <s v=""/>
    <s v="Service Date/Time Issue | PriceBooks Issue | Ticket Amount Error | Validation Overlapping Hours | Validation Overlapping Hours"/>
    <s v=""/>
  </r>
  <r>
    <s v="6501501188"/>
    <s v="Applied US Energy Inc."/>
    <x v="4"/>
    <s v="Rick Alanis"/>
    <s v="John Blakeney"/>
    <s v="Supplies"/>
    <s v="5051017"/>
    <s v="Upstream"/>
    <s v=""/>
    <s v="USD"/>
    <n v="126.93"/>
    <s v="B2B"/>
    <s v="10"/>
    <s v="106436966"/>
    <s v="BANO_E 2 7/8"/>
    <s v=""/>
    <d v="2025-10-08T07:49:56"/>
    <d v="2025-10-06T00:00:00"/>
    <d v="2025-10-06T00:00:00"/>
    <s v=""/>
    <s v="BLK PRL C 1114 132"/>
    <s v=""/>
    <s v=""/>
    <s v=""/>
    <s v=""/>
    <s v=""/>
    <s v=""/>
    <s v=""/>
    <s v=""/>
    <s v=""/>
    <s v=""/>
    <s v=""/>
    <s v=""/>
    <s v=""/>
    <s v=""/>
    <s v=""/>
    <s v=""/>
    <s v=""/>
    <s v=""/>
    <s v=""/>
    <s v=""/>
    <s v=""/>
    <s v=""/>
    <s v="Material"/>
    <s v=""/>
    <s v=""/>
    <s v=""/>
    <s v="1001418000"/>
    <s v="BLACK PEARL 11-14 UNIT 1 132"/>
    <s v="Upstream"/>
    <s v="1046"/>
    <s v=""/>
    <s v=""/>
    <s v=""/>
    <s v=""/>
    <s v=""/>
    <s v=""/>
    <s v=""/>
    <n v="1"/>
    <s v="EA"/>
    <n v="114.37"/>
    <s v=""/>
    <n v="114.37"/>
    <s v="E-Maintenance"/>
    <s v="708146"/>
    <d v="2025-10-09T14:30:18"/>
    <s v=""/>
    <s v=""/>
    <s v=""/>
    <s v=""/>
  </r>
  <r>
    <s v="890038113"/>
    <s v="ChampionX LLC"/>
    <x v="8"/>
    <s v="Marshall Heisler"/>
    <s v="Richard Onzures"/>
    <s v="Automation, service &amp; equipment"/>
    <s v="5051035"/>
    <s v="Upstream"/>
    <s v=""/>
    <s v="USD"/>
    <n v="574.34"/>
    <s v="Direct Entry"/>
    <s v="1"/>
    <s v="1155614"/>
    <s v="MILES TRAVELED"/>
    <s v="LABOR"/>
    <d v="2025-10-01T08:04:00"/>
    <d v="2025-03-08T00:00:00"/>
    <d v="2025-03-08T00:00:00"/>
    <s v=""/>
    <s v="LELA B 1803H"/>
    <s v=""/>
    <s v=""/>
    <s v=""/>
    <s v=""/>
    <s v=""/>
    <s v=""/>
    <s v=""/>
    <s v=""/>
    <s v=""/>
    <s v=""/>
    <s v=""/>
    <s v=""/>
    <s v=""/>
    <s v=""/>
    <s v=""/>
    <s v=""/>
    <s v=""/>
    <s v=""/>
    <s v=""/>
    <s v=""/>
    <s v=""/>
    <s v=""/>
    <s v=""/>
    <s v=""/>
    <s v=""/>
    <s v=""/>
    <s v="1001207300"/>
    <s v="LELA B 1803H"/>
    <s v="Upstream"/>
    <s v="1046"/>
    <s v=""/>
    <s v=""/>
    <s v=""/>
    <s v=""/>
    <s v=""/>
    <s v=""/>
    <s v="Other"/>
    <n v="40"/>
    <s v="each"/>
    <n v="3.6"/>
    <s v=""/>
    <n v="144"/>
    <s v="--multiple--"/>
    <s v="711892"/>
    <d v="2025-10-01T08:04:39"/>
    <s v=""/>
    <s v=""/>
    <s v=""/>
    <s v=""/>
  </r>
  <r>
    <s v="890042344"/>
    <s v="ChampionX LLC"/>
    <x v="6"/>
    <s v="Marshall Heisler"/>
    <s v="Richard Onzures"/>
    <s v="Automation, services, and equipment"/>
    <s v="5051035"/>
    <s v="Upstream"/>
    <s v=""/>
    <s v="USD"/>
    <n v="666.4"/>
    <s v="B2B"/>
    <s v="1"/>
    <s v="1155099"/>
    <s v="HOURS - SERVICE LABOR -1 CREW MEMBER"/>
    <s v="LABOR"/>
    <d v="2025-10-01T10:41:18"/>
    <d v="2025-09-25T14:15:00"/>
    <d v="2025-09-25T17:30:00"/>
    <s v=""/>
    <s v="LELA 7-18 B #222"/>
    <s v=""/>
    <s v=""/>
    <s v=""/>
    <s v=""/>
    <s v=""/>
    <s v=""/>
    <s v=""/>
    <s v=""/>
    <s v=""/>
    <s v=""/>
    <s v=""/>
    <s v=""/>
    <s v=""/>
    <s v=""/>
    <s v=""/>
    <s v=""/>
    <s v=""/>
    <s v=""/>
    <s v=""/>
    <s v=""/>
    <s v=""/>
    <s v=""/>
    <s v=""/>
    <s v=""/>
    <s v=""/>
    <s v=""/>
    <s v="1001532000"/>
    <s v="LELA 7-18 B 222"/>
    <s v="Upstream"/>
    <s v="1046"/>
    <s v=""/>
    <s v=""/>
    <s v=""/>
    <s v=""/>
    <s v=""/>
    <s v=""/>
    <s v="Other"/>
    <n v="3.25"/>
    <s v="each"/>
    <n v="128.80000000000001"/>
    <s v=""/>
    <n v="418.6"/>
    <s v="--multiple--"/>
    <s v="711892"/>
    <d v="2025-10-01T10:44:24"/>
    <s v=""/>
    <s v=""/>
    <s v=""/>
    <s v=""/>
  </r>
  <r>
    <s v="51901"/>
    <s v="Redhead Services LLC"/>
    <x v="5"/>
    <s v="Robert Flores"/>
    <s v="Ruben Alonso"/>
    <s v="Call Out"/>
    <s v="5051006"/>
    <s v="Upstream"/>
    <s v="159196"/>
    <s v="USD"/>
    <n v="2807.85"/>
    <s v="B2B"/>
    <s v="1"/>
    <s v="Labor"/>
    <s v="Robert asked me to replace the malfunctioning liquid switch on the VRU sump_x000a_I had to go to energy sales for parts_x000a_Replaced and tested_x000a_Unit BOL"/>
    <s v=""/>
    <d v="2025-10-13T12:39:45"/>
    <d v="2025-09-17T08:45:00"/>
    <d v="2025-09-17T15:00:00"/>
    <s v=""/>
    <s v="Epley 39-46"/>
    <s v=""/>
    <s v=""/>
    <s v=""/>
    <s v=""/>
    <s v=""/>
    <s v=""/>
    <s v=""/>
    <s v=""/>
    <s v=""/>
    <s v=""/>
    <s v=""/>
    <s v=""/>
    <s v=""/>
    <s v=""/>
    <s v=""/>
    <s v=""/>
    <s v=""/>
    <s v=""/>
    <s v=""/>
    <s v=""/>
    <s v=""/>
    <s v=""/>
    <s v="Labor"/>
    <s v=""/>
    <s v=""/>
    <s v=""/>
    <s v="1000079900"/>
    <s v="EPLEY L. B. 15"/>
    <s v="Upstream"/>
    <s v="1046"/>
    <s v=""/>
    <s v=""/>
    <s v=""/>
    <s v=""/>
    <s v=""/>
    <s v=""/>
    <s v="Other"/>
    <n v="6.25"/>
    <s v="hour"/>
    <n v="110"/>
    <s v=""/>
    <n v="687.5"/>
    <s v="--multiple--"/>
    <s v="709146"/>
    <d v="2025-10-13T12:42:32"/>
    <s v=""/>
    <s v=""/>
    <s v=""/>
    <s v=""/>
  </r>
  <r>
    <s v="21995"/>
    <s v="Belloc Energy Services &amp; Transport,LLC"/>
    <x v="2"/>
    <s v="Steven Salcedo"/>
    <s v="Richard Onzures"/>
    <s v="DROVE TO CHAPPARAL FROM SWD AND LOADED 60 BBLS OF FW THEN DROVE TO LOCATION TO FILL UP HOT OILER  THEN POSITIONED TO PULL FLUIDS FROM HEATER TREATER AND WASHED PUT VESSEL THEN PULLED LEFT OVER WATER IN HOT OILER"/>
    <s v="5051049"/>
    <s v="Upstream"/>
    <s v="157085"/>
    <s v="USD"/>
    <n v="486.75"/>
    <s v="Direct Entry"/>
    <s v="1"/>
    <s v="Vacuum Truck"/>
    <s v="Vacuum Truck"/>
    <s v=""/>
    <d v="2025-10-03T11:15:49"/>
    <d v="2025-09-29T08:45:00"/>
    <d v="2025-09-29T13:30:00"/>
    <d v="1899-12-30T04:45:00"/>
    <s v="ROPER CTB"/>
    <s v=""/>
    <s v=""/>
    <s v="PRODUCED WATER"/>
    <s v=""/>
    <s v=""/>
    <s v=""/>
    <s v=""/>
    <s v=""/>
    <s v=""/>
    <s v=""/>
    <s v=""/>
    <s v=""/>
    <s v=""/>
    <s v=""/>
    <s v=""/>
    <s v=""/>
    <s v=""/>
    <s v=""/>
    <s v=""/>
    <s v=""/>
    <n v="60"/>
    <s v="bbl"/>
    <s v=""/>
    <s v=""/>
    <s v=""/>
    <s v=""/>
    <s v="8300149200"/>
    <s v="ROPER BATTERY"/>
    <s v="Upstream"/>
    <s v="1046"/>
    <s v=""/>
    <s v=""/>
    <s v=""/>
    <s v=""/>
    <s v=""/>
    <s v=""/>
    <s v="Hours Worked"/>
    <n v="4.75"/>
    <s v="hour"/>
    <n v="93"/>
    <s v=""/>
    <n v="441.75"/>
    <s v="Pricebook"/>
    <s v="712945"/>
    <d v="2025-10-07T11:17:07"/>
    <s v=""/>
    <s v=""/>
    <s v=""/>
    <s v=""/>
  </r>
  <r>
    <s v="T-84849"/>
    <s v="ACH Services, LLC"/>
    <x v="10"/>
    <s v="Steven Salcedo"/>
    <s v="Richard Onzures"/>
    <s v="Drove to location to clean oil line."/>
    <s v="5051049"/>
    <s v="Upstream"/>
    <s v="167859"/>
    <s v="USD"/>
    <n v="405"/>
    <s v="Direct Entry"/>
    <s v="1"/>
    <s v="Vacuum Truck"/>
    <s v="Vacuum Truck"/>
    <s v="Vacuum Truck Services"/>
    <d v="2025-10-03T15:19:55"/>
    <d v="2025-09-30T12:45:00"/>
    <d v="2025-09-30T17:15:00"/>
    <d v="1899-12-30T04:30:00"/>
    <s v="MIDLAND SOUTHWEST CTB"/>
    <s v=""/>
    <s v=""/>
    <s v="-"/>
    <s v=""/>
    <s v=""/>
    <s v=""/>
    <s v=""/>
    <s v=""/>
    <s v=""/>
    <s v=""/>
    <s v=""/>
    <s v=""/>
    <s v=""/>
    <s v=""/>
    <s v=""/>
    <s v=""/>
    <s v=""/>
    <s v=""/>
    <s v=""/>
    <s v=""/>
    <n v="0"/>
    <s v="bbl"/>
    <s v=""/>
    <s v=""/>
    <s v=""/>
    <s v=""/>
    <s v="8300127000"/>
    <s v="MIDLAND SOUTHWEST CTB"/>
    <s v="Upstream"/>
    <s v="1046"/>
    <s v=""/>
    <s v=""/>
    <s v=""/>
    <s v=""/>
    <s v=""/>
    <s v=""/>
    <s v="Hours Worked"/>
    <n v="4.5"/>
    <s v="hour"/>
    <n v="90"/>
    <s v=""/>
    <n v="405"/>
    <s v="Pricebook"/>
    <s v="712932"/>
    <d v="2025-10-09T09:25:14"/>
    <s v=""/>
    <s v=""/>
    <s v="Validation GPS Detail"/>
    <s v=""/>
  </r>
  <r>
    <s v="T-86215"/>
    <s v="ACH Services, LLC"/>
    <x v="10"/>
    <s v="Steven Salcedo"/>
    <s v="Richard Onzures"/>
    <s v="Drove to location to assist vacuum fluids to replace joint pipe."/>
    <s v="5051049"/>
    <s v="Upstream"/>
    <s v="169167"/>
    <s v="USD"/>
    <n v="337.5"/>
    <s v="Direct Entry"/>
    <s v="1"/>
    <s v="Vacuum Truck"/>
    <s v="Vacuum Truck"/>
    <s v="Vacuum Truck Services"/>
    <d v="2025-10-03T15:11:09"/>
    <d v="2025-10-02T14:00:00"/>
    <d v="2025-10-02T17:45:00"/>
    <d v="1899-12-30T03:45:00"/>
    <s v="HILL 30-19 BATTERY"/>
    <s v=""/>
    <s v=""/>
    <s v="-"/>
    <s v=""/>
    <s v=""/>
    <s v=""/>
    <s v=""/>
    <s v=""/>
    <s v=""/>
    <s v=""/>
    <s v=""/>
    <s v=""/>
    <s v=""/>
    <s v=""/>
    <s v=""/>
    <s v=""/>
    <s v=""/>
    <s v=""/>
    <s v=""/>
    <s v=""/>
    <n v="0"/>
    <s v="bbl"/>
    <s v=""/>
    <s v=""/>
    <s v=""/>
    <s v=""/>
    <s v="8300185200"/>
    <s v="HILL 30-19 BATTERY"/>
    <s v="Upstream"/>
    <s v="1046"/>
    <s v=""/>
    <s v=""/>
    <s v=""/>
    <s v=""/>
    <s v=""/>
    <s v=""/>
    <s v="Hours Worked"/>
    <n v="3.75"/>
    <s v="hour"/>
    <n v="90"/>
    <s v=""/>
    <n v="337.5"/>
    <s v="Pricebook"/>
    <s v="712932"/>
    <d v="2025-10-09T09:39:11"/>
    <s v=""/>
    <s v=""/>
    <s v="Validation GPS Detail"/>
    <s v=""/>
  </r>
  <r>
    <s v="T-85478"/>
    <s v="ACH Services, LLC"/>
    <x v="10"/>
    <s v="Steven Salcedo"/>
    <s v="Richard Onzures"/>
    <s v="Emptied oil lines and returned to tanks."/>
    <s v="5051049"/>
    <s v="Upstream"/>
    <s v="169828"/>
    <s v="USD"/>
    <n v="315"/>
    <s v="Direct Entry"/>
    <s v="1"/>
    <s v="Vacuum Truck"/>
    <s v="Vacuum Truck"/>
    <s v="Vacuum Truck Services"/>
    <d v="2025-10-07T14:07:46"/>
    <d v="2025-10-06T06:45:00"/>
    <d v="2025-10-06T10:15:00"/>
    <d v="1899-12-30T03:30:00"/>
    <s v="STONE COLD 11-2 1 BATTERY"/>
    <s v=""/>
    <s v=""/>
    <s v="-"/>
    <s v=""/>
    <s v=""/>
    <s v=""/>
    <s v=""/>
    <s v=""/>
    <s v=""/>
    <s v=""/>
    <s v=""/>
    <s v=""/>
    <s v=""/>
    <s v=""/>
    <s v=""/>
    <s v=""/>
    <s v=""/>
    <s v=""/>
    <s v=""/>
    <s v=""/>
    <n v="0"/>
    <s v="bbl"/>
    <s v=""/>
    <s v=""/>
    <s v=""/>
    <s v=""/>
    <s v="8300171500"/>
    <s v="STONE COLD 11-2 1 BATTERY"/>
    <s v="Upstream"/>
    <s v="1046"/>
    <s v=""/>
    <s v=""/>
    <s v=""/>
    <s v=""/>
    <s v=""/>
    <s v=""/>
    <s v="Hours Worked"/>
    <n v="3.5"/>
    <s v="hour"/>
    <n v="90"/>
    <s v=""/>
    <n v="315"/>
    <s v="Pricebook"/>
    <s v="712932"/>
    <d v="2025-10-07T14:10:33"/>
    <s v=""/>
    <s v=""/>
    <s v=""/>
    <s v=""/>
  </r>
  <r>
    <s v="T-86225"/>
    <s v="ACH Services, LLC"/>
    <x v="9"/>
    <s v="Steven Salcedo"/>
    <s v="Richard Onzures"/>
    <s v="Drove to location to assist crew changing valve from tester then hauled one load to location."/>
    <s v="5051049"/>
    <s v="Upstream"/>
    <s v="170307"/>
    <s v="USD"/>
    <n v="297.89999999999998"/>
    <s v="Direct Entry"/>
    <s v="1"/>
    <s v="Vacuum Truck"/>
    <s v="Vacuum Truck"/>
    <s v="Vacuum Truck Services"/>
    <d v="2025-10-10T14:25:48"/>
    <d v="2025-10-09T10:00:00"/>
    <d v="2025-10-09T13:15:00"/>
    <d v="1899-12-30T03:15:00"/>
    <s v="INTERSTATE 8-32 BATTERY"/>
    <s v=""/>
    <s v=""/>
    <s v="-"/>
    <s v=""/>
    <s v=""/>
    <s v=""/>
    <s v=""/>
    <s v=""/>
    <s v=""/>
    <s v=""/>
    <s v=""/>
    <s v=""/>
    <s v=""/>
    <s v=""/>
    <s v=""/>
    <s v=""/>
    <s v=""/>
    <s v=""/>
    <s v=""/>
    <s v=""/>
    <n v="0"/>
    <s v="bbl"/>
    <s v=""/>
    <s v=""/>
    <s v=""/>
    <s v=""/>
    <s v="8300113400"/>
    <s v="INTERSTATE 8-32 BATTERY"/>
    <s v="Upstream"/>
    <s v="1046"/>
    <s v=""/>
    <s v=""/>
    <s v=""/>
    <s v=""/>
    <s v=""/>
    <s v=""/>
    <s v="Hours Worked"/>
    <n v="3.25"/>
    <s v="hour"/>
    <n v="90"/>
    <s v=""/>
    <n v="292.5"/>
    <s v="Pricebook"/>
    <s v="712932"/>
    <d v="2025-10-10T14:30:11"/>
    <s v=""/>
    <s v=""/>
    <s v=""/>
    <s v=""/>
  </r>
  <r>
    <s v="202544619"/>
    <s v="AM Fabrication Inc"/>
    <x v="9"/>
    <s v="Will Miller"/>
    <s v="Richard Onzures"/>
    <s v="Shut off power isolation of unit change oil filter add oil to comp left on auto"/>
    <s v="5051064"/>
    <s v="Upstream"/>
    <s v="148529"/>
    <s v="USD"/>
    <n v="715.21"/>
    <s v="Direct Entry"/>
    <s v="1"/>
    <s v="1236"/>
    <s v="Diamondback PM VRU"/>
    <s v="Stock item"/>
    <d v="2025-10-03T07:38:03"/>
    <d v="2025-09-25T08:30:00"/>
    <d v="2025-09-25T10:30:00"/>
    <s v=""/>
    <s v="NE CITY 35-47 (1)"/>
    <s v=""/>
    <s v=""/>
    <s v=""/>
    <s v=""/>
    <s v=""/>
    <s v=""/>
    <s v=""/>
    <s v=""/>
    <s v=""/>
    <s v=""/>
    <s v=""/>
    <s v=""/>
    <s v=""/>
    <s v=""/>
    <s v=""/>
    <s v=""/>
    <s v=""/>
    <s v=""/>
    <s v=""/>
    <s v=""/>
    <s v=""/>
    <s v=""/>
    <s v="Labor"/>
    <s v=""/>
    <s v=""/>
    <s v=""/>
    <s v="8300130000"/>
    <s v="NE CITY 35-47 BATTERY"/>
    <s v="Upstream"/>
    <s v="1046"/>
    <s v=""/>
    <s v=""/>
    <s v=""/>
    <s v=""/>
    <s v=""/>
    <s v=""/>
    <s v=""/>
    <n v="1"/>
    <s v="EA"/>
    <n v="325"/>
    <s v=""/>
    <n v="325"/>
    <s v="--multiple--"/>
    <s v="703623"/>
    <d v="2025-10-03T07:40:14"/>
    <s v=""/>
    <s v=""/>
    <s v=""/>
    <s v=""/>
  </r>
  <r>
    <s v="202544621"/>
    <s v="AM Fabrication Inc"/>
    <x v="9"/>
    <s v="Will Miller"/>
    <s v="Richard Onzures"/>
    <s v="Shut off power isolation of unit blew down check oil level change oil filters left on auto"/>
    <s v="5051064"/>
    <s v="Upstream"/>
    <s v="148505"/>
    <s v="USD"/>
    <n v="538.58000000000004"/>
    <s v="Direct Entry"/>
    <s v="1"/>
    <s v="1236"/>
    <s v="Diamondback PM VRU"/>
    <s v="Stock item"/>
    <d v="2025-10-03T07:43:58"/>
    <d v="2025-09-25T11:30:00"/>
    <d v="2025-09-25T13:00:00"/>
    <s v=""/>
    <s v="PATTON BATTERY"/>
    <s v=""/>
    <s v=""/>
    <s v=""/>
    <s v=""/>
    <s v=""/>
    <s v=""/>
    <s v=""/>
    <s v=""/>
    <s v=""/>
    <s v=""/>
    <s v=""/>
    <s v=""/>
    <s v=""/>
    <s v=""/>
    <s v=""/>
    <s v=""/>
    <s v=""/>
    <s v=""/>
    <s v=""/>
    <s v=""/>
    <s v=""/>
    <s v=""/>
    <s v="Labor"/>
    <s v=""/>
    <s v=""/>
    <s v=""/>
    <s v="8000310200"/>
    <s v="PATTON BATTERY"/>
    <s v="Upstream"/>
    <s v="1046"/>
    <s v=""/>
    <s v=""/>
    <s v=""/>
    <s v=""/>
    <s v=""/>
    <s v=""/>
    <s v=""/>
    <n v="1"/>
    <s v="EA"/>
    <n v="325"/>
    <s v=""/>
    <n v="325"/>
    <s v="--multiple--"/>
    <s v="703623"/>
    <d v="2025-10-03T07:45:03"/>
    <s v=""/>
    <s v=""/>
    <s v=""/>
    <s v=""/>
  </r>
  <r>
    <s v="202544618"/>
    <s v="AM Fabrication Inc"/>
    <x v="9"/>
    <s v="Will Miller"/>
    <s v="Richard Onzures"/>
    <s v="Shut off power isolation of unit check oil level change oil filter left on auto"/>
    <s v="5051064"/>
    <s v="Upstream"/>
    <s v="148505"/>
    <s v="USD"/>
    <n v="436.65"/>
    <s v="Direct Entry"/>
    <s v="1"/>
    <s v="1236"/>
    <s v="Diamondback PM VRU"/>
    <s v="Stock item"/>
    <d v="2025-10-03T07:36:16"/>
    <d v="2025-09-25T13:00:00"/>
    <d v="2025-09-25T14:00:00"/>
    <s v=""/>
    <s v="PATTON BATTERY"/>
    <s v=""/>
    <s v=""/>
    <s v=""/>
    <s v=""/>
    <s v=""/>
    <s v=""/>
    <s v=""/>
    <s v=""/>
    <s v=""/>
    <s v=""/>
    <s v=""/>
    <s v=""/>
    <s v=""/>
    <s v=""/>
    <s v=""/>
    <s v=""/>
    <s v=""/>
    <s v=""/>
    <s v=""/>
    <s v=""/>
    <s v=""/>
    <s v=""/>
    <s v="Labor"/>
    <s v=""/>
    <s v=""/>
    <s v=""/>
    <s v="8000310200"/>
    <s v="PATTON BATTERY"/>
    <s v="Upstream"/>
    <s v="1046"/>
    <s v=""/>
    <s v=""/>
    <s v=""/>
    <s v=""/>
    <s v=""/>
    <s v=""/>
    <s v=""/>
    <n v="1"/>
    <s v="EA"/>
    <n v="325"/>
    <s v=""/>
    <n v="325"/>
    <s v="--multiple--"/>
    <s v="703623"/>
    <d v="2025-10-03T07:37:24"/>
    <s v=""/>
    <s v=""/>
    <s v=""/>
    <s v=""/>
  </r>
  <r>
    <s v="211285"/>
    <s v="Basin Trucking LLC"/>
    <x v="12"/>
    <s v="Robert Heater"/>
    <s v="Christopher Falcon"/>
    <s v="Drove to location disconnected the poly water line prefab parts with check valves transition and valves with clamps modify the poly water line coming from the tanks connect the streetlight to pump water and deploy the line. Connect vacuum to receive waste and wait for the line to unclog then join the water lines going to another location clean up trash."/>
    <s v="5051023"/>
    <s v="Upstream"/>
    <s v="162738"/>
    <s v="USD"/>
    <n v="1400"/>
    <s v="Direct Entry"/>
    <s v="1"/>
    <s v="3 Man Crew"/>
    <s v="3 Man Crew"/>
    <s v="Roustabout Crew"/>
    <d v="2025-10-04T11:43:03"/>
    <d v="2025-09-25T11:30:00"/>
    <d v="2025-09-25T18:00:00"/>
    <s v=""/>
    <s v="TP LAND TRUST A BATTERY"/>
    <s v=""/>
    <s v=""/>
    <s v=""/>
    <s v=""/>
    <s v=""/>
    <s v=""/>
    <s v=""/>
    <s v=""/>
    <s v=""/>
    <s v=""/>
    <s v=""/>
    <s v=""/>
    <s v=""/>
    <s v=""/>
    <s v=""/>
    <s v=""/>
    <s v=""/>
    <s v=""/>
    <s v=""/>
    <s v=""/>
    <s v=""/>
    <s v=""/>
    <s v="Labor"/>
    <s v=""/>
    <s v=""/>
    <s v=""/>
    <s v="8300160400"/>
    <s v="TP LAND TRUST A BATTERY"/>
    <s v="Upstream"/>
    <s v="1046"/>
    <s v=""/>
    <s v=""/>
    <s v=""/>
    <s v=""/>
    <s v=""/>
    <s v=""/>
    <s v=""/>
    <n v="6.5"/>
    <s v="HR"/>
    <n v="130"/>
    <s v=""/>
    <n v="845"/>
    <s v="--multiple--"/>
    <s v="703517"/>
    <d v="2025-10-04T11:45:33"/>
    <s v=""/>
    <s v=""/>
    <s v=""/>
    <s v=""/>
  </r>
  <r>
    <s v="98907"/>
    <s v="BLS Electrical, Inc."/>
    <x v="5"/>
    <s v="Roy McNutt"/>
    <s v="Taylor Smith"/>
    <s v="material only. This invoice was received later. Materials goes with Ticket 89932; invoice 69930. Sorry for the delay."/>
    <s v="5051017"/>
    <s v="Upstream"/>
    <s v=""/>
    <s v="USD"/>
    <n v="2476.92"/>
    <s v="API"/>
    <s v="1"/>
    <s v="Materials/Consumables"/>
    <s v="Materials (Expense) (Materials) - Ticket # 98907_x000a_Cain Inv. 4628-1143910"/>
    <s v="Materials"/>
    <d v="2025-09-22T05:58:37"/>
    <d v="2025-07-25T00:00:00"/>
    <d v="2025-07-25T00:00:00"/>
    <s v=""/>
    <s v="LONG BRISTOW 21-22 2"/>
    <s v=""/>
    <s v=""/>
    <s v=""/>
    <s v=""/>
    <s v=""/>
    <s v=""/>
    <s v=""/>
    <s v=""/>
    <s v=""/>
    <s v=""/>
    <s v=""/>
    <s v=""/>
    <s v=""/>
    <s v=""/>
    <s v=""/>
    <s v=""/>
    <s v=""/>
    <s v=""/>
    <s v=""/>
    <s v=""/>
    <s v=""/>
    <s v=""/>
    <s v="Material"/>
    <s v=""/>
    <s v=""/>
    <s v=""/>
    <s v="1001309000"/>
    <s v="LONG-BRISTOW 21-22 2"/>
    <s v="Upstream"/>
    <s v="1046"/>
    <s v=""/>
    <s v=""/>
    <s v=""/>
    <s v=""/>
    <s v=""/>
    <s v=""/>
    <s v=""/>
    <n v="1"/>
    <s v="each"/>
    <n v="2476.92"/>
    <s v=""/>
    <n v="2476.92"/>
    <s v="--multiple--"/>
    <s v="710565"/>
    <d v="2025-10-14T09:55:07"/>
    <s v=""/>
    <s v=""/>
    <s v="VC Not Approved Ticket"/>
    <s v=""/>
  </r>
  <r>
    <s v="25093548"/>
    <s v="Lone Star Instrumentation &amp; Electric Corp"/>
    <x v="1"/>
    <s v="Roy McNutt"/>
    <s v="Taylor Smith"/>
    <s v="WORK DESCRIPTION: Drove to location filled out JSA went over JSA with crew. powered up all wells and battery. checked voltage on everything. turned everything on. checked rotation on well’s and all pump panels. cleaned up trash and tools. left location"/>
    <s v="5051044"/>
    <s v="Upstream"/>
    <s v=""/>
    <s v="USD"/>
    <n v="775"/>
    <s v="B2B"/>
    <s v="1"/>
    <s v=""/>
    <s v="Qualified Electrician"/>
    <s v=""/>
    <d v="2025-10-03T08:59:54"/>
    <d v="2025-09-25T09:00:00"/>
    <d v="2025-09-25T14:00:00"/>
    <s v=""/>
    <s v="TUNNEL 6-2"/>
    <s v=""/>
    <s v=""/>
    <s v=""/>
    <s v=""/>
    <s v=""/>
    <s v=""/>
    <s v=""/>
    <s v=""/>
    <s v=""/>
    <s v=""/>
    <s v=""/>
    <s v=""/>
    <s v=""/>
    <s v=""/>
    <s v=""/>
    <s v=""/>
    <s v=""/>
    <s v=""/>
    <s v=""/>
    <s v=""/>
    <s v=""/>
    <s v=""/>
    <s v="Labor"/>
    <s v=""/>
    <s v=""/>
    <s v=""/>
    <s v="1001370700"/>
    <s v="TUNNELL 6 2"/>
    <s v="Upstream"/>
    <s v="1046"/>
    <s v=""/>
    <s v=""/>
    <s v=""/>
    <s v=""/>
    <s v=""/>
    <s v=""/>
    <s v=""/>
    <n v="5"/>
    <s v="HR"/>
    <n v="65"/>
    <s v=""/>
    <n v="325"/>
    <s v="--multiple--"/>
    <s v="708305"/>
    <d v="2025-10-08T08:51:09"/>
    <s v=""/>
    <s v=""/>
    <s v=""/>
    <s v=""/>
  </r>
  <r>
    <s v="52485"/>
    <s v="Redhead Services LLC"/>
    <x v="1"/>
    <s v="Andres Campos"/>
    <s v="Richard Simmons"/>
    <s v="Weekly Field Check"/>
    <s v="5051064"/>
    <s v="Upstream"/>
    <s v="263990"/>
    <s v="USD"/>
    <n v="362.25"/>
    <s v="B2B"/>
    <s v="1"/>
    <s v="FM-PAG220"/>
    <s v="PAG 220 Compressorgard"/>
    <s v=""/>
    <d v="2025-10-07T13:28:01"/>
    <d v="2025-10-06T00:00:00"/>
    <d v="2025-10-06T00:00:00"/>
    <s v=""/>
    <s v="Hughes 43-47"/>
    <s v=""/>
    <s v=""/>
    <s v=""/>
    <s v=""/>
    <s v=""/>
    <s v=""/>
    <s v=""/>
    <s v=""/>
    <s v=""/>
    <s v=""/>
    <s v=""/>
    <s v=""/>
    <s v=""/>
    <s v=""/>
    <s v=""/>
    <s v=""/>
    <s v=""/>
    <s v=""/>
    <s v=""/>
    <s v=""/>
    <s v=""/>
    <s v=""/>
    <s v="Labor"/>
    <s v=""/>
    <s v=""/>
    <s v=""/>
    <s v="8300111500"/>
    <s v="HUGHES 43-47 BATTERY"/>
    <s v="Upstream"/>
    <s v="1046"/>
    <s v=""/>
    <s v=""/>
    <s v=""/>
    <s v=""/>
    <s v=""/>
    <s v=""/>
    <s v="Other"/>
    <n v="7"/>
    <s v="gallon"/>
    <n v="51.75"/>
    <s v=""/>
    <n v="362.25"/>
    <s v="--multiple--"/>
    <s v="709146"/>
    <d v="2025-10-07T13:32:22"/>
    <s v=""/>
    <s v=""/>
    <s v=""/>
    <s v=""/>
  </r>
  <r>
    <s v="6501495497"/>
    <s v="Applied US Energy Inc."/>
    <x v="7"/>
    <s v="Anthony Johnson"/>
    <s v="Richard Simmons"/>
    <s v="Supplies"/>
    <s v="5051049"/>
    <s v="Upstream"/>
    <s v=""/>
    <s v="USD"/>
    <n v="703.88"/>
    <s v="B2B"/>
    <s v="10"/>
    <s v="120963594"/>
    <s v="OVLV_B 2 6K 1P TH F R SS SS DL LL"/>
    <s v=""/>
    <d v="2025-09-23T07:43:23"/>
    <d v="2025-09-16T00:00:00"/>
    <d v="2025-09-16T00:00:00"/>
    <s v=""/>
    <s v="NICHOLS EAST UNIT 1WB"/>
    <s v=""/>
    <s v=""/>
    <s v=""/>
    <s v=""/>
    <s v=""/>
    <s v=""/>
    <s v=""/>
    <s v=""/>
    <s v=""/>
    <s v=""/>
    <s v=""/>
    <s v=""/>
    <s v=""/>
    <s v=""/>
    <s v=""/>
    <s v=""/>
    <s v=""/>
    <s v=""/>
    <s v=""/>
    <s v=""/>
    <s v=""/>
    <s v=""/>
    <s v="Material"/>
    <s v=""/>
    <s v=""/>
    <s v=""/>
    <s v="1000214300"/>
    <s v="NICHOLS EAST UNIT 1WB"/>
    <s v="Upstream"/>
    <s v="1046"/>
    <s v=""/>
    <s v=""/>
    <s v=""/>
    <s v=""/>
    <s v=""/>
    <s v=""/>
    <s v=""/>
    <n v="1"/>
    <s v="EA"/>
    <n v="703.88"/>
    <s v=""/>
    <n v="703.88"/>
    <s v="E-Maintenance"/>
    <s v="708146"/>
    <d v="2025-10-13T14:11:21"/>
    <s v=""/>
    <s v=""/>
    <s v="Requisitioner Error"/>
    <s v=""/>
  </r>
  <r>
    <s v="ML19715"/>
    <s v="ML POWER LLC"/>
    <x v="3"/>
    <s v="Roy McNutt"/>
    <s v="Taylor Smith"/>
    <s v="esp2rp Perform a JSA review to identify potential hazards. Verify voltage levels and identify potential hazards. Collect wire at the station yard. At the location, terminate the main service at the drive and disconnect. Flex and terminate the motor service. After completion, close line fuses and restore power to the unit. Verify voltage levels and test the unit to confirm functionality."/>
    <s v="5051044"/>
    <s v="Upstream"/>
    <s v=""/>
    <s v="USD"/>
    <n v="1034.75"/>
    <s v="API"/>
    <s v="1"/>
    <s v="Electrician"/>
    <s v="Electrician"/>
    <s v=""/>
    <d v="2025-10-12T10:25:27"/>
    <d v="2025-09-29T11:30:00"/>
    <d v="2025-09-29T15:30:00"/>
    <s v=""/>
    <s v=""/>
    <s v=""/>
    <s v=""/>
    <s v=""/>
    <s v=""/>
    <s v=""/>
    <s v=""/>
    <s v=""/>
    <s v=""/>
    <s v=""/>
    <s v=""/>
    <s v=""/>
    <s v=""/>
    <s v=""/>
    <s v=""/>
    <s v=""/>
    <s v=""/>
    <s v=""/>
    <s v=""/>
    <s v=""/>
    <s v=""/>
    <s v=""/>
    <s v=""/>
    <s v="Labor"/>
    <s v=""/>
    <s v="183237"/>
    <s v=""/>
    <s v="1001114900"/>
    <s v="STEUBEN 105"/>
    <s v="Upstream"/>
    <s v="1046"/>
    <s v=""/>
    <s v=""/>
    <s v=""/>
    <s v=""/>
    <s v=""/>
    <s v=""/>
    <s v=""/>
    <n v="4"/>
    <s v="HR"/>
    <n v="66"/>
    <s v=""/>
    <n v="264"/>
    <s v="--multiple--"/>
    <s v="706076"/>
    <d v="2025-10-12T10:25:27"/>
    <s v=""/>
    <s v=""/>
    <s v=""/>
    <s v=""/>
  </r>
  <r>
    <s v="ML19722"/>
    <s v="ML POWER LLC"/>
    <x v="3"/>
    <s v="Roy McNutt"/>
    <s v="Taylor Smith"/>
    <s v="esp2rp Conducted a JSA review to identify potential hazards. Verified voltage levels and identified potential hazards. Gathered necessary materials and wiring at Cain. Upon arrival at the site, installed the jbox and flex conduit for the permissive wires. Installed the flex conduit to the casing pt and tubing pt. Replaced the main service to the control box and terminated it to the disconnect, verifying the voltage at 120v, which is functioning correctly. Cleaned all trash. Departed the location and acquired a new radio and push pole at GDL."/>
    <s v="5051044"/>
    <s v="Upstream"/>
    <s v=""/>
    <s v="USD"/>
    <n v="1572.25"/>
    <s v="API"/>
    <s v="1"/>
    <s v="Electrician"/>
    <s v="Electrician"/>
    <s v=""/>
    <d v="2025-10-12T11:41:05"/>
    <d v="2025-09-30T07:15:00"/>
    <d v="2025-09-30T15:15:00"/>
    <s v=""/>
    <s v=""/>
    <s v=""/>
    <s v=""/>
    <s v=""/>
    <s v=""/>
    <s v=""/>
    <s v=""/>
    <s v=""/>
    <s v=""/>
    <s v=""/>
    <s v=""/>
    <s v=""/>
    <s v=""/>
    <s v=""/>
    <s v=""/>
    <s v=""/>
    <s v=""/>
    <s v=""/>
    <s v=""/>
    <s v=""/>
    <s v=""/>
    <s v=""/>
    <s v=""/>
    <s v="Labor"/>
    <s v=""/>
    <s v="183237"/>
    <s v=""/>
    <s v="1001114900"/>
    <s v="STEUBEN 105"/>
    <s v="Upstream"/>
    <s v="1046"/>
    <s v=""/>
    <s v=""/>
    <s v=""/>
    <s v=""/>
    <s v=""/>
    <s v=""/>
    <s v=""/>
    <n v="8"/>
    <s v="HR"/>
    <n v="66"/>
    <s v=""/>
    <n v="528"/>
    <s v="--multiple--"/>
    <s v="706076"/>
    <d v="2025-10-12T11:41:05"/>
    <s v=""/>
    <s v=""/>
    <s v=""/>
    <s v=""/>
  </r>
  <r>
    <s v="0721-1079173"/>
    <s v="Cain Electric Supply CORP"/>
    <x v="4"/>
    <s v="Roy McNutt"/>
    <s v="Taylor Smith"/>
    <s v="Electrical Materials"/>
    <s v="5051017"/>
    <s v="Upstream"/>
    <s v=""/>
    <s v="USD"/>
    <n v="279.92"/>
    <s v=""/>
    <s v="1"/>
    <s v="MIL U2048RL"/>
    <s v="3PH 200A 5T W/BYPASS"/>
    <s v=""/>
    <d v="2025-10-07T19:04:36"/>
    <d v="2025-10-07T08:00:00"/>
    <d v="2025-10-07T08:00:00"/>
    <s v=""/>
    <s v="DORCHESTER 10 BATTERY"/>
    <s v=""/>
    <s v=""/>
    <s v=""/>
    <s v=""/>
    <s v=""/>
    <s v=""/>
    <s v=""/>
    <s v=""/>
    <s v=""/>
    <s v=""/>
    <s v=""/>
    <s v=""/>
    <s v=""/>
    <s v=""/>
    <s v=""/>
    <s v=""/>
    <s v=""/>
    <s v=""/>
    <s v=""/>
    <s v=""/>
    <s v=""/>
    <s v=""/>
    <s v="Material"/>
    <s v=""/>
    <s v=""/>
    <s v=""/>
    <s v="8000119600"/>
    <s v="DORCHESTER 10 BATTERY"/>
    <s v="Upstream"/>
    <s v="1046"/>
    <s v=""/>
    <s v=""/>
    <s v=""/>
    <s v=""/>
    <s v=""/>
    <s v=""/>
    <s v=""/>
    <n v="1"/>
    <s v="EA"/>
    <n v="279.92"/>
    <s v=""/>
    <n v="279.92"/>
    <s v="--multiple--"/>
    <s v="703819"/>
    <d v="2025-10-09T15:11:07"/>
    <s v=""/>
    <s v=""/>
    <s v=""/>
    <s v=""/>
  </r>
  <r>
    <s v="202544624"/>
    <s v="AM Fabrication Inc"/>
    <x v="8"/>
    <s v="Samuel Soria"/>
    <s v="Javier Barrera"/>
    <s v="Waited for unit to pressure down ,changed oil and oil filter due to unit having high oil temperature, inspected_x000a_coalescing filter and replaced with new one, inspected coupler and replaced, unit was reset several times, test_x000a_run unit and inspected checklist"/>
    <s v="5051006"/>
    <s v="Upstream"/>
    <s v="166874"/>
    <s v="USD"/>
    <n v="1330.67"/>
    <s v="Direct Entry"/>
    <s v="1"/>
    <s v="LABOR - 1"/>
    <s v="Technician Labor Hours"/>
    <s v=""/>
    <d v="2025-10-06T09:17:27"/>
    <d v="2025-09-26T07:00:00"/>
    <d v="2025-09-26T12:00:00"/>
    <s v=""/>
    <s v="STATE EOT WHALE BATTERY"/>
    <s v=""/>
    <s v=""/>
    <s v=""/>
    <s v=""/>
    <s v=""/>
    <s v=""/>
    <s v=""/>
    <s v=""/>
    <s v=""/>
    <s v=""/>
    <s v=""/>
    <s v=""/>
    <s v=""/>
    <s v=""/>
    <s v=""/>
    <s v=""/>
    <s v=""/>
    <s v=""/>
    <s v=""/>
    <s v=""/>
    <s v=""/>
    <s v=""/>
    <s v="Labor"/>
    <s v=""/>
    <s v=""/>
    <s v=""/>
    <s v="8000011300"/>
    <s v="STATE EOT WHALE BATTERY"/>
    <s v="Upstream"/>
    <s v="1046"/>
    <s v=""/>
    <s v=""/>
    <s v=""/>
    <s v=""/>
    <s v=""/>
    <s v=""/>
    <s v=""/>
    <n v="5"/>
    <s v="hour"/>
    <n v="105"/>
    <s v=""/>
    <n v="525"/>
    <s v="--multiple--"/>
    <s v="703623"/>
    <d v="2025-10-06T09:21:33"/>
    <s v=""/>
    <s v=""/>
    <s v=""/>
    <s v=""/>
  </r>
  <r>
    <s v="62205"/>
    <s v="JAT PARTNER LOGISTICS, LLC"/>
    <x v="7"/>
    <s v="Anthony Johnson"/>
    <s v="Richard Simmons"/>
    <s v="2 MAN CREW FOR WEED CONTROL (2) WEED SPRAY TANKS"/>
    <s v="5051027"/>
    <s v="Upstream"/>
    <s v=""/>
    <s v="USD"/>
    <n v="2400"/>
    <s v="Dispatched Mobile - iOS"/>
    <s v="1"/>
    <s v="Materials"/>
    <s v="Materials"/>
    <s v=""/>
    <d v="2025-10-07T20:09:43"/>
    <d v="2025-10-08T07:15:00"/>
    <d v="2025-10-08T16:30:00"/>
    <d v="1899-12-30T09:08:00"/>
    <s v="WEED CONTROL"/>
    <s v=""/>
    <s v=""/>
    <s v=""/>
    <s v=""/>
    <s v=""/>
    <s v=""/>
    <s v=""/>
    <s v=""/>
    <s v=""/>
    <s v=""/>
    <s v=""/>
    <s v=""/>
    <s v=""/>
    <s v=""/>
    <s v=""/>
    <s v=""/>
    <s v=""/>
    <s v=""/>
    <s v=""/>
    <s v=""/>
    <s v=""/>
    <s v=""/>
    <s v="Material"/>
    <s v=""/>
    <s v=""/>
    <s v=""/>
    <s v="8000026600"/>
    <s v="LILLY-NICHOLS H BATTERY"/>
    <s v="Upstream"/>
    <s v="1046"/>
    <s v=""/>
    <s v=""/>
    <s v=""/>
    <s v=""/>
    <s v=""/>
    <s v=""/>
    <s v=""/>
    <n v="1"/>
    <s v=""/>
    <n v="1200"/>
    <s v=""/>
    <n v="1200"/>
    <s v="--multiple--"/>
    <s v="711903"/>
    <d v="2025-10-13T10:05:53"/>
    <s v=""/>
    <s v=""/>
    <s v=""/>
    <s v=""/>
  </r>
  <r>
    <s v="62314"/>
    <s v="JAT PARTNER LOGISTICS, LLC"/>
    <x v="7"/>
    <s v="Anthony Johnson"/>
    <s v="Richard Simmons"/>
    <s v="2 MAN CREW FOR WEED CONTROL (2) WEED SPRAY TANKS"/>
    <s v="5051027"/>
    <s v="Upstream"/>
    <s v=""/>
    <s v="USD"/>
    <n v="2400"/>
    <s v="Dispatched Mobile - Android"/>
    <s v="1"/>
    <s v="Materials"/>
    <s v="Materials"/>
    <s v=""/>
    <d v="2025-10-09T21:58:50"/>
    <d v="2025-10-10T07:00:00"/>
    <d v="2025-10-10T17:00:00"/>
    <d v="1899-12-30T10:05:00"/>
    <s v="WEED CONTROL"/>
    <s v=""/>
    <s v=""/>
    <s v=""/>
    <s v=""/>
    <s v=""/>
    <s v=""/>
    <s v=""/>
    <s v=""/>
    <s v=""/>
    <s v=""/>
    <s v=""/>
    <s v=""/>
    <s v=""/>
    <s v=""/>
    <s v=""/>
    <s v=""/>
    <s v=""/>
    <s v=""/>
    <s v=""/>
    <s v=""/>
    <s v=""/>
    <s v=""/>
    <s v="Labor"/>
    <s v=""/>
    <s v="jesuan"/>
    <s v=""/>
    <s v="8000035100"/>
    <s v="ALLAR 15 BATTERY"/>
    <s v="Upstream"/>
    <s v="1046"/>
    <s v=""/>
    <s v=""/>
    <s v=""/>
    <s v=""/>
    <s v=""/>
    <s v=""/>
    <s v=""/>
    <n v="2"/>
    <s v=""/>
    <n v="1200"/>
    <s v=""/>
    <n v="2400"/>
    <s v="--multiple--"/>
    <s v="711903"/>
    <d v="2025-10-13T13:11:59"/>
    <s v=""/>
    <s v=""/>
    <s v=""/>
    <s v=""/>
  </r>
  <r>
    <s v="MD2609280"/>
    <s v="Jet Specialty Inc"/>
    <x v="6"/>
    <s v="Dallen Mize"/>
    <s v="Richard Simmons"/>
    <s v="BUYER: RICHARD SIMMONS/DYLAN MIZE; LEASE: PERRY 14; 169778"/>
    <s v="5051049"/>
    <s v="Upstream"/>
    <s v="169778"/>
    <s v="USD"/>
    <n v="200.28"/>
    <s v="Direct Entry"/>
    <s v="1"/>
    <s v="73068PC"/>
    <s v="2&quot; 2000# C/S THREADED TEE IPC"/>
    <s v="Fittings"/>
    <d v="2025-09-24T16:48:22"/>
    <d v="2025-08-22T00:00:00"/>
    <d v="2025-08-22T00:00:00"/>
    <s v=""/>
    <s v=""/>
    <s v=""/>
    <s v=""/>
    <s v=""/>
    <s v=""/>
    <s v=""/>
    <s v=""/>
    <s v=""/>
    <s v=""/>
    <s v=""/>
    <s v=""/>
    <s v=""/>
    <s v=""/>
    <s v=""/>
    <s v=""/>
    <s v=""/>
    <s v=""/>
    <s v=""/>
    <s v=""/>
    <s v=""/>
    <s v=""/>
    <s v=""/>
    <s v=""/>
    <s v="Material"/>
    <s v=""/>
    <s v=""/>
    <s v=""/>
    <s v="8300136800"/>
    <s v="PERRY 14 BATTERY"/>
    <s v="Upstream"/>
    <s v="1046"/>
    <s v=""/>
    <s v=""/>
    <s v=""/>
    <s v=""/>
    <s v=""/>
    <s v=""/>
    <s v=""/>
    <n v="5"/>
    <s v="each"/>
    <n v="27.4"/>
    <s v=""/>
    <n v="137"/>
    <s v="--multiple--"/>
    <s v="708023"/>
    <d v="2025-10-14T09:16:35"/>
    <s v=""/>
    <s v=""/>
    <s v="Electronic Field Ticket Issue"/>
    <s v=""/>
  </r>
  <r>
    <s v="61365"/>
    <s v="JAT PARTNER LOGISTICS, LLC"/>
    <x v="0"/>
    <s v="Dallen Mize"/>
    <s v="Richard Simmons"/>
    <s v="GOT ASSIGNED TO DIFFERENT JOB."/>
    <s v="5051027"/>
    <s v="Upstream"/>
    <s v="159359"/>
    <s v="USD"/>
    <n v="180"/>
    <s v="Dispatched Mobile - iOS"/>
    <s v="1"/>
    <s v="Vacuum Truck"/>
    <s v="Vacuum Truck"/>
    <s v=""/>
    <d v="2025-09-17T03:52:07"/>
    <d v="2025-09-17T05:45:00"/>
    <d v="2025-09-17T07:45:00"/>
    <d v="1899-12-30T02:00:00"/>
    <s v="ARES 27-26 BATTERY"/>
    <s v=""/>
    <s v=""/>
    <s v="HOURS"/>
    <s v=""/>
    <s v=""/>
    <s v=""/>
    <s v=""/>
    <s v=""/>
    <s v=""/>
    <s v=""/>
    <s v=""/>
    <s v=""/>
    <s v=""/>
    <s v=""/>
    <s v=""/>
    <s v=""/>
    <s v=""/>
    <s v=""/>
    <s v=""/>
    <s v=""/>
    <n v="0"/>
    <s v="bbl"/>
    <s v=""/>
    <s v=""/>
    <s v=""/>
    <s v=""/>
    <s v="8300077700"/>
    <s v="ARES 27-26 BATTERY"/>
    <s v="Upstream"/>
    <s v="1046"/>
    <s v=""/>
    <s v=""/>
    <s v=""/>
    <s v=""/>
    <s v=""/>
    <s v=""/>
    <s v="Hours Worked"/>
    <n v="2"/>
    <s v="hour"/>
    <n v="90"/>
    <s v=""/>
    <n v="180"/>
    <s v="--multiple--"/>
    <s v="711903"/>
    <d v="2025-09-29T07:55:51"/>
    <s v=""/>
    <s v=""/>
    <s v=""/>
    <s v=""/>
  </r>
  <r>
    <s v="SC00157"/>
    <s v="Onit Energy Solutions"/>
    <x v="4"/>
    <s v="Dallen Mize"/>
    <s v="Richard Simmons"/>
    <s v="Heater/BMS Repair"/>
    <s v="5051049"/>
    <s v="Upstream"/>
    <s v="170749"/>
    <s v="USD"/>
    <n v="1096.57"/>
    <s v="Direct Entry"/>
    <s v="1"/>
    <s v="OES-TECH-FCB"/>
    <s v="TECHNICIAN FLARE/COMBUSTOR/BMS"/>
    <s v=""/>
    <d v="2025-10-09T09:04:28"/>
    <d v="2025-10-08T16:00:00"/>
    <d v="2025-10-08T20:00:00"/>
    <s v=""/>
    <s v="ARES 27-26 BATTERY"/>
    <s v=""/>
    <s v=""/>
    <s v=""/>
    <s v=""/>
    <s v=""/>
    <s v=""/>
    <s v=""/>
    <s v=""/>
    <s v=""/>
    <s v=""/>
    <s v=""/>
    <s v=""/>
    <s v=""/>
    <s v=""/>
    <s v=""/>
    <s v=""/>
    <s v=""/>
    <s v=""/>
    <s v=""/>
    <s v=""/>
    <s v=""/>
    <s v=""/>
    <s v="Labor"/>
    <s v=""/>
    <s v=""/>
    <s v=""/>
    <s v="8300077700"/>
    <s v="ARES 27-26 BATTERY"/>
    <s v="Upstream"/>
    <s v="1046"/>
    <s v=""/>
    <s v=""/>
    <s v=""/>
    <s v=""/>
    <s v=""/>
    <s v=""/>
    <s v=""/>
    <n v="4"/>
    <s v="HR"/>
    <n v="150"/>
    <s v=""/>
    <n v="600"/>
    <s v="Pricebook"/>
    <s v="712949"/>
    <d v="2025-10-09T09:06:42"/>
    <s v=""/>
    <s v=""/>
    <s v=""/>
    <s v=""/>
  </r>
  <r>
    <s v="202544660"/>
    <s v="AM Fabrication Inc"/>
    <x v="2"/>
    <s v="Samuel Soria"/>
    <s v="Javier Barrera"/>
    <s v="Waited for unit to pressure down, changed oil and oil filter due to unit being flooded with condensate,_x000a_inspected coupler, drained liquid, test run pump, searched for leaks, inspected panel, test run unit and_x000a_inspected checklist. several hi temp restarts in history"/>
    <s v="5051006"/>
    <s v="Upstream"/>
    <s v="167487"/>
    <s v="USD"/>
    <n v="858.65"/>
    <s v="Direct Entry"/>
    <s v="1"/>
    <s v="LABOR - 1"/>
    <s v="Technician Labor Hours"/>
    <s v=""/>
    <d v="2025-10-07T17:04:00"/>
    <d v="2025-09-29T10:30:00"/>
    <d v="2025-09-29T13:00:00"/>
    <s v=""/>
    <s v="SLICKROCK 24 BATTERY"/>
    <s v=""/>
    <s v=""/>
    <s v=""/>
    <s v=""/>
    <s v=""/>
    <s v=""/>
    <s v=""/>
    <s v=""/>
    <s v=""/>
    <s v=""/>
    <s v=""/>
    <s v=""/>
    <s v=""/>
    <s v=""/>
    <s v=""/>
    <s v=""/>
    <s v=""/>
    <s v=""/>
    <s v=""/>
    <s v=""/>
    <s v=""/>
    <s v=""/>
    <s v="Labor"/>
    <s v=""/>
    <s v=""/>
    <s v=""/>
    <s v="8000011500"/>
    <s v="SLICKROCK 24 BATTERY"/>
    <s v="Upstream"/>
    <s v="1046"/>
    <s v=""/>
    <s v=""/>
    <s v=""/>
    <s v=""/>
    <s v=""/>
    <s v=""/>
    <s v=""/>
    <n v="2.5"/>
    <s v="hour"/>
    <n v="105"/>
    <s v=""/>
    <n v="262.5"/>
    <s v="--multiple--"/>
    <s v="703623"/>
    <d v="2025-10-07T17:05:57"/>
    <s v=""/>
    <s v=""/>
    <s v=""/>
    <s v=""/>
  </r>
  <r>
    <s v="116551"/>
    <s v="A4 Oilfield Services, LLC"/>
    <x v="10"/>
    <s v="Samuel Soria"/>
    <s v="Louis Valencia"/>
    <s v="Drove to location and pulled everything from heater and held on truck while repair was done then pushed"/>
    <s v="5051052"/>
    <s v="Upstream"/>
    <s v="153382"/>
    <s v="USD"/>
    <n v="558"/>
    <s v="Direct Entry"/>
    <s v="1"/>
    <s v="VACUUM TRUCK"/>
    <s v="VACUUM Truck"/>
    <s v=""/>
    <d v="2025-10-02T08:19:26"/>
    <d v="2025-09-19T07:15:00"/>
    <d v="2025-09-19T13:15:00"/>
    <s v=""/>
    <s v="Jane M. Graves Unit 1H"/>
    <s v=""/>
    <s v=""/>
    <s v=""/>
    <s v=""/>
    <s v=""/>
    <s v=""/>
    <s v=""/>
    <s v=""/>
    <s v=""/>
    <s v=""/>
    <s v=""/>
    <s v=""/>
    <s v=""/>
    <s v=""/>
    <s v=""/>
    <s v=""/>
    <s v=""/>
    <s v=""/>
    <s v=""/>
    <s v=""/>
    <s v=""/>
    <s v=""/>
    <s v="Labor"/>
    <s v=""/>
    <s v=""/>
    <s v=""/>
    <s v="1000542600"/>
    <s v="JANE M. GRAVES UNIT 1H"/>
    <s v="Upstream"/>
    <s v="1046"/>
    <s v=""/>
    <s v=""/>
    <s v=""/>
    <s v=""/>
    <s v=""/>
    <s v=""/>
    <s v=""/>
    <n v="6"/>
    <s v="hour"/>
    <n v="93"/>
    <s v=""/>
    <n v="558"/>
    <s v="--multiple--"/>
    <s v="711551"/>
    <d v="2025-10-06T11:01:46"/>
    <s v=""/>
    <s v=""/>
    <s v=""/>
    <s v=""/>
  </r>
  <r>
    <s v="202544630"/>
    <s v="AM Fabrication Inc"/>
    <x v="8"/>
    <s v="Samuel Soria"/>
    <s v="Louis Valencia"/>
    <s v="Flare was operational on arrival_x000a_Looked over._x000a_Checked location for place it had leaks_x000a_Found the Union that was Emitting_x000a_Went ahead a tighten the Union._x000a_Union kept leaking_x000a_The Union was not installed correctly_x000a_Only a few threads on each side were tightened to..._x000a_In which case the Union continued to leak through the threads._x000a_Bottom and top 90s were loose and tightened._x000a_Re installed and retapped._x000a_Tested and no more leaks_x000a_Water tank TH are All open._x000a_Someone is working on them_x000a_That's why it's Emitting gas"/>
    <s v="5051006"/>
    <s v="Upstream"/>
    <s v="167086"/>
    <s v="USD"/>
    <n v="483"/>
    <s v="Direct Entry"/>
    <s v="1"/>
    <s v="LABOR - 1"/>
    <s v="Technician Labor Hours"/>
    <s v=""/>
    <d v="2025-10-06T09:46:49"/>
    <d v="2025-09-26T13:00:00"/>
    <d v="2025-09-26T17:00:00"/>
    <s v=""/>
    <s v="State Brumby H Battery"/>
    <s v=""/>
    <s v=""/>
    <s v=""/>
    <s v=""/>
    <s v=""/>
    <s v=""/>
    <s v=""/>
    <s v=""/>
    <s v=""/>
    <s v=""/>
    <s v=""/>
    <s v=""/>
    <s v=""/>
    <s v=""/>
    <s v=""/>
    <s v=""/>
    <s v=""/>
    <s v=""/>
    <s v=""/>
    <s v=""/>
    <s v=""/>
    <s v=""/>
    <s v="Labor"/>
    <s v=""/>
    <s v=""/>
    <s v=""/>
    <s v="8000020100"/>
    <s v="STATE BRUMBY H BATTERY"/>
    <s v="Upstream"/>
    <s v="1046"/>
    <s v=""/>
    <s v=""/>
    <s v=""/>
    <s v=""/>
    <s v=""/>
    <s v=""/>
    <s v=""/>
    <n v="4"/>
    <s v="hour"/>
    <n v="105"/>
    <s v=""/>
    <n v="420"/>
    <s v="--multiple--"/>
    <s v="703623"/>
    <d v="2025-10-06T09:49:51"/>
    <s v=""/>
    <s v=""/>
    <s v=""/>
    <s v=""/>
  </r>
  <r>
    <s v="285937"/>
    <s v="Bold Production Services"/>
    <x v="5"/>
    <s v="Robert Salisbury"/>
    <s v="Dalton Gray"/>
    <s v="MARION RENTAL"/>
    <s v="5051037"/>
    <s v="Upstream"/>
    <s v=""/>
    <s v="USD"/>
    <n v="10500"/>
    <s v="Direct Entry"/>
    <s v="1"/>
    <s v="46000023461010"/>
    <s v="500M BTU/HR REGEN, MONTHLY RENTAL"/>
    <s v=""/>
    <d v="2025-10-01T10:41:16"/>
    <d v="2025-09-01T00:00:00"/>
    <d v="2025-09-30T00:00:00"/>
    <s v=""/>
    <s v="MARION"/>
    <s v=""/>
    <s v=""/>
    <s v=""/>
    <s v=""/>
    <s v=""/>
    <s v=""/>
    <s v=""/>
    <s v=""/>
    <s v=""/>
    <s v=""/>
    <s v=""/>
    <s v=""/>
    <s v=""/>
    <s v=""/>
    <s v=""/>
    <s v=""/>
    <s v=""/>
    <s v=""/>
    <s v=""/>
    <s v=""/>
    <s v=""/>
    <s v=""/>
    <s v="Equipment"/>
    <s v=""/>
    <s v=""/>
    <s v=""/>
    <s v="8000323800"/>
    <s v="MARION BATTERY"/>
    <s v="Upstream"/>
    <s v="1046"/>
    <s v=""/>
    <s v=""/>
    <s v=""/>
    <s v=""/>
    <s v=""/>
    <s v=""/>
    <s v=""/>
    <n v="1"/>
    <s v="MON"/>
    <n v="10500"/>
    <s v=""/>
    <n v="10500"/>
    <s v=""/>
    <s v="706456"/>
    <d v="2025-10-01T12:57:54"/>
    <s v=""/>
    <s v=""/>
    <s v=""/>
    <s v=""/>
  </r>
  <r>
    <s v="ML19616"/>
    <s v="ML POWER LLC"/>
    <x v="10"/>
    <s v="Stephen Mitchell"/>
    <s v="Jesse Melendez"/>
    <s v="Circ pump was down. Overload was tripped. The Motor was recently replaced and the overload did not get readjusted. I set the overload to the correct specs for the motor. I stayed to make sure that the motor would run correctly. The lease operator said we are good to go.162390R"/>
    <s v="5051044"/>
    <s v="Upstream"/>
    <s v=""/>
    <s v="USD"/>
    <n v="324"/>
    <s v="API"/>
    <s v="1"/>
    <s v="Electrician"/>
    <s v="Electrician"/>
    <s v=""/>
    <d v="2025-09-25T17:34:09"/>
    <d v="2025-09-19T08:15:00"/>
    <d v="2025-09-19T10:15:00"/>
    <s v=""/>
    <s v=""/>
    <s v=""/>
    <s v=""/>
    <s v=""/>
    <s v=""/>
    <s v=""/>
    <s v=""/>
    <s v=""/>
    <s v=""/>
    <s v=""/>
    <s v=""/>
    <s v=""/>
    <s v=""/>
    <s v=""/>
    <s v=""/>
    <s v=""/>
    <s v=""/>
    <s v=""/>
    <s v=""/>
    <s v=""/>
    <s v=""/>
    <s v=""/>
    <s v=""/>
    <s v="Labor"/>
    <s v=""/>
    <s v="595273"/>
    <s v=""/>
    <s v="8300169500"/>
    <s v="WTH 21-16 22-15 BATTERY"/>
    <s v="Upstream"/>
    <s v="1046"/>
    <s v=""/>
    <s v=""/>
    <s v=""/>
    <s v=""/>
    <s v=""/>
    <s v=""/>
    <s v=""/>
    <n v="2"/>
    <s v="HR"/>
    <n v="66"/>
    <s v=""/>
    <n v="132"/>
    <s v="--multiple--"/>
    <s v="706076"/>
    <d v="2025-10-14T09:05:32"/>
    <s v=""/>
    <s v=""/>
    <s v="Coding/Location Issue"/>
    <s v=""/>
  </r>
  <r>
    <s v="ML19683"/>
    <s v="ML POWER LLC"/>
    <x v="8"/>
    <s v="Stephen Mitchell"/>
    <s v="Jesse Melendez"/>
    <s v="Drove to location. Checked voltage inside of the pump panel. Voltage was low. Found a blown line fuse nearby. Swapped out the fuse and checked voltage again. Voltage was good. Reset the panel and the unit kicked on. Notified the tech and he called it good."/>
    <s v="5051044"/>
    <s v="Upstream"/>
    <s v=""/>
    <s v="USD"/>
    <n v="88"/>
    <s v="API"/>
    <s v="1"/>
    <s v="Electrician"/>
    <s v="Electrician"/>
    <s v=""/>
    <d v="2025-10-06T17:56:51"/>
    <d v="2025-09-26T14:30:00"/>
    <d v="2025-09-26T15:00:00"/>
    <s v=""/>
    <s v=""/>
    <s v=""/>
    <s v=""/>
    <s v=""/>
    <s v=""/>
    <s v=""/>
    <s v=""/>
    <s v=""/>
    <s v=""/>
    <s v=""/>
    <s v=""/>
    <s v=""/>
    <s v=""/>
    <s v=""/>
    <s v=""/>
    <s v=""/>
    <s v=""/>
    <s v=""/>
    <s v=""/>
    <s v=""/>
    <s v=""/>
    <s v=""/>
    <s v=""/>
    <s v="Labor"/>
    <s v=""/>
    <s v="595264"/>
    <s v=""/>
    <s v="8300136600"/>
    <s v="PERRO ROJO 36 1 BATTERY"/>
    <s v="Upstream"/>
    <s v="1046"/>
    <s v=""/>
    <s v=""/>
    <s v=""/>
    <s v=""/>
    <s v=""/>
    <s v=""/>
    <s v=""/>
    <n v="0.5"/>
    <s v="HR"/>
    <n v="66"/>
    <s v=""/>
    <n v="33"/>
    <s v="--multiple--"/>
    <s v="706076"/>
    <d v="2025-10-08T16:40:14"/>
    <s v=""/>
    <s v=""/>
    <s v="Validation Overlapping Hours"/>
    <s v=""/>
  </r>
  <r>
    <s v="ML19682"/>
    <s v="ML POWER LLC"/>
    <x v="8"/>
    <s v="Stephen Mitchell"/>
    <s v="Jesse Melendez"/>
    <s v="Drove to location. Checked incoming voltage inside of the pump panel. Voltage was low. Traced the voltage back to the main disconnect. Found a blown fuse inside of the main disconnect. Swapped out the blown fuse and checked voltage again. Voltage was good. Reset the panel and it ran good. Notified the tech and he called it good."/>
    <s v="5051044"/>
    <s v="Upstream"/>
    <s v=""/>
    <s v="USD"/>
    <n v="176"/>
    <s v="API"/>
    <s v="1"/>
    <s v="Electrician"/>
    <s v="Electrician"/>
    <s v=""/>
    <d v="2025-10-06T17:55:31"/>
    <d v="2025-09-26T15:00:00"/>
    <d v="2025-09-26T16:00:00"/>
    <s v=""/>
    <s v=""/>
    <s v=""/>
    <s v=""/>
    <s v=""/>
    <s v=""/>
    <s v=""/>
    <s v=""/>
    <s v=""/>
    <s v=""/>
    <s v=""/>
    <s v=""/>
    <s v=""/>
    <s v=""/>
    <s v=""/>
    <s v=""/>
    <s v=""/>
    <s v=""/>
    <s v=""/>
    <s v=""/>
    <s v=""/>
    <s v=""/>
    <s v=""/>
    <s v=""/>
    <s v="Labor"/>
    <s v=""/>
    <s v="595264"/>
    <s v=""/>
    <s v="1001251000"/>
    <s v="PARKS 24 1"/>
    <s v="Upstream"/>
    <s v="1046"/>
    <s v=""/>
    <s v=""/>
    <s v=""/>
    <s v=""/>
    <s v=""/>
    <s v=""/>
    <s v=""/>
    <n v="1"/>
    <s v="HR"/>
    <n v="66"/>
    <s v=""/>
    <n v="66"/>
    <s v="--multiple--"/>
    <s v="706076"/>
    <d v="2025-10-08T16:40:50"/>
    <s v=""/>
    <s v=""/>
    <s v="Validation Overlapping Hours"/>
    <s v=""/>
  </r>
  <r>
    <s v="ML19680"/>
    <s v="ML POWER LLC"/>
    <x v="8"/>
    <s v="Stephen Mitchell"/>
    <s v="Jesse Melendez"/>
    <s v="Drove to location. Checked incoming voltage. Voltage was low. Traced the voltage back to the main disconnect and checked voltage inside. Found a blown fuse inside. Swapped out the blown fuse and checked voltage again at the panel. Voltage was good. Reset the panel and it ran good. Notified the tech and he called it good."/>
    <s v="5051044"/>
    <s v="Upstream"/>
    <s v=""/>
    <s v="USD"/>
    <n v="165"/>
    <s v="API"/>
    <s v="1"/>
    <s v="Electrician"/>
    <s v="Electrician"/>
    <s v=""/>
    <d v="2025-10-06T17:37:07"/>
    <d v="2025-09-26T16:00:00"/>
    <d v="2025-09-26T16:15:00"/>
    <s v=""/>
    <s v=""/>
    <s v=""/>
    <s v=""/>
    <s v=""/>
    <s v=""/>
    <s v=""/>
    <s v=""/>
    <s v=""/>
    <s v=""/>
    <s v=""/>
    <s v=""/>
    <s v=""/>
    <s v=""/>
    <s v=""/>
    <s v=""/>
    <s v=""/>
    <s v=""/>
    <s v=""/>
    <s v=""/>
    <s v=""/>
    <s v=""/>
    <s v=""/>
    <s v=""/>
    <s v="Labor"/>
    <s v=""/>
    <s v="595264"/>
    <s v=""/>
    <s v="1001273500"/>
    <s v="HENCE B 4503"/>
    <s v="Upstream"/>
    <s v="1046"/>
    <s v=""/>
    <s v=""/>
    <s v=""/>
    <s v=""/>
    <s v=""/>
    <s v=""/>
    <s v=""/>
    <n v="0.25"/>
    <s v="HR"/>
    <n v="66"/>
    <s v=""/>
    <n v="16.5"/>
    <s v="--multiple--"/>
    <s v="706076"/>
    <d v="2025-10-06T17:39:49"/>
    <s v=""/>
    <s v=""/>
    <s v=""/>
    <s v=""/>
  </r>
  <r>
    <s v="ML19693"/>
    <s v="ML POWER LLC"/>
    <x v="8"/>
    <s v="Stephen Mitchell"/>
    <s v="Jesse Melendez"/>
    <s v="Verified the power was off and checked the fuses. Found a 5amo midget fuse that was blown and replaced it. Turned the power back on and attempted to start the motor but blew the same fuse again. It also cut the power to the lufkin controller briefly. Started troubleshooting and replaced the transformer but that wasn't the issue. Found that the coil was bad and was told it would've replaced Monday."/>
    <s v="5051044"/>
    <s v="Upstream"/>
    <s v=""/>
    <s v="USD"/>
    <n v="579"/>
    <s v="API"/>
    <s v="1"/>
    <s v="Apprentice Electrician-OT"/>
    <s v="Apprentice Electrician-OT"/>
    <s v=""/>
    <d v="2025-10-06T18:27:27"/>
    <d v="2025-09-26T16:45:00"/>
    <d v="2025-09-26T19:45:00"/>
    <s v=""/>
    <s v=""/>
    <s v=""/>
    <s v=""/>
    <s v=""/>
    <s v=""/>
    <s v=""/>
    <s v=""/>
    <s v=""/>
    <s v=""/>
    <s v=""/>
    <s v=""/>
    <s v=""/>
    <s v=""/>
    <s v=""/>
    <s v=""/>
    <s v=""/>
    <s v=""/>
    <s v=""/>
    <s v=""/>
    <s v=""/>
    <s v=""/>
    <s v=""/>
    <s v=""/>
    <s v="Labor"/>
    <s v=""/>
    <s v="594869"/>
    <s v=""/>
    <s v="1001240800"/>
    <s v="MCCLINTIC 9 1"/>
    <s v="Upstream"/>
    <s v="1046"/>
    <s v=""/>
    <s v=""/>
    <s v=""/>
    <s v=""/>
    <s v=""/>
    <s v=""/>
    <s v=""/>
    <n v="3"/>
    <s v="HR"/>
    <n v="78"/>
    <s v=""/>
    <n v="234"/>
    <s v="--multiple--"/>
    <s v="706076"/>
    <d v="2025-10-06T18:31:03"/>
    <s v=""/>
    <s v=""/>
    <s v=""/>
    <s v=""/>
  </r>
  <r>
    <s v="164"/>
    <s v="Oleum Technology LLC"/>
    <x v="5"/>
    <s v="Ryan Ray"/>
    <s v="Mark Ramos"/>
    <s v="SIP Service:Diamondback Monthly_x000a_Monthly SIP service September 2025 for - SIMMS 30- 18 O 15WA - 1000646900 - Req - Janet Locklar"/>
    <s v="5051037"/>
    <s v="Upstream"/>
    <s v=""/>
    <s v="USD"/>
    <n v="6000"/>
    <s v="Direct Entry"/>
    <s v="1"/>
    <s v="SIP Service Monthy Lease"/>
    <s v="Monthly Service Charge Leased Units"/>
    <s v="SIP Lease"/>
    <d v="2025-10-02T11:29:05"/>
    <d v="2025-09-01T00:00:00"/>
    <d v="2025-09-30T00:00:00"/>
    <s v=""/>
    <s v="SIMMS 30-18 O 15WA - 1000646900"/>
    <s v=""/>
    <s v=""/>
    <s v=""/>
    <s v=""/>
    <s v=""/>
    <s v=""/>
    <s v=""/>
    <s v=""/>
    <s v=""/>
    <s v=""/>
    <s v=""/>
    <s v=""/>
    <s v=""/>
    <s v=""/>
    <s v=""/>
    <s v=""/>
    <s v=""/>
    <s v=""/>
    <s v=""/>
    <s v=""/>
    <s v=""/>
    <s v=""/>
    <s v="Equipment"/>
    <s v=""/>
    <s v=""/>
    <s v=""/>
    <s v="1000646900"/>
    <s v="SIMMS 30-18 O 15WA"/>
    <s v="Upstream"/>
    <s v="1046"/>
    <s v=""/>
    <s v=""/>
    <s v=""/>
    <s v=""/>
    <s v=""/>
    <s v=""/>
    <s v=""/>
    <n v="1"/>
    <s v="month"/>
    <n v="6000"/>
    <s v=""/>
    <n v="6000"/>
    <s v="E-Maintenance"/>
    <s v="712451"/>
    <d v="2025-10-13T04:47:42"/>
    <s v=""/>
    <s v=""/>
    <s v="Requisitioner Error | Attachment Issue"/>
    <s v=""/>
  </r>
  <r>
    <s v="107163"/>
    <s v="Power Standard LLC"/>
    <x v="5"/>
    <s v="Bronson Pittman"/>
    <s v="Ritthy Son"/>
    <s v="Moonshine 37-25 H 8LS_x000a_Drove to location got material list for everything we’re going to need ordered material picked up material from cains drove back to location ran cable installed j box"/>
    <s v="8501142"/>
    <s v="AC-AC"/>
    <s v=""/>
    <s v="USD"/>
    <n v="473"/>
    <s v="Direct Entry"/>
    <s v="1"/>
    <s v=""/>
    <s v="Electrician"/>
    <s v=""/>
    <d v="2025-10-13T18:13:49"/>
    <d v="2025-09-02T14:30:00"/>
    <d v="2025-09-02T18:30:00"/>
    <s v=""/>
    <s v=""/>
    <s v=""/>
    <s v=""/>
    <s v=""/>
    <s v=""/>
    <s v=""/>
    <s v=""/>
    <s v=""/>
    <s v=""/>
    <s v=""/>
    <s v=""/>
    <s v=""/>
    <s v=""/>
    <s v=""/>
    <s v=""/>
    <s v=""/>
    <s v=""/>
    <s v=""/>
    <s v=""/>
    <s v=""/>
    <s v=""/>
    <s v=""/>
    <s v=""/>
    <s v="Labor"/>
    <s v=""/>
    <s v=""/>
    <s v=""/>
    <s v="AC-001763AC"/>
    <s v="MOONSHINE 37-25 H 8LS ESP2RP"/>
    <s v="AC-AC"/>
    <s v="1046"/>
    <s v=""/>
    <s v=""/>
    <s v=""/>
    <s v=""/>
    <s v=""/>
    <s v=""/>
    <s v=""/>
    <n v="4"/>
    <s v="HR"/>
    <n v="73.25"/>
    <s v=""/>
    <n v="293"/>
    <s v="--multiple--"/>
    <s v="706223"/>
    <d v="2025-10-13T18:15:12"/>
    <s v=""/>
    <s v=""/>
    <s v=""/>
    <s v=""/>
  </r>
  <r>
    <s v="252216"/>
    <s v="NLP Enterprises, LLC"/>
    <x v="0"/>
    <s v="Mark Ramos"/>
    <s v="Ritthy Son"/>
    <s v="Arrived to discuss job and do a one call."/>
    <s v="8501210"/>
    <s v="AC-AC"/>
    <s v=""/>
    <s v="USD"/>
    <n v="340"/>
    <s v="Direct Entry"/>
    <s v="1"/>
    <s v="D34"/>
    <s v="Diamondback - Supervisor &amp; Truck"/>
    <s v=""/>
    <d v="2025-10-10T06:34:16"/>
    <d v="2025-09-25T06:00:00"/>
    <d v="2025-09-25T10:00:00"/>
    <s v=""/>
    <s v=""/>
    <s v=""/>
    <s v=""/>
    <s v=""/>
    <s v=""/>
    <s v=""/>
    <s v=""/>
    <s v=""/>
    <s v=""/>
    <s v=""/>
    <s v=""/>
    <s v=""/>
    <s v=""/>
    <s v=""/>
    <s v=""/>
    <s v=""/>
    <s v=""/>
    <s v=""/>
    <s v=""/>
    <s v=""/>
    <s v=""/>
    <s v=""/>
    <s v=""/>
    <s v="Labor"/>
    <s v=""/>
    <s v=""/>
    <s v=""/>
    <s v="AC-002070AC"/>
    <s v="ORVIS 37-36 B 3WA - ESP2RP"/>
    <s v="AC-AC"/>
    <s v="1046"/>
    <s v=""/>
    <s v=""/>
    <s v=""/>
    <s v=""/>
    <s v=""/>
    <s v=""/>
    <s v=""/>
    <n v="4"/>
    <s v="HR"/>
    <n v="85"/>
    <s v=""/>
    <n v="340"/>
    <s v="--multiple--"/>
    <s v="700289"/>
    <d v="2025-10-10T06:38:37"/>
    <s v=""/>
    <s v=""/>
    <s v=""/>
    <s v=""/>
  </r>
  <r>
    <s v="252220"/>
    <s v="NLP Enterprises, LLC"/>
    <x v="5"/>
    <s v="Mark Ramos"/>
    <s v="Ritthy Son"/>
    <s v="Dig trench across locations"/>
    <s v="8501210"/>
    <s v="AC-AC"/>
    <s v=""/>
    <s v="USD"/>
    <n v="630"/>
    <s v="Direct Entry"/>
    <s v="1"/>
    <s v="D6"/>
    <s v="Diamondback - Backhoe &amp; Operator"/>
    <s v=""/>
    <d v="2025-10-13T14:35:31"/>
    <d v="2025-09-30T09:30:00"/>
    <d v="2025-09-30T15:30:00"/>
    <s v=""/>
    <s v=""/>
    <s v=""/>
    <s v=""/>
    <s v=""/>
    <s v=""/>
    <s v=""/>
    <s v=""/>
    <s v=""/>
    <s v=""/>
    <s v=""/>
    <s v=""/>
    <s v=""/>
    <s v=""/>
    <s v=""/>
    <s v=""/>
    <s v=""/>
    <s v=""/>
    <s v=""/>
    <s v=""/>
    <s v=""/>
    <s v=""/>
    <s v=""/>
    <s v=""/>
    <s v="Labor"/>
    <s v=""/>
    <s v=""/>
    <s v=""/>
    <s v="AC-002070AC"/>
    <s v="ORVIS 37-36 B 3WA - ESP2RP"/>
    <s v="AC-AC"/>
    <s v="1046"/>
    <s v=""/>
    <s v=""/>
    <s v=""/>
    <s v=""/>
    <s v=""/>
    <s v=""/>
    <s v=""/>
    <n v="6"/>
    <s v="HR"/>
    <n v="105"/>
    <s v=""/>
    <n v="630"/>
    <s v="--multiple--"/>
    <s v="700289"/>
    <d v="2025-10-13T14:39:16"/>
    <s v=""/>
    <s v=""/>
    <s v=""/>
    <s v=""/>
  </r>
  <r>
    <s v="78246"/>
    <s v="AmeriVax, Inc."/>
    <x v="5"/>
    <s v="Roy McNutt"/>
    <s v="Ritthy Son"/>
    <s v="Hydrovac Services"/>
    <s v="8501142"/>
    <s v="AC-AC"/>
    <s v=""/>
    <s v="USD"/>
    <n v="2940"/>
    <s v="Direct Entry"/>
    <s v="1"/>
    <s v=""/>
    <s v="Hydrovac Truck"/>
    <s v=""/>
    <d v="2025-09-04T09:23:36"/>
    <d v="2025-08-19T05:45:00"/>
    <d v="2025-08-19T17:45:00"/>
    <s v=""/>
    <s v=""/>
    <s v=""/>
    <s v=""/>
    <s v=""/>
    <s v=""/>
    <s v=""/>
    <s v=""/>
    <s v=""/>
    <s v=""/>
    <s v=""/>
    <s v=""/>
    <s v=""/>
    <s v=""/>
    <s v=""/>
    <s v=""/>
    <s v=""/>
    <s v=""/>
    <s v=""/>
    <s v=""/>
    <s v=""/>
    <s v=""/>
    <s v=""/>
    <s v=""/>
    <s v="Labor"/>
    <s v=""/>
    <s v=""/>
    <s v=""/>
    <s v="AC-001765AC"/>
    <s v="WINSTON 31-43 C 3LS ESP2RP"/>
    <s v="AC-AC"/>
    <s v="1046"/>
    <s v=""/>
    <s v=""/>
    <s v=""/>
    <s v=""/>
    <s v=""/>
    <s v=""/>
    <s v=""/>
    <n v="12"/>
    <s v="HR"/>
    <n v="245"/>
    <s v=""/>
    <n v="2940"/>
    <s v="--multiple--"/>
    <s v="702180"/>
    <d v="2025-10-14T10:55:59"/>
    <s v=""/>
    <s v=""/>
    <s v="Ticket Amount Error"/>
    <s v=""/>
  </r>
  <r>
    <s v="4628-1152941"/>
    <s v="Cain Electric Supply CORP"/>
    <x v="0"/>
    <s v="Roy McNutt"/>
    <s v="Ritthy Son"/>
    <s v="Electrical Materials"/>
    <s v="8501141"/>
    <s v="AC-AC"/>
    <s v=""/>
    <s v="USD"/>
    <n v="166.43"/>
    <s v=""/>
    <s v="1"/>
    <s v="TB TY5275MX"/>
    <s v="18IN NYL BLK CBL TIE 50PK"/>
    <s v=""/>
    <d v="2025-10-08T19:04:22"/>
    <d v="2025-10-08T08:00:00"/>
    <d v="2025-10-08T08:00:00"/>
    <s v=""/>
    <s v="Orvis 37-36 B 3WA"/>
    <s v=""/>
    <s v=""/>
    <s v=""/>
    <s v=""/>
    <s v=""/>
    <s v=""/>
    <s v=""/>
    <s v=""/>
    <s v=""/>
    <s v=""/>
    <s v=""/>
    <s v=""/>
    <s v=""/>
    <s v=""/>
    <s v=""/>
    <s v=""/>
    <s v=""/>
    <s v=""/>
    <s v=""/>
    <s v=""/>
    <s v=""/>
    <s v=""/>
    <s v="Material"/>
    <s v=""/>
    <s v=""/>
    <s v=""/>
    <s v="AC-002070AC"/>
    <s v="ORVIS 37-36 B 3WA - ESP2RP"/>
    <s v="AC-AC"/>
    <s v="1046"/>
    <s v=""/>
    <s v=""/>
    <s v=""/>
    <s v=""/>
    <s v=""/>
    <s v=""/>
    <s v=""/>
    <n v="150"/>
    <s v="EA"/>
    <n v="1.1100000000000001"/>
    <s v=""/>
    <n v="166.43"/>
    <s v="--multiple--"/>
    <s v="703819"/>
    <d v="2025-10-10T09:15:04"/>
    <s v=""/>
    <s v=""/>
    <s v=""/>
    <s v=""/>
  </r>
  <r>
    <s v="424362"/>
    <s v="Diamond Pump and Transport, LLC"/>
    <x v="5"/>
    <s v="Sashia Baeza"/>
    <s v="Javier Barrera"/>
    <s v="424362-RU TO LINE SPEARHEAD DRUMP HW LINE"/>
    <s v="5051026"/>
    <s v="Upstream"/>
    <s v=""/>
    <s v="USD"/>
    <n v="1715"/>
    <s v="Direct Entry"/>
    <s v="1"/>
    <s v="Hot Oil Truck w/ Operator"/>
    <s v="Hot Oil Truck w/ Operator"/>
    <s v=""/>
    <d v="2025-10-01T12:03:41"/>
    <d v="2025-09-30T07:45:00"/>
    <d v="2025-09-30T21:30:00"/>
    <s v=""/>
    <s v="WATCHMAN 30 26 E 5SB"/>
    <s v=""/>
    <s v=""/>
    <s v=""/>
    <s v=""/>
    <s v=""/>
    <s v=""/>
    <s v=""/>
    <s v=""/>
    <s v=""/>
    <s v=""/>
    <s v=""/>
    <s v=""/>
    <s v=""/>
    <s v=""/>
    <s v=""/>
    <s v=""/>
    <s v=""/>
    <s v=""/>
    <s v=""/>
    <s v=""/>
    <s v=""/>
    <s v=""/>
    <s v="Equipment"/>
    <s v=""/>
    <s v=""/>
    <s v=""/>
    <s v="1000674900"/>
    <s v="WATCHMAN 30-26 E 5SB"/>
    <s v="Upstream"/>
    <s v="1046"/>
    <s v=""/>
    <s v=""/>
    <s v=""/>
    <s v=""/>
    <s v=""/>
    <s v=""/>
    <s v=""/>
    <n v="14"/>
    <s v="HR"/>
    <n v="110"/>
    <s v=""/>
    <n v="1540"/>
    <s v="Pricebook"/>
    <s v="705890"/>
    <d v="2025-10-01T12:05:10"/>
    <s v=""/>
    <s v=""/>
    <s v=""/>
    <s v=""/>
  </r>
  <r>
    <s v="35509"/>
    <s v="Raider Pump &amp; Supply Inc"/>
    <x v="0"/>
    <s v="Banny Wiebe"/>
    <s v="Ruben Alonso"/>
    <s v="5 GALLON DEGREASER, RUBBER SQUEEGEE"/>
    <s v="5051049"/>
    <s v="Upstream"/>
    <s v=""/>
    <s v="USD"/>
    <n v="236.96"/>
    <s v="Direct Entry"/>
    <s v="1"/>
    <s v="LUB-HOT-5"/>
    <s v="5 GALLON, HOTTER N HELL, DEGREASER"/>
    <s v=""/>
    <d v="2025-09-29T07:10:11"/>
    <d v="2025-09-09T00:00:00"/>
    <d v="2025-09-09T00:00:00"/>
    <s v=""/>
    <s v=""/>
    <s v=""/>
    <s v=""/>
    <s v=""/>
    <s v=""/>
    <s v=""/>
    <s v=""/>
    <s v=""/>
    <s v=""/>
    <s v=""/>
    <s v=""/>
    <s v=""/>
    <s v=""/>
    <s v=""/>
    <s v=""/>
    <s v=""/>
    <s v=""/>
    <s v=""/>
    <s v=""/>
    <s v=""/>
    <s v=""/>
    <s v=""/>
    <s v=""/>
    <s v="Material"/>
    <s v=""/>
    <s v=""/>
    <s v=""/>
    <s v="8000118900"/>
    <s v="SMITH JALONICK FACILITY"/>
    <s v="Upstream"/>
    <s v="1046"/>
    <s v=""/>
    <s v=""/>
    <s v=""/>
    <s v=""/>
    <s v=""/>
    <s v=""/>
    <s v=""/>
    <n v="1"/>
    <s v="each"/>
    <n v="126"/>
    <s v=""/>
    <n v="126"/>
    <s v="E-Maintenance"/>
    <s v="703264"/>
    <d v="2025-09-29T07:11:13"/>
    <s v=""/>
    <s v=""/>
    <s v=""/>
    <s v=""/>
  </r>
  <r>
    <s v="429158"/>
    <s v="Diamond Pump and Transport, LLC"/>
    <x v="0"/>
    <s v="Sashia Baeza"/>
    <s v="Javier Barrera"/>
    <s v="429158-LOAD PW TO LOC LOAD AND TEST WELL"/>
    <s v="5051057"/>
    <s v="Upstream"/>
    <s v=""/>
    <s v="USD"/>
    <n v="459"/>
    <s v="Direct Entry"/>
    <s v="1"/>
    <s v="PUMP TRUCK"/>
    <s v="Pump Truck"/>
    <s v="GENERAL"/>
    <d v="2025-10-11T09:41:02"/>
    <d v="2025-10-08T15:30:00"/>
    <d v="2025-10-08T20:00:00"/>
    <s v=""/>
    <s v="ST LONG 8 7 1WA"/>
    <s v=""/>
    <s v=""/>
    <s v=""/>
    <s v=""/>
    <s v=""/>
    <s v=""/>
    <s v=""/>
    <s v=""/>
    <s v=""/>
    <s v=""/>
    <s v=""/>
    <s v=""/>
    <s v=""/>
    <s v=""/>
    <s v=""/>
    <s v=""/>
    <s v=""/>
    <s v=""/>
    <s v=""/>
    <s v=""/>
    <s v=""/>
    <s v=""/>
    <s v="Equipment"/>
    <s v=""/>
    <s v=""/>
    <s v=""/>
    <s v="1000208900"/>
    <s v="STATE LONGS 8-7 UNIT 1WA"/>
    <s v="Upstream"/>
    <s v="1046"/>
    <s v=""/>
    <s v=""/>
    <s v=""/>
    <s v=""/>
    <s v=""/>
    <s v=""/>
    <s v=""/>
    <n v="4.5"/>
    <s v="HR"/>
    <n v="102"/>
    <s v=""/>
    <n v="459"/>
    <s v="Pricebook"/>
    <s v="705890"/>
    <d v="2025-10-11T09:42:15"/>
    <s v=""/>
    <s v=""/>
    <s v=""/>
    <s v=""/>
  </r>
  <r>
    <s v="34944"/>
    <s v="Raider Pump &amp; Supply Inc"/>
    <x v="5"/>
    <s v="Chris Mendoza"/>
    <s v="Ruben Alonso"/>
    <s v="XXH NIPPLE, RAGS, WIRE BRUSH"/>
    <s v="5051049"/>
    <s v="Upstream"/>
    <s v="148960"/>
    <s v="USD"/>
    <n v="67.63"/>
    <s v="Direct Entry"/>
    <s v="1"/>
    <s v="PLN-100-08-XXH"/>
    <s v="1 X 8 XXH NIPPLE"/>
    <s v=""/>
    <d v="2025-09-05T10:40:58"/>
    <d v="2025-08-19T00:00:00"/>
    <d v="2025-08-19T00:00:00"/>
    <s v=""/>
    <s v=""/>
    <s v=""/>
    <s v=""/>
    <s v=""/>
    <s v=""/>
    <s v=""/>
    <s v=""/>
    <s v=""/>
    <s v=""/>
    <s v=""/>
    <s v=""/>
    <s v=""/>
    <s v=""/>
    <s v=""/>
    <s v=""/>
    <s v=""/>
    <s v=""/>
    <s v=""/>
    <s v=""/>
    <s v=""/>
    <s v=""/>
    <s v=""/>
    <s v=""/>
    <s v="Material"/>
    <s v=""/>
    <s v=""/>
    <s v=""/>
    <s v="1001300800"/>
    <s v="GRAHAM 48 2"/>
    <s v="Upstream"/>
    <s v="1046"/>
    <s v=""/>
    <s v=""/>
    <s v=""/>
    <s v=""/>
    <s v=""/>
    <s v=""/>
    <s v=""/>
    <n v="1"/>
    <s v="each"/>
    <n v="18.37"/>
    <s v=""/>
    <n v="18.37"/>
    <s v="E-Maintenance"/>
    <s v="703264"/>
    <d v="2025-10-13T09:11:16"/>
    <s v=""/>
    <s v=""/>
    <s v="Requisitioner Error"/>
    <s v=""/>
  </r>
  <r>
    <s v="35387"/>
    <s v="Raider Pump &amp; Supply Inc"/>
    <x v="6"/>
    <s v="Chris Mendoza"/>
    <s v="Ruben Alonso"/>
    <s v="XH NIPPLES, XH 90, HAMMER UNION"/>
    <s v="5051049"/>
    <s v="Upstream"/>
    <s v="155464"/>
    <s v="USD"/>
    <n v="72.72"/>
    <s v="Direct Entry"/>
    <s v="1"/>
    <s v="PLN-100-03-XH"/>
    <s v="1 X 3 XH NIPPLE"/>
    <s v=""/>
    <d v="2025-09-22T09:48:29"/>
    <d v="2025-09-04T00:00:00"/>
    <d v="2025-09-04T00:00:00"/>
    <s v=""/>
    <s v=""/>
    <s v=""/>
    <s v=""/>
    <s v=""/>
    <s v=""/>
    <s v=""/>
    <s v=""/>
    <s v=""/>
    <s v=""/>
    <s v=""/>
    <s v=""/>
    <s v=""/>
    <s v=""/>
    <s v=""/>
    <s v=""/>
    <s v=""/>
    <s v=""/>
    <s v=""/>
    <s v=""/>
    <s v=""/>
    <s v=""/>
    <s v=""/>
    <s v=""/>
    <s v="Material"/>
    <s v=""/>
    <s v=""/>
    <s v=""/>
    <s v="8000104000"/>
    <s v="LB EPLEY 34-46 H BATTERY"/>
    <s v="Upstream"/>
    <s v="1046"/>
    <s v=""/>
    <s v=""/>
    <s v=""/>
    <s v=""/>
    <s v=""/>
    <s v=""/>
    <s v=""/>
    <n v="4"/>
    <s v="EA"/>
    <n v="2.2999999999999998"/>
    <s v=""/>
    <n v="9.1999999999999993"/>
    <s v="E-Maintenance"/>
    <s v="703264"/>
    <d v="2025-10-13T09:12:10"/>
    <s v=""/>
    <s v=""/>
    <s v="Requisitioner Error"/>
    <s v=""/>
  </r>
  <r>
    <s v="205870"/>
    <s v="Basin Trucking LLC"/>
    <x v="7"/>
    <s v="Chris Mendoza"/>
    <s v="Ruben Alonso"/>
    <s v="Drove to location and drained line so crew could change values got 30bbls in totalm then drove to disposal to unload."/>
    <s v="5051049"/>
    <s v="Upstream"/>
    <s v="158030"/>
    <s v="USD"/>
    <n v="220.5"/>
    <s v="Direct Entry"/>
    <s v="1"/>
    <s v="Vac Truck"/>
    <s v="Vac Truck"/>
    <s v=""/>
    <d v="2025-09-30T20:24:04"/>
    <d v="2025-09-11T09:30:00"/>
    <d v="2025-09-11T11:45:00"/>
    <d v="1899-12-30T02:15:00"/>
    <s v="Dickenson A SN 20-17 06 606H"/>
    <s v=""/>
    <s v=""/>
    <s v="Vacuum"/>
    <s v=""/>
    <s v=""/>
    <s v=""/>
    <s v=""/>
    <s v=""/>
    <s v=""/>
    <s v=""/>
    <s v=""/>
    <s v=""/>
    <s v=""/>
    <s v=""/>
    <s v=""/>
    <s v=""/>
    <s v=""/>
    <s v=""/>
    <s v=""/>
    <s v=""/>
    <n v="0"/>
    <s v="bbl"/>
    <s v=""/>
    <s v=""/>
    <s v=""/>
    <s v=""/>
    <s v="1000074500"/>
    <s v="DICKENSON A SN 20-17 06 606H"/>
    <s v="Upstream"/>
    <s v="1046"/>
    <s v=""/>
    <s v=""/>
    <s v=""/>
    <s v=""/>
    <s v=""/>
    <s v=""/>
    <s v="Other"/>
    <n v="2.25"/>
    <s v="HR"/>
    <n v="88"/>
    <s v=""/>
    <n v="198"/>
    <s v="--multiple--"/>
    <s v="703517"/>
    <d v="2025-10-14T09:40:56"/>
    <s v=""/>
    <s v=""/>
    <s v="Electronic Field Ticket Issue | Ticket Reference Error"/>
    <s v=""/>
  </r>
  <r>
    <s v="ML19689"/>
    <s v="ML POWER LLC"/>
    <x v="8"/>
    <s v="Stephen Mitchell"/>
    <s v="Jesse Melendez"/>
    <s v="Circulating pump was not working. Drove to gas station to fuel up work truck. Voltage was good. Overload tripped. I reset the overload. Circulating pump kicked on. Evans 33 Battery is good to go! All stops and trips were made for the Evans 33 Battery."/>
    <s v="5051044"/>
    <s v="Upstream"/>
    <s v=""/>
    <s v="USD"/>
    <n v="221"/>
    <s v="API"/>
    <s v="1"/>
    <s v="Electrician-OT"/>
    <s v="Electrician-OT"/>
    <s v=""/>
    <d v="2025-10-03T15:07:25"/>
    <d v="2025-09-26T19:15:00"/>
    <d v="2025-09-26T20:15:00"/>
    <s v=""/>
    <s v=""/>
    <s v=""/>
    <s v=""/>
    <s v=""/>
    <s v=""/>
    <s v=""/>
    <s v=""/>
    <s v=""/>
    <s v=""/>
    <s v=""/>
    <s v=""/>
    <s v=""/>
    <s v=""/>
    <s v=""/>
    <s v=""/>
    <s v=""/>
    <s v=""/>
    <s v=""/>
    <s v=""/>
    <s v=""/>
    <s v=""/>
    <s v=""/>
    <s v=""/>
    <s v="Labor"/>
    <s v=""/>
    <s v="595273"/>
    <s v=""/>
    <s v="8300180100"/>
    <s v="EVANS 33 BATTERY"/>
    <s v="Upstream"/>
    <s v="1046"/>
    <s v=""/>
    <s v=""/>
    <s v=""/>
    <s v=""/>
    <s v=""/>
    <s v=""/>
    <s v=""/>
    <n v="1"/>
    <s v="HR"/>
    <n v="99"/>
    <s v=""/>
    <n v="99"/>
    <s v="--multiple--"/>
    <s v="706076"/>
    <d v="2025-10-06T14:27:43"/>
    <s v=""/>
    <s v=""/>
    <s v=""/>
    <s v=""/>
  </r>
  <r>
    <s v="F05999"/>
    <s v="Warrior Technologies, LLC"/>
    <x v="7"/>
    <s v="Cody Palk"/>
    <s v="Ruben Alonso"/>
    <s v="ROUSTABOUT WORK - DROVE TO LOCATION, ASSISTED CRANE CO W/ CONNECTING WELL BACK ON."/>
    <s v="5051062"/>
    <s v="Upstream"/>
    <s v="157706"/>
    <s v="USD"/>
    <n v="405"/>
    <s v="B2B"/>
    <s v="1"/>
    <s v="1400000"/>
    <s v="Crew W/ Truck - 3 Man"/>
    <s v=""/>
    <d v="2025-10-09T16:51:16"/>
    <d v="2025-09-12T13:00:00"/>
    <d v="2025-09-12T16:00:00"/>
    <s v=""/>
    <s v="SADLER DORIS 16 2"/>
    <s v=""/>
    <s v=""/>
    <s v=""/>
    <s v=""/>
    <s v=""/>
    <s v=""/>
    <s v=""/>
    <s v=""/>
    <s v=""/>
    <s v=""/>
    <s v=""/>
    <s v=""/>
    <s v=""/>
    <s v=""/>
    <s v=""/>
    <s v=""/>
    <s v=""/>
    <s v=""/>
    <s v=""/>
    <s v=""/>
    <s v=""/>
    <s v=""/>
    <s v="Labor"/>
    <s v=""/>
    <s v=""/>
    <s v=""/>
    <s v="1001840500"/>
    <s v="SADLER DORIS 16 2"/>
    <s v="Upstream"/>
    <s v="1046"/>
    <s v=""/>
    <s v=""/>
    <s v=""/>
    <s v=""/>
    <s v=""/>
    <s v=""/>
    <s v=""/>
    <n v="3"/>
    <s v="HR"/>
    <n v="135"/>
    <s v=""/>
    <n v="405"/>
    <s v="Pricebook"/>
    <s v="712996"/>
    <d v="2025-10-13T14:45:35"/>
    <s v=""/>
    <s v=""/>
    <s v="Service Date/Time Issue"/>
    <s v=""/>
  </r>
  <r>
    <s v="52499"/>
    <s v="Redhead Services LLC"/>
    <x v="6"/>
    <s v="Cody Palk"/>
    <s v="Ruben Alonso"/>
    <s v="Monthly Pm Service"/>
    <s v="5051064"/>
    <s v="Upstream"/>
    <s v="164567"/>
    <s v="USD"/>
    <n v="385"/>
    <s v="B2B"/>
    <s v="1"/>
    <s v="Oil Change"/>
    <s v="Monthly Service PM"/>
    <s v=""/>
    <d v="2025-10-07T13:28:02"/>
    <d v="2025-10-06T00:00:00"/>
    <d v="2025-10-06T00:00:00"/>
    <s v=""/>
    <s v="Hazelwood H 41-32"/>
    <s v=""/>
    <s v=""/>
    <s v=""/>
    <s v=""/>
    <s v=""/>
    <s v=""/>
    <s v=""/>
    <s v=""/>
    <s v=""/>
    <s v=""/>
    <s v=""/>
    <s v=""/>
    <s v=""/>
    <s v=""/>
    <s v=""/>
    <s v=""/>
    <s v=""/>
    <s v=""/>
    <s v=""/>
    <s v=""/>
    <s v=""/>
    <s v=""/>
    <s v="Labor"/>
    <s v=""/>
    <s v=""/>
    <s v=""/>
    <s v="8300106800"/>
    <s v="HAZLEWOOD H 41-32 BATTERY"/>
    <s v="Upstream"/>
    <s v="1046"/>
    <s v=""/>
    <s v=""/>
    <s v=""/>
    <s v=""/>
    <s v=""/>
    <s v=""/>
    <s v="Other"/>
    <n v="1"/>
    <s v="each"/>
    <n v="385"/>
    <s v=""/>
    <n v="385"/>
    <s v="--multiple--"/>
    <s v="709146"/>
    <d v="2025-10-07T13:33:04"/>
    <s v=""/>
    <s v=""/>
    <s v=""/>
    <s v=""/>
  </r>
  <r>
    <s v="25093501"/>
    <s v="Lone Star Instrumentation &amp; Electric Corp"/>
    <x v="1"/>
    <s v="Taylor Smith"/>
    <s v="Mark Allcorn"/>
    <s v="WORK DESCRIPTION:Drove to location and inspected site. Ohmed out motor and motor was good. Checked power and was single phasing. Traced lines around locations and found a cut off. Cut off had a blown fuse and was broken piece on top and could not be replaced. Called in OTI for them to swap arrester and fuse"/>
    <s v="5051044"/>
    <s v="Upstream"/>
    <s v=""/>
    <s v="USD"/>
    <n v="1078.5"/>
    <s v="B2B"/>
    <s v="1"/>
    <s v=""/>
    <s v="Qualified Electrician"/>
    <s v=""/>
    <d v="2025-10-03T09:00:15"/>
    <d v="2025-09-24T13:00:00"/>
    <d v="2025-09-24T18:30:00"/>
    <s v=""/>
    <s v="TUNNELL 6 WELL 2"/>
    <s v=""/>
    <s v=""/>
    <s v=""/>
    <s v=""/>
    <s v=""/>
    <s v=""/>
    <s v=""/>
    <s v=""/>
    <s v=""/>
    <s v=""/>
    <s v=""/>
    <s v=""/>
    <s v=""/>
    <s v=""/>
    <s v=""/>
    <s v=""/>
    <s v=""/>
    <s v=""/>
    <s v=""/>
    <s v=""/>
    <s v=""/>
    <s v=""/>
    <s v="Labor"/>
    <s v=""/>
    <s v=""/>
    <s v=""/>
    <s v="1001370700"/>
    <s v="TUNNELL 6 2"/>
    <s v="Upstream"/>
    <s v="1046"/>
    <s v=""/>
    <s v=""/>
    <s v=""/>
    <s v=""/>
    <s v=""/>
    <s v=""/>
    <s v=""/>
    <n v="1.5"/>
    <s v="HR"/>
    <n v="65"/>
    <s v=""/>
    <n v="97.5"/>
    <s v="--multiple--"/>
    <s v="708305"/>
    <d v="2025-10-07T15:38:21"/>
    <s v=""/>
    <s v=""/>
    <s v=""/>
    <s v=""/>
  </r>
  <r>
    <s v="25054818"/>
    <s v="Lone Star Instrumentation &amp; Electric Corp"/>
    <x v="7"/>
    <s v="Taylor Smith"/>
    <s v="Mark Allcorn"/>
    <s v="WORK DESCRIPTION:The submitted ticket stated there were no comms on gas meter on any separator_x000d__x000a_to PLC, we drove to site, we checked the gas meters, we found out they were daisy_x000d__x000a_channel and going into the totalflow and from the totalflow we were sending the_x000d__x000a_values to PLC through TCPIP, so we compare the values from each tube to PLC_x000d__x000a_and HMI values. When we called operator to come and verify the values that was_x000d__x000a_when we were told there were no gas value in cygnet, we then called cygnet and_x000d__x000a_cygnet techs will be updating addresses and data tags so they can populate the_x000d__x000a_right values."/>
    <s v="5051043"/>
    <s v="Upstream"/>
    <s v=""/>
    <s v="USD"/>
    <n v="581"/>
    <s v="B2B"/>
    <s v="1"/>
    <s v=""/>
    <s v="PROGRAMMER-PRINCIPAL"/>
    <s v=""/>
    <d v="2025-10-03T09:00:14"/>
    <d v="2025-09-24T13:30:00"/>
    <d v="2025-09-24T16:30:00"/>
    <s v=""/>
    <s v="MCALPINE GRISHAM 47-35 UNIT 2 CTB"/>
    <s v=""/>
    <s v=""/>
    <s v=""/>
    <s v=""/>
    <s v=""/>
    <s v=""/>
    <s v=""/>
    <s v=""/>
    <s v=""/>
    <s v=""/>
    <s v=""/>
    <s v=""/>
    <s v=""/>
    <s v=""/>
    <s v=""/>
    <s v=""/>
    <s v=""/>
    <s v=""/>
    <s v=""/>
    <s v=""/>
    <s v=""/>
    <s v=""/>
    <s v="Labor"/>
    <s v=""/>
    <s v=""/>
    <s v=""/>
    <s v="8300189700"/>
    <s v="MCALPINE-GRISHAM 47-35 UNIT 2 CTB"/>
    <s v="Upstream"/>
    <s v="1046"/>
    <s v=""/>
    <s v=""/>
    <s v=""/>
    <s v=""/>
    <s v=""/>
    <s v=""/>
    <s v=""/>
    <n v="1"/>
    <s v="HR"/>
    <n v="115"/>
    <s v=""/>
    <n v="115"/>
    <s v="--multiple--"/>
    <s v="708305"/>
    <d v="2025-10-09T08:44:13"/>
    <s v=""/>
    <s v=""/>
    <s v=""/>
    <s v=""/>
  </r>
  <r>
    <s v="25054820"/>
    <s v="Lone Star Instrumentation &amp; Electric Corp"/>
    <x v="7"/>
    <s v="Taylor Smith"/>
    <s v="Mark Allcorn"/>
    <s v="WORK DESCRIPTION:The submitted ticked stated no comms to XSPOC, we drove to site, we opened_x000d__x000a_the pump controller, we checked power on POE, we disconnected the ethernet_x000d__x000a_cables on POE and the PLC, we realized every communication light started_x000d__x000a_blinking or talking, we called ignition to find out if communication have been_x000d__x000a_restored with the well but did not get a response, we will check it again the_x000d__x000a_following morning."/>
    <s v="5051043"/>
    <s v="Upstream"/>
    <s v=""/>
    <s v="USD"/>
    <n v="434"/>
    <s v="B2B"/>
    <s v="1"/>
    <s v=""/>
    <s v="PROGRAMMER-PRINCIPAL OT/HOLIDAY/WEEKEND"/>
    <s v=""/>
    <d v="2025-10-03T09:00:26"/>
    <d v="2025-09-24T16:30:00"/>
    <d v="2025-09-24T18:30:00"/>
    <s v=""/>
    <s v="LAFAYETTE 2 WELL 203"/>
    <s v=""/>
    <s v=""/>
    <s v=""/>
    <s v=""/>
    <s v=""/>
    <s v=""/>
    <s v=""/>
    <s v=""/>
    <s v=""/>
    <s v=""/>
    <s v=""/>
    <s v=""/>
    <s v=""/>
    <s v=""/>
    <s v=""/>
    <s v=""/>
    <s v=""/>
    <s v=""/>
    <s v=""/>
    <s v=""/>
    <s v=""/>
    <s v=""/>
    <s v="Labor"/>
    <s v=""/>
    <s v=""/>
    <s v=""/>
    <s v="1001123100"/>
    <s v="LAFAYETTE 2 203 WA"/>
    <s v="Upstream"/>
    <s v="1046"/>
    <s v=""/>
    <s v=""/>
    <s v=""/>
    <s v=""/>
    <s v=""/>
    <s v=""/>
    <s v=""/>
    <n v="2"/>
    <s v="HR"/>
    <n v="172.5"/>
    <s v=""/>
    <n v="345"/>
    <s v="--multiple--"/>
    <s v="708305"/>
    <d v="2025-10-09T08:49:03"/>
    <s v=""/>
    <s v=""/>
    <s v=""/>
    <s v=""/>
  </r>
  <r>
    <s v="25093439"/>
    <s v="Lone Star Instrumentation &amp; Electric Corp"/>
    <x v="5"/>
    <s v="Connor Gesell"/>
    <s v="Ruben Alonso"/>
    <s v="WORK DESCRIPTION : Drove to office and gathered equipment for location and drove to location and set up truck. Began to de energize unit and set brake to begin loosening all straps and brackets to remove old end devices, wrecked out all old equipment from unit and disconnected all services from j box, removed all flex and pulled out all old wire. Next began to string out new end devices and mounted them to designated brackets. Shot hilti studs into unit and installed straps as well to unit. Began to strap down all end devices going to j box and pulled in all services. Ran flex from controller to j box and strung out main communication services and pushed fish tape through flex, pulled in all services through flex and also ran new control wires to panel. Wrecked out old PT flex and services to run new services directly to controller. Verified all was secured down and began to strip back and terminate all inside of panel, controller, and j box, ran new PT service from PT to j box and terminated PT as well. Began to energize and run calibration on unit and transmitters, found all reading good and notified company man and closed up all equipment and left unit running in auto. Cleaned up all trash and left all as is."/>
    <s v="5051035"/>
    <s v="Upstream"/>
    <s v=""/>
    <s v="USD"/>
    <n v="1020"/>
    <s v="B2B"/>
    <s v="1"/>
    <s v=""/>
    <s v="TECHNICIAN III"/>
    <s v=""/>
    <d v="2025-10-03T08:59:33"/>
    <d v="2025-09-23T07:15:00"/>
    <d v="2025-09-23T13:15:00"/>
    <s v=""/>
    <s v="EISENHOWER 2 205 WA"/>
    <s v=""/>
    <s v=""/>
    <s v=""/>
    <s v=""/>
    <s v=""/>
    <s v=""/>
    <s v=""/>
    <s v=""/>
    <s v=""/>
    <s v=""/>
    <s v=""/>
    <s v=""/>
    <s v=""/>
    <s v=""/>
    <s v=""/>
    <s v=""/>
    <s v=""/>
    <s v=""/>
    <s v=""/>
    <s v=""/>
    <s v=""/>
    <s v=""/>
    <s v="Labor"/>
    <s v=""/>
    <s v=""/>
    <s v=""/>
    <s v="1001119200"/>
    <s v="EISENHOWER 2 205 WA"/>
    <s v="Upstream"/>
    <s v="1046"/>
    <s v=""/>
    <s v=""/>
    <s v=""/>
    <s v=""/>
    <s v=""/>
    <s v=""/>
    <s v=""/>
    <n v="6"/>
    <s v="HR"/>
    <n v="80"/>
    <s v=""/>
    <n v="480"/>
    <s v="--multiple--"/>
    <s v="708305"/>
    <d v="2025-10-14T13:02:48"/>
    <s v=""/>
    <s v=""/>
    <s v="Requisitioner Error"/>
    <s v=""/>
  </r>
  <r>
    <s v="35547"/>
    <s v="Raider Pump &amp; Supply Inc"/>
    <x v="0"/>
    <s v="Eduardo Lujan"/>
    <s v="Ruben Alonso"/>
    <s v="TRASH BAGS 42-48 GALLON"/>
    <s v="5051028"/>
    <s v="Upstream"/>
    <s v=""/>
    <s v="USD"/>
    <n v="36.39"/>
    <s v="Direct Entry"/>
    <s v="1"/>
    <s v="BTC-42-48"/>
    <s v="BAGS, TRASH CONTRACTOR, 42-48 GALLON"/>
    <s v=""/>
    <d v="2025-09-29T08:02:42"/>
    <d v="2025-09-10T00:00:00"/>
    <d v="2025-09-10T00:00:00"/>
    <s v=""/>
    <s v=""/>
    <s v=""/>
    <s v=""/>
    <s v=""/>
    <s v=""/>
    <s v=""/>
    <s v=""/>
    <s v=""/>
    <s v=""/>
    <s v=""/>
    <s v=""/>
    <s v=""/>
    <s v=""/>
    <s v=""/>
    <s v=""/>
    <s v=""/>
    <s v=""/>
    <s v=""/>
    <s v=""/>
    <s v=""/>
    <s v=""/>
    <s v=""/>
    <s v=""/>
    <s v="Material"/>
    <s v=""/>
    <s v=""/>
    <s v=""/>
    <s v="8000118900"/>
    <s v="SMITH JALONICK FACILITY"/>
    <s v="Upstream"/>
    <s v="1046"/>
    <s v=""/>
    <s v=""/>
    <s v=""/>
    <s v=""/>
    <s v=""/>
    <s v=""/>
    <s v=""/>
    <n v="1"/>
    <s v="EA"/>
    <n v="36.39"/>
    <s v=""/>
    <n v="36.39"/>
    <s v="E-Maintenance"/>
    <s v="703264"/>
    <d v="2025-09-29T08:04:11"/>
    <s v=""/>
    <s v=""/>
    <s v=""/>
    <s v=""/>
  </r>
  <r>
    <s v="16981"/>
    <s v="Grabeth Sales &amp; Service LLC"/>
    <x v="5"/>
    <s v="Eduardo Lujan"/>
    <s v="Ruben Alonso"/>
    <s v="Shop Repair_x000a_Ruben Alonso/Eduardo Lujan_x000a_FRM RTE- Alonso Ruben_x000a_212 SMA DB PO-D SN: 2213000098"/>
    <s v="5051049"/>
    <s v="Upstream"/>
    <s v=""/>
    <s v="USD"/>
    <n v="328.34"/>
    <s v="Direct Entry"/>
    <s v="1"/>
    <s v="BG-971450020"/>
    <s v="Repair Kit, 2&quot; P4500 Diaphragm Motor Valve, Belgas"/>
    <s v="Materials"/>
    <d v="2025-10-13T14:57:36"/>
    <d v="2025-09-12T00:00:00"/>
    <d v="2025-09-12T00:00:00"/>
    <s v=""/>
    <s v="FRM RTE-ALONSO RUBEN"/>
    <s v=""/>
    <s v=""/>
    <s v=""/>
    <s v=""/>
    <s v=""/>
    <s v=""/>
    <s v=""/>
    <s v=""/>
    <s v=""/>
    <s v=""/>
    <s v=""/>
    <s v=""/>
    <s v=""/>
    <s v=""/>
    <s v=""/>
    <s v=""/>
    <s v=""/>
    <s v=""/>
    <s v=""/>
    <s v=""/>
    <s v=""/>
    <s v=""/>
    <s v="Material"/>
    <s v=""/>
    <s v=""/>
    <s v=""/>
    <s v="9100020700"/>
    <s v="FRM RTE-ALONSO RUBEN"/>
    <s v="Upstream"/>
    <s v="1046"/>
    <s v=""/>
    <s v=""/>
    <s v=""/>
    <s v=""/>
    <s v=""/>
    <s v=""/>
    <s v=""/>
    <n v="1"/>
    <s v="each"/>
    <n v="37.11"/>
    <s v=""/>
    <n v="37.11"/>
    <s v="E-Maintenance"/>
    <s v="700827"/>
    <d v="2025-10-13T15:00:13"/>
    <s v=""/>
    <s v=""/>
    <s v=""/>
    <s v=""/>
  </r>
  <r>
    <s v="4769"/>
    <s v="Cap Tech Services LLC"/>
    <x v="5"/>
    <s v="Scott Glaze"/>
    <s v="Richard Garcia"/>
    <s v="10/16/24-Arrived at location, HSM review the JSA; we started pumping on the Cyclops 1-30 Unit 2 172 and it took pressure up to 10k, we tried to apply pressure a few times, but it is still plugged, the same was done with the Cyclops 1-30 unit 2 271 but it was also plugged; Cyclops 1-30 Unit 2 162 flushed ok."/>
    <s v="5051057"/>
    <s v="Upstream"/>
    <s v=""/>
    <s v="USD"/>
    <n v="870"/>
    <s v="Direct Entry"/>
    <s v="1"/>
    <s v="CTFM"/>
    <s v="External Capillary Flush Maintenance"/>
    <s v="Labor"/>
    <d v="2025-10-03T23:36:53"/>
    <d v="2024-10-16T08:00:00"/>
    <d v="2024-10-16T08:00:00"/>
    <s v=""/>
    <s v=""/>
    <s v=""/>
    <s v=""/>
    <s v=""/>
    <s v=""/>
    <s v=""/>
    <s v=""/>
    <s v=""/>
    <s v=""/>
    <s v=""/>
    <s v=""/>
    <s v=""/>
    <s v=""/>
    <s v=""/>
    <s v=""/>
    <s v=""/>
    <s v=""/>
    <s v=""/>
    <s v=""/>
    <s v=""/>
    <s v=""/>
    <s v=""/>
    <s v=""/>
    <s v="Labor"/>
    <s v=""/>
    <s v=""/>
    <s v=""/>
    <s v="1001633300"/>
    <s v="CYCLOPS 1-30 UNIT 2 172"/>
    <s v="Upstream"/>
    <s v="1046"/>
    <s v=""/>
    <s v=""/>
    <s v=""/>
    <s v=""/>
    <s v=""/>
    <s v=""/>
    <s v=""/>
    <n v="1"/>
    <s v="EA"/>
    <n v="240"/>
    <s v=""/>
    <n v="240"/>
    <s v="--multiple--"/>
    <s v="712011"/>
    <d v="2025-10-13T11:11:19"/>
    <s v=""/>
    <s v=""/>
    <s v=""/>
    <s v=""/>
  </r>
  <r>
    <s v="N11001877440"/>
    <s v="SES Holdings, LLC"/>
    <x v="1"/>
    <s v="Scott Glaze"/>
    <s v="Richard Garcia"/>
    <s v="SLAUGHTER 2 BATTERY; Haul Production Water; Scott Glaze"/>
    <s v="5051054"/>
    <s v="Upstream"/>
    <s v=""/>
    <s v="USD"/>
    <n v="537.4"/>
    <s v=""/>
    <s v="1"/>
    <s v="10-1223HRS"/>
    <s v="TP-Pick-Up Production / Lease Water"/>
    <s v="Transport"/>
    <d v="2025-10-07T10:55:53"/>
    <d v="2025-09-23T06:30:00"/>
    <d v="2025-09-23T11:15:00"/>
    <d v="1899-12-30T04:45:00"/>
    <s v="SLAUGHTER 2 BATTERY"/>
    <s v="N32000318970"/>
    <s v="CAVE SWD"/>
    <s v="Production / Lease / Salt Water"/>
    <s v=""/>
    <s v=""/>
    <s v=""/>
    <s v=""/>
    <n v="5"/>
    <n v="0"/>
    <n v="1"/>
    <n v="6"/>
    <s v=""/>
    <s v=""/>
    <s v=""/>
    <s v=""/>
    <s v=""/>
    <s v=""/>
    <s v=""/>
    <s v=""/>
    <s v=""/>
    <n v="120"/>
    <s v="bbl"/>
    <s v=""/>
    <s v=""/>
    <s v=""/>
    <s v=""/>
    <s v="8300197800"/>
    <s v="SLAUGHTER 2 1 BATTERY"/>
    <s v="Upstream"/>
    <s v="1046"/>
    <s v=""/>
    <s v=""/>
    <s v=""/>
    <s v=""/>
    <s v=""/>
    <s v=""/>
    <s v="Other"/>
    <n v="4.75"/>
    <s v="HRS"/>
    <n v="100"/>
    <s v=""/>
    <n v="475"/>
    <s v="--multiple--"/>
    <s v="700224"/>
    <d v="2025-10-07T10:55:53"/>
    <s v=""/>
    <s v=""/>
    <s v=""/>
    <s v=""/>
  </r>
  <r>
    <s v="N11001869486"/>
    <s v="SES Holdings, LLC"/>
    <x v="1"/>
    <s v="Scott Glaze"/>
    <s v="Richard Garcia"/>
    <s v="HAMBRICK 1A BATTERY; Haul Production Water; Scott Glaze"/>
    <s v="5051054"/>
    <s v="Upstream"/>
    <s v=""/>
    <s v="USD"/>
    <n v="208.8"/>
    <s v=""/>
    <s v="1"/>
    <s v="10-1223HRS"/>
    <s v="TP-Pick-Up Production / Lease Water"/>
    <s v="Transport"/>
    <d v="2025-10-07T10:55:20"/>
    <d v="2025-09-23T14:00:00"/>
    <d v="2025-09-23T15:45:00"/>
    <d v="1899-12-30T01:45:00"/>
    <s v="HAMBRICK 1A BATTERY"/>
    <s v="N32000318966"/>
    <s v="Wright SWD"/>
    <s v="Production / Lease / Salt Water"/>
    <s v=""/>
    <s v=""/>
    <s v=""/>
    <s v=""/>
    <n v="3"/>
    <n v="0"/>
    <n v="1"/>
    <n v="1"/>
    <s v=""/>
    <s v=""/>
    <s v=""/>
    <s v=""/>
    <s v=""/>
    <s v=""/>
    <s v=""/>
    <s v=""/>
    <s v=""/>
    <n v="65"/>
    <s v="bbl"/>
    <s v=""/>
    <s v=""/>
    <s v=""/>
    <s v=""/>
    <s v="8300105700"/>
    <s v="HAMBRICK 1A 1 BATTERY"/>
    <s v="Upstream"/>
    <s v="1046"/>
    <s v=""/>
    <s v=""/>
    <s v=""/>
    <s v=""/>
    <s v=""/>
    <s v=""/>
    <s v="Other"/>
    <n v="1.75"/>
    <s v="HRS"/>
    <n v="100"/>
    <s v=""/>
    <n v="175"/>
    <s v="--multiple--"/>
    <s v="700224"/>
    <d v="2025-10-07T10:55:20"/>
    <s v=""/>
    <s v=""/>
    <s v=""/>
    <s v=""/>
  </r>
  <r>
    <s v="N11001878838"/>
    <s v="SES Holdings, LLC"/>
    <x v="1"/>
    <s v="Scott Glaze"/>
    <s v="Richard Garcia"/>
    <s v="SLAUGHTER C 2 BATTERY; Haul Production Water; Scott Glaze"/>
    <s v="5051054"/>
    <s v="Upstream"/>
    <s v=""/>
    <s v="USD"/>
    <n v="202"/>
    <s v=""/>
    <s v="1"/>
    <s v="10-1223HRS"/>
    <s v="TP-Pick-Up Production / Lease Water"/>
    <s v="Transport"/>
    <d v="2025-10-07T10:54:33"/>
    <d v="2025-09-23T15:45:00"/>
    <d v="2025-09-23T17:15:00"/>
    <d v="1899-12-30T01:30:00"/>
    <s v="SLAUGHTER C 2 BATTERY"/>
    <s v="N32000318967"/>
    <s v="CAVE SWD"/>
    <s v="Production / Lease / Salt Water"/>
    <s v=""/>
    <s v=""/>
    <s v=""/>
    <s v=""/>
    <n v="6"/>
    <n v="8"/>
    <n v="1"/>
    <n v="8"/>
    <s v=""/>
    <s v=""/>
    <s v=""/>
    <s v=""/>
    <s v=""/>
    <s v=""/>
    <s v=""/>
    <s v=""/>
    <s v=""/>
    <n v="100"/>
    <s v="bbl"/>
    <s v=""/>
    <s v=""/>
    <s v=""/>
    <s v=""/>
    <s v="8300152800"/>
    <s v="SLAUGHTER C 2 1 BATTERY"/>
    <s v="Upstream"/>
    <s v="1046"/>
    <s v=""/>
    <s v=""/>
    <s v=""/>
    <s v=""/>
    <s v=""/>
    <s v=""/>
    <s v="Other"/>
    <n v="1.5"/>
    <s v="HRS"/>
    <n v="100"/>
    <s v=""/>
    <n v="150"/>
    <s v="--multiple--"/>
    <s v="700224"/>
    <d v="2025-10-07T10:54:33"/>
    <s v=""/>
    <s v=""/>
    <s v=""/>
    <s v=""/>
  </r>
  <r>
    <s v="194384100"/>
    <s v="Dunagin Transport Company"/>
    <x v="3"/>
    <s v="Scott Glaze"/>
    <s v="Richard Garcia"/>
    <s v="CAVE 9N, HAULED 120 BBLS PW TO FLOWERGROVE SWD."/>
    <s v="5051054"/>
    <s v="Upstream"/>
    <s v=""/>
    <s v="USD"/>
    <n v="200"/>
    <s v="Direct Entry"/>
    <s v="1"/>
    <s v="Vacuum Truck"/>
    <s v="Vacuum Truck"/>
    <s v=""/>
    <d v="2025-10-13T10:38:53"/>
    <d v="2025-09-26T13:30:00"/>
    <d v="2025-09-26T15:30:00"/>
    <d v="1899-12-30T02:00:00"/>
    <s v="CAVE 9N"/>
    <s v=""/>
    <s v=""/>
    <s v="PRODUCED WATER"/>
    <s v=""/>
    <s v=""/>
    <s v=""/>
    <s v=""/>
    <s v=""/>
    <s v=""/>
    <s v=""/>
    <s v=""/>
    <s v=""/>
    <s v=""/>
    <s v=""/>
    <s v=""/>
    <s v=""/>
    <s v=""/>
    <s v=""/>
    <s v=""/>
    <s v=""/>
    <n v="120"/>
    <s v="bbl"/>
    <s v=""/>
    <s v=""/>
    <s v=""/>
    <s v=""/>
    <s v="8300087400"/>
    <s v="CAVE 9N BATTERY"/>
    <s v="Upstream"/>
    <s v="1046"/>
    <s v=""/>
    <s v=""/>
    <s v=""/>
    <s v=""/>
    <s v=""/>
    <s v=""/>
    <s v="Hours Worked"/>
    <n v="2"/>
    <s v="hour"/>
    <n v="100"/>
    <s v=""/>
    <n v="200"/>
    <s v="--multiple--"/>
    <s v="704012"/>
    <d v="2025-10-13T10:48:37"/>
    <s v=""/>
    <s v=""/>
    <s v=""/>
    <s v=""/>
  </r>
  <r>
    <s v="35739"/>
    <s v="Raider Pump &amp; Supply Inc"/>
    <x v="5"/>
    <s v="Eduardo Lujan"/>
    <s v="Ruben Alonso"/>
    <s v="GLOVES, GAUGE LINE, GAUGE PLUMB BOB"/>
    <s v="5051028"/>
    <s v="Upstream"/>
    <s v=""/>
    <s v="USD"/>
    <n v="1302.07"/>
    <s v="Direct Entry"/>
    <s v="1"/>
    <s v="TSUNAMI-GLOVES"/>
    <s v="TSUMAMI GLOVES"/>
    <s v=""/>
    <d v="2025-10-10T10:24:30"/>
    <d v="2025-09-18T00:00:00"/>
    <d v="2025-09-18T00:00:00"/>
    <s v=""/>
    <s v=""/>
    <s v=""/>
    <s v=""/>
    <s v=""/>
    <s v=""/>
    <s v=""/>
    <s v=""/>
    <s v=""/>
    <s v=""/>
    <s v=""/>
    <s v=""/>
    <s v=""/>
    <s v=""/>
    <s v=""/>
    <s v=""/>
    <s v=""/>
    <s v=""/>
    <s v=""/>
    <s v=""/>
    <s v=""/>
    <s v=""/>
    <s v=""/>
    <s v=""/>
    <s v="Material"/>
    <s v=""/>
    <s v=""/>
    <s v=""/>
    <s v="8000064600"/>
    <s v="DICKENSON A SN 20-17 (1190) BATTERY"/>
    <s v="Upstream"/>
    <s v="1046"/>
    <s v=""/>
    <s v=""/>
    <s v=""/>
    <s v=""/>
    <s v=""/>
    <s v=""/>
    <s v=""/>
    <n v="12"/>
    <s v="EA"/>
    <n v="3.21"/>
    <s v=""/>
    <n v="38.520000000000003"/>
    <s v="E-Maintenance"/>
    <s v="703264"/>
    <d v="2025-10-10T10:32:32"/>
    <s v=""/>
    <s v=""/>
    <s v=""/>
    <s v=""/>
  </r>
  <r>
    <s v="194740100"/>
    <s v="Dunagin Transport Company"/>
    <x v="3"/>
    <s v="Scott Glaze"/>
    <s v="Richard Garcia"/>
    <s v="BILLINGSLEY 12-1, HAULED 120 BBLS PW TO ENVIRONMENTAL"/>
    <s v="5051054"/>
    <s v="Upstream"/>
    <s v=""/>
    <s v="USD"/>
    <n v="200"/>
    <s v="Direct Entry"/>
    <s v="1"/>
    <s v="Vacuum Truck"/>
    <s v="Vacuum Truck"/>
    <s v=""/>
    <d v="2025-10-13T10:26:54"/>
    <d v="2025-09-29T15:30:00"/>
    <d v="2025-09-29T17:30:00"/>
    <d v="1899-12-30T02:00:00"/>
    <s v="BILLINGSLEY 12-1"/>
    <s v=""/>
    <s v=""/>
    <s v="PRODUCED WATER"/>
    <s v=""/>
    <s v=""/>
    <s v=""/>
    <s v=""/>
    <s v=""/>
    <s v=""/>
    <s v=""/>
    <s v=""/>
    <s v=""/>
    <s v=""/>
    <s v=""/>
    <s v=""/>
    <s v=""/>
    <s v=""/>
    <s v=""/>
    <s v=""/>
    <s v=""/>
    <n v="120"/>
    <s v="bbl"/>
    <s v=""/>
    <s v=""/>
    <s v=""/>
    <s v=""/>
    <s v="8300080000"/>
    <s v="BILLINGSLEY 12 1 BATTERY"/>
    <s v="Upstream"/>
    <s v="1046"/>
    <s v=""/>
    <s v=""/>
    <s v=""/>
    <s v=""/>
    <s v=""/>
    <s v=""/>
    <s v="Hours Worked"/>
    <n v="2"/>
    <s v="hour"/>
    <n v="100"/>
    <s v=""/>
    <n v="200"/>
    <s v="--multiple--"/>
    <s v="704012"/>
    <d v="2025-10-13T10:35:46"/>
    <s v=""/>
    <s v=""/>
    <s v=""/>
    <s v=""/>
  </r>
  <r>
    <s v="30393"/>
    <s v="Well Solutions LLC"/>
    <x v="7"/>
    <s v="Scott Glaze"/>
    <s v="Richard Garcia"/>
    <s v="LOAD PW 70 BBL LOADED TUBING 3 BBLS PRESSURED UP TO 600 PSI HELD FOR 10 MINUTES FLUSHED CASING 70 BBL WELL IS PUMPING"/>
    <s v="5051057"/>
    <s v="Upstream"/>
    <s v=""/>
    <s v="USD"/>
    <n v="360.5"/>
    <s v="Direct Entry"/>
    <s v="1"/>
    <s v="10000020"/>
    <s v="Scheduled Program Hot Oil per BBL"/>
    <s v="Hot OIl"/>
    <d v="2025-10-13T14:11:52"/>
    <d v="2025-10-10T11:30:00"/>
    <d v="2025-10-10T13:15:00"/>
    <s v=""/>
    <s v=""/>
    <s v=""/>
    <s v=""/>
    <s v=""/>
    <s v=""/>
    <s v=""/>
    <s v=""/>
    <s v=""/>
    <s v=""/>
    <s v=""/>
    <s v=""/>
    <s v=""/>
    <s v=""/>
    <s v=""/>
    <s v=""/>
    <s v=""/>
    <s v=""/>
    <s v=""/>
    <s v=""/>
    <s v=""/>
    <s v=""/>
    <s v=""/>
    <s v=""/>
    <s v="Labor"/>
    <s v=""/>
    <s v=""/>
    <s v=""/>
    <s v="1001126300"/>
    <s v="NIMITZ 6 403 WA"/>
    <s v="Upstream"/>
    <s v="1046"/>
    <s v=""/>
    <s v=""/>
    <s v=""/>
    <s v=""/>
    <s v=""/>
    <s v=""/>
    <s v=""/>
    <n v="70"/>
    <s v="BBL"/>
    <n v="5.15"/>
    <s v=""/>
    <n v="360.5"/>
    <s v="--multiple--"/>
    <s v="702744"/>
    <d v="2025-10-13T14:13:03"/>
    <s v=""/>
    <s v=""/>
    <s v=""/>
    <s v=""/>
  </r>
  <r>
    <s v="30394"/>
    <s v="Well Solutions LLC"/>
    <x v="7"/>
    <s v="Scott Glaze"/>
    <s v="Richard Garcia"/>
    <s v="LOAD PW 70 BBL HOT WATER CASING/FL 70 BBL"/>
    <s v="5051026"/>
    <s v="Upstream"/>
    <s v=""/>
    <s v="USD"/>
    <n v="535.5"/>
    <s v="Direct Entry"/>
    <s v="1"/>
    <s v="10000020"/>
    <s v="Scheduled Program Hot Oil per BBL"/>
    <s v="Hot OIl"/>
    <d v="2025-10-13T14:13:48"/>
    <d v="2025-10-10T13:15:00"/>
    <d v="2025-10-10T15:00:00"/>
    <s v=""/>
    <s v=""/>
    <s v=""/>
    <s v=""/>
    <s v=""/>
    <s v=""/>
    <s v=""/>
    <s v=""/>
    <s v=""/>
    <s v=""/>
    <s v=""/>
    <s v=""/>
    <s v=""/>
    <s v=""/>
    <s v=""/>
    <s v=""/>
    <s v=""/>
    <s v=""/>
    <s v=""/>
    <s v=""/>
    <s v=""/>
    <s v=""/>
    <s v=""/>
    <s v=""/>
    <s v="Labor"/>
    <s v=""/>
    <s v=""/>
    <s v=""/>
    <s v="1001126200"/>
    <s v="NIMITZ 401WB"/>
    <s v="Upstream"/>
    <s v="1046"/>
    <s v=""/>
    <s v=""/>
    <s v=""/>
    <s v=""/>
    <s v=""/>
    <s v=""/>
    <s v=""/>
    <n v="70"/>
    <s v="BBL"/>
    <n v="7.65"/>
    <s v=""/>
    <n v="535.5"/>
    <s v="--multiple--"/>
    <s v="702744"/>
    <d v="2025-10-13T14:14:48"/>
    <s v=""/>
    <s v=""/>
    <s v=""/>
    <s v=""/>
  </r>
  <r>
    <s v="30395"/>
    <s v="Well Solutions LLC"/>
    <x v="7"/>
    <s v="Scott Glaze"/>
    <s v="Richard Garcia"/>
    <s v="LOAD PW 70 BBL HOT WATER CASING/FL 70 BBL"/>
    <s v="5051026"/>
    <s v="Upstream"/>
    <s v=""/>
    <s v="USD"/>
    <n v="535.5"/>
    <s v="Direct Entry"/>
    <s v="1"/>
    <s v="10000020"/>
    <s v="Scheduled Program Hot Oil per BBL"/>
    <s v="Hot OIl"/>
    <d v="2025-10-13T14:15:14"/>
    <d v="2025-10-10T15:00:00"/>
    <d v="2025-10-10T17:30:00"/>
    <s v=""/>
    <s v=""/>
    <s v=""/>
    <s v=""/>
    <s v=""/>
    <s v=""/>
    <s v=""/>
    <s v=""/>
    <s v=""/>
    <s v=""/>
    <s v=""/>
    <s v=""/>
    <s v=""/>
    <s v=""/>
    <s v=""/>
    <s v=""/>
    <s v=""/>
    <s v=""/>
    <s v=""/>
    <s v=""/>
    <s v=""/>
    <s v=""/>
    <s v=""/>
    <s v=""/>
    <s v="Labor"/>
    <s v=""/>
    <s v=""/>
    <s v=""/>
    <s v="1001125800"/>
    <s v="NIMITZ 12 302 WA"/>
    <s v="Upstream"/>
    <s v="1046"/>
    <s v=""/>
    <s v=""/>
    <s v=""/>
    <s v=""/>
    <s v=""/>
    <s v=""/>
    <s v=""/>
    <n v="70"/>
    <s v="BBL"/>
    <n v="7.65"/>
    <s v=""/>
    <n v="535.5"/>
    <s v="--multiple--"/>
    <s v="702744"/>
    <d v="2025-10-13T14:16:30"/>
    <s v=""/>
    <s v=""/>
    <s v=""/>
    <s v=""/>
  </r>
  <r>
    <s v="35813"/>
    <s v="Raider Pump &amp; Supply Inc"/>
    <x v="5"/>
    <s v="Eduardo Lujan"/>
    <s v="Ruben Alonso"/>
    <s v="D-S MASTER KIT, KOLORKUT PASTE"/>
    <s v="5051049"/>
    <s v="Upstream"/>
    <s v=""/>
    <s v="USD"/>
    <n v="138.26"/>
    <s v="Direct Entry"/>
    <s v="1"/>
    <s v="RYG"/>
    <s v="2&quot; D-S MASTER KIT"/>
    <s v=""/>
    <d v="2025-10-13T07:20:42"/>
    <d v="2025-09-22T00:00:00"/>
    <d v="2025-09-22T00:00:00"/>
    <s v=""/>
    <s v=""/>
    <s v=""/>
    <s v=""/>
    <s v=""/>
    <s v=""/>
    <s v=""/>
    <s v=""/>
    <s v=""/>
    <s v=""/>
    <s v=""/>
    <s v=""/>
    <s v=""/>
    <s v=""/>
    <s v=""/>
    <s v=""/>
    <s v=""/>
    <s v=""/>
    <s v=""/>
    <s v=""/>
    <s v=""/>
    <s v=""/>
    <s v=""/>
    <s v=""/>
    <s v="Material"/>
    <s v=""/>
    <s v=""/>
    <s v=""/>
    <s v="8000064600"/>
    <s v="DICKENSON A SN 20-17 (1190) BATTERY"/>
    <s v="Upstream"/>
    <s v="1046"/>
    <s v=""/>
    <s v=""/>
    <s v=""/>
    <s v=""/>
    <s v=""/>
    <s v=""/>
    <s v=""/>
    <n v="1"/>
    <s v="each"/>
    <n v="93.46"/>
    <s v=""/>
    <n v="93.46"/>
    <s v="E-Maintenance"/>
    <s v="703264"/>
    <d v="2025-10-13T07:22:00"/>
    <s v=""/>
    <s v=""/>
    <s v=""/>
    <s v=""/>
  </r>
  <r>
    <s v="35841"/>
    <s v="Raider Pump &amp; Supply Inc"/>
    <x v="5"/>
    <s v="Eduardo Lujan"/>
    <s v="Ruben Alonso"/>
    <s v="XH NIPPLE, XXH HEX PLUG SS"/>
    <s v="5051049"/>
    <s v="Upstream"/>
    <s v=""/>
    <s v="USD"/>
    <n v="15.84"/>
    <s v="Direct Entry"/>
    <s v="1"/>
    <s v="PLN-038-02-XH"/>
    <s v="3/8&quot; x 2&quot; XH NIPPLE"/>
    <s v=""/>
    <d v="2025-10-13T07:28:06"/>
    <d v="2025-09-23T00:00:00"/>
    <d v="2025-09-23T00:00:00"/>
    <s v=""/>
    <s v=""/>
    <s v=""/>
    <s v=""/>
    <s v=""/>
    <s v=""/>
    <s v=""/>
    <s v=""/>
    <s v=""/>
    <s v=""/>
    <s v=""/>
    <s v=""/>
    <s v=""/>
    <s v=""/>
    <s v=""/>
    <s v=""/>
    <s v=""/>
    <s v=""/>
    <s v=""/>
    <s v=""/>
    <s v=""/>
    <s v=""/>
    <s v=""/>
    <s v=""/>
    <s v="Material"/>
    <s v=""/>
    <s v=""/>
    <s v=""/>
    <s v="8000064600"/>
    <s v="DICKENSON A SN 20-17 (1190) BATTERY"/>
    <s v="Upstream"/>
    <s v="1046"/>
    <s v=""/>
    <s v=""/>
    <s v=""/>
    <s v=""/>
    <s v=""/>
    <s v=""/>
    <s v=""/>
    <n v="3"/>
    <s v="EA"/>
    <n v="0.94"/>
    <s v=""/>
    <n v="2.82"/>
    <s v="E-Maintenance"/>
    <s v="703264"/>
    <d v="2025-10-13T07:32:28"/>
    <s v=""/>
    <s v=""/>
    <s v=""/>
    <s v=""/>
  </r>
  <r>
    <s v="35922"/>
    <s v="Raider Pump &amp; Supply Inc"/>
    <x v="5"/>
    <s v="Eduardo Lujan"/>
    <s v="Ruben Alonso"/>
    <s v="WHITE MARKER"/>
    <s v="5051049"/>
    <s v="Upstream"/>
    <s v=""/>
    <s v="USD"/>
    <n v="19.739999999999998"/>
    <s v="Direct Entry"/>
    <s v="1"/>
    <s v="MKR-W"/>
    <s v="MARKER, WHITE"/>
    <s v=""/>
    <d v="2025-10-13T07:39:14"/>
    <d v="2025-09-25T00:00:00"/>
    <d v="2025-09-25T00:00:00"/>
    <s v=""/>
    <s v=""/>
    <s v=""/>
    <s v=""/>
    <s v=""/>
    <s v=""/>
    <s v=""/>
    <s v=""/>
    <s v=""/>
    <s v=""/>
    <s v=""/>
    <s v=""/>
    <s v=""/>
    <s v=""/>
    <s v=""/>
    <s v=""/>
    <s v=""/>
    <s v=""/>
    <s v=""/>
    <s v=""/>
    <s v=""/>
    <s v=""/>
    <s v=""/>
    <s v=""/>
    <s v="Material"/>
    <s v=""/>
    <s v=""/>
    <s v=""/>
    <s v="8000118900"/>
    <s v="SMITH JALONICK FACILITY"/>
    <s v="Upstream"/>
    <s v="1046"/>
    <s v=""/>
    <s v=""/>
    <s v=""/>
    <s v=""/>
    <s v=""/>
    <s v=""/>
    <s v=""/>
    <n v="2"/>
    <s v="EA"/>
    <n v="9.8699999999999992"/>
    <s v=""/>
    <n v="19.739999999999998"/>
    <s v="E-Maintenance"/>
    <s v="703264"/>
    <d v="2025-10-13T07:42:17"/>
    <s v=""/>
    <s v=""/>
    <s v=""/>
    <s v=""/>
  </r>
  <r>
    <s v="35923"/>
    <s v="Raider Pump &amp; Supply Inc"/>
    <x v="5"/>
    <s v="Eduardo Lujan"/>
    <s v="Ruben Alonso"/>
    <s v="METAL BUCKETS, XH NIPPLE, SS BALL VALVE"/>
    <s v="5051049"/>
    <s v="Upstream"/>
    <s v=""/>
    <s v="USD"/>
    <n v="198.28"/>
    <s v="Direct Entry"/>
    <s v="1"/>
    <s v="MB-5"/>
    <s v="METAL BUCKETS 5 GALLON"/>
    <s v=""/>
    <d v="2025-10-13T07:43:15"/>
    <d v="2025-09-25T00:00:00"/>
    <d v="2025-09-25T00:00:00"/>
    <s v=""/>
    <s v=""/>
    <s v=""/>
    <s v=""/>
    <s v=""/>
    <s v=""/>
    <s v=""/>
    <s v=""/>
    <s v=""/>
    <s v=""/>
    <s v=""/>
    <s v=""/>
    <s v=""/>
    <s v=""/>
    <s v=""/>
    <s v=""/>
    <s v=""/>
    <s v=""/>
    <s v=""/>
    <s v=""/>
    <s v=""/>
    <s v=""/>
    <s v=""/>
    <s v=""/>
    <s v="Material"/>
    <s v=""/>
    <s v=""/>
    <s v=""/>
    <s v="1000073500"/>
    <s v="DICKENSON A SN 20-17 03 203H"/>
    <s v="Upstream"/>
    <s v="1046"/>
    <s v=""/>
    <s v=""/>
    <s v=""/>
    <s v=""/>
    <s v=""/>
    <s v=""/>
    <s v=""/>
    <n v="1"/>
    <s v="EA"/>
    <n v="35"/>
    <s v=""/>
    <n v="35"/>
    <s v="E-Maintenance"/>
    <s v="703264"/>
    <d v="2025-10-13T07:47:20"/>
    <s v=""/>
    <s v=""/>
    <s v=""/>
    <s v=""/>
  </r>
  <r>
    <s v="36009"/>
    <s v="Raider Pump &amp; Supply Inc"/>
    <x v="5"/>
    <s v="Eduardo Lujan"/>
    <s v="Ruben Alonso"/>
    <s v="REPAIR PIPE CLAMP"/>
    <s v="5051049"/>
    <s v="Upstream"/>
    <s v=""/>
    <s v="USD"/>
    <n v="43.97"/>
    <s v="Direct Entry"/>
    <s v="1"/>
    <s v="RPC-600-06"/>
    <s v="6 x 6 REPAIR PIPE CLAMP"/>
    <s v=""/>
    <d v="2025-10-13T08:29:51"/>
    <d v="2025-09-29T00:00:00"/>
    <d v="2025-09-29T00:00:00"/>
    <s v=""/>
    <s v=""/>
    <s v=""/>
    <s v=""/>
    <s v=""/>
    <s v=""/>
    <s v=""/>
    <s v=""/>
    <s v=""/>
    <s v=""/>
    <s v=""/>
    <s v=""/>
    <s v=""/>
    <s v=""/>
    <s v=""/>
    <s v=""/>
    <s v=""/>
    <s v=""/>
    <s v=""/>
    <s v=""/>
    <s v=""/>
    <s v=""/>
    <s v=""/>
    <s v=""/>
    <s v="Material"/>
    <s v=""/>
    <s v=""/>
    <s v=""/>
    <s v="1000073600"/>
    <s v="DICKENSON A SN 20-17 07 207H"/>
    <s v="Upstream"/>
    <s v="1046"/>
    <s v=""/>
    <s v=""/>
    <s v=""/>
    <s v=""/>
    <s v=""/>
    <s v=""/>
    <s v=""/>
    <n v="1"/>
    <s v="EA"/>
    <n v="43.97"/>
    <s v=""/>
    <n v="43.97"/>
    <s v="E-Maintenance"/>
    <s v="703264"/>
    <d v="2025-10-13T08:30:49"/>
    <s v=""/>
    <s v=""/>
    <s v=""/>
    <s v=""/>
  </r>
  <r>
    <s v="FT-22010"/>
    <s v="Legacy Artificial Lift Solutions LLC"/>
    <x v="6"/>
    <s v="Marlon Hale"/>
    <s v="Ruben Alonso"/>
    <s v="Drive to location to seal gearbox leaks and replace 3rd leg bolts"/>
    <s v="5051035"/>
    <s v="Upstream"/>
    <s v="168422"/>
    <s v="USD"/>
    <n v="712.47"/>
    <s v="Direct Entry"/>
    <s v="1"/>
    <s v="CC-3man"/>
    <s v="3 Man crew(Crane Operator,BT, Swamper)"/>
    <s v=""/>
    <d v="2025-10-13T15:52:01"/>
    <d v="2025-10-03T11:00:00"/>
    <d v="2025-10-03T12:30:00"/>
    <s v=""/>
    <s v="Knox 3 102"/>
    <s v=""/>
    <s v=""/>
    <s v=""/>
    <s v=""/>
    <s v=""/>
    <s v=""/>
    <s v=""/>
    <s v=""/>
    <s v=""/>
    <s v=""/>
    <s v=""/>
    <s v=""/>
    <s v=""/>
    <s v=""/>
    <s v=""/>
    <s v=""/>
    <s v=""/>
    <s v=""/>
    <s v=""/>
    <s v=""/>
    <s v=""/>
    <s v=""/>
    <s v="Labor"/>
    <s v=""/>
    <s v=""/>
    <s v=""/>
    <s v="1001122400"/>
    <s v="KNOX 3 102 WB"/>
    <s v="Upstream"/>
    <s v="1046"/>
    <s v=""/>
    <s v=""/>
    <s v=""/>
    <s v=""/>
    <s v=""/>
    <s v=""/>
    <s v=""/>
    <n v="1.5"/>
    <s v="HR"/>
    <n v="390"/>
    <s v=""/>
    <n v="585"/>
    <s v="--multiple--"/>
    <s v="702786"/>
    <d v="2025-10-13T15:53:39"/>
    <s v=""/>
    <s v=""/>
    <s v=""/>
    <s v=""/>
  </r>
  <r>
    <s v="FT-22011"/>
    <s v="Legacy Artificial Lift Solutions LLC"/>
    <x v="6"/>
    <s v="Marlon Hale"/>
    <s v="Ruben Alonso"/>
    <s v="Drive to location to change bridle, check balance, and align horsehead"/>
    <s v="5051035"/>
    <s v="Upstream"/>
    <s v="168415"/>
    <s v="USD"/>
    <n v="1702.43"/>
    <s v="Direct Entry"/>
    <s v="1"/>
    <s v="CC-3man"/>
    <s v="3 Man crew(Crane Operator,BT, Swamper)"/>
    <s v=""/>
    <d v="2025-10-13T15:48:32"/>
    <d v="2025-10-03T12:30:00"/>
    <d v="2025-10-03T15:30:00"/>
    <s v=""/>
    <s v="Mott 13 302"/>
    <s v=""/>
    <s v=""/>
    <s v=""/>
    <s v=""/>
    <s v=""/>
    <s v=""/>
    <s v=""/>
    <s v=""/>
    <s v=""/>
    <s v=""/>
    <s v=""/>
    <s v=""/>
    <s v=""/>
    <s v=""/>
    <s v=""/>
    <s v=""/>
    <s v=""/>
    <s v=""/>
    <s v=""/>
    <s v=""/>
    <s v=""/>
    <s v=""/>
    <s v="Labor"/>
    <s v=""/>
    <s v=""/>
    <s v=""/>
    <s v="1001124000"/>
    <s v="MOTT 13 302 LS"/>
    <s v="Upstream"/>
    <s v="1046"/>
    <s v=""/>
    <s v=""/>
    <s v=""/>
    <s v=""/>
    <s v=""/>
    <s v=""/>
    <s v=""/>
    <n v="3"/>
    <s v="HR"/>
    <n v="390"/>
    <s v=""/>
    <n v="1170"/>
    <s v="--multiple--"/>
    <s v="702786"/>
    <d v="2025-10-13T15:50:29"/>
    <s v=""/>
    <s v=""/>
    <s v=""/>
    <s v=""/>
  </r>
  <r>
    <s v="25047791"/>
    <s v="Lone Star Instrumentation &amp; Electric Corp"/>
    <x v="7"/>
    <s v="Taylor Smith"/>
    <s v="Mark Allcorn"/>
    <s v="WORK DESCRIPTION: Drive out to location go over task with company men and coordinate shut down then go to all affected pads kill power pull fuses then go through all jumpers and connections on bank tighten or adjust where needed then open disconnects and use torque wrench to tighten all connections inside disconnect to needed torque pressure and close back up make banks hot again and move to next pad and repeat process"/>
    <s v="5051044"/>
    <s v="Upstream"/>
    <s v="166615"/>
    <s v="USD"/>
    <n v="6855"/>
    <s v="B2B"/>
    <s v="1"/>
    <s v=""/>
    <s v="LINE FOREMAN"/>
    <s v=""/>
    <d v="2025-10-13T11:25:15"/>
    <d v="2025-09-30T05:30:00"/>
    <d v="2025-09-30T17:30:00"/>
    <s v=""/>
    <s v="ROBERTSON RANCH EAST BATTERY"/>
    <s v=""/>
    <s v=""/>
    <s v=""/>
    <s v=""/>
    <s v=""/>
    <s v=""/>
    <s v=""/>
    <s v=""/>
    <s v=""/>
    <s v=""/>
    <s v=""/>
    <s v=""/>
    <s v=""/>
    <s v=""/>
    <s v=""/>
    <s v=""/>
    <s v=""/>
    <s v=""/>
    <s v=""/>
    <s v=""/>
    <s v=""/>
    <s v=""/>
    <s v="Labor"/>
    <s v=""/>
    <s v=""/>
    <s v=""/>
    <s v="8300018000"/>
    <s v="ROBERTSON RANCH EAST BATTERY"/>
    <s v="Upstream"/>
    <s v="1046"/>
    <s v=""/>
    <s v=""/>
    <s v=""/>
    <s v=""/>
    <s v=""/>
    <s v=""/>
    <s v=""/>
    <n v="8"/>
    <s v="HR"/>
    <n v="69"/>
    <s v=""/>
    <n v="552"/>
    <s v="--multiple--"/>
    <s v="708305"/>
    <d v="2025-10-13T15:28:17"/>
    <s v=""/>
    <s v=""/>
    <s v=""/>
    <s v=""/>
  </r>
  <r>
    <s v="F06510"/>
    <s v="Warrior Technologies, LLC"/>
    <x v="3"/>
    <s v="Ty Fisher"/>
    <s v="Ruben Alonso"/>
    <s v="ROUSTABOUT WORK - DROVE TO LOCATION, MADE PARTS LIST, DROVE TO ROLLTEX FOR PARTS,  DROVE BACK TO LOCATION, REMOVED BELT GUARD, ALIGNED MOTOR, INSTALLED NEW BELTS."/>
    <s v="5051035"/>
    <s v="Upstream"/>
    <s v="159085"/>
    <s v="USD"/>
    <n v="742.5"/>
    <s v="B2B"/>
    <s v="1"/>
    <s v="1400000"/>
    <s v="Roustabout Service Crew w/ Truck - 3 Man Crew"/>
    <s v=""/>
    <d v="2025-09-24T13:34:42"/>
    <d v="2025-09-15T10:00:00"/>
    <d v="2025-09-15T15:30:00"/>
    <s v=""/>
    <s v="EISENHOWER 2 20"/>
    <s v=""/>
    <s v=""/>
    <s v=""/>
    <s v=""/>
    <s v=""/>
    <s v=""/>
    <s v=""/>
    <s v=""/>
    <s v=""/>
    <s v=""/>
    <s v=""/>
    <s v=""/>
    <s v=""/>
    <s v=""/>
    <s v=""/>
    <s v=""/>
    <s v=""/>
    <s v=""/>
    <s v=""/>
    <s v=""/>
    <s v=""/>
    <s v=""/>
    <s v="Labor"/>
    <s v=""/>
    <s v=""/>
    <s v=""/>
    <s v="1001119100"/>
    <s v="EISENHOWER 2 204 WB"/>
    <s v="Upstream"/>
    <s v="1046"/>
    <s v=""/>
    <s v=""/>
    <s v=""/>
    <s v=""/>
    <s v=""/>
    <s v=""/>
    <s v=""/>
    <n v="5.5"/>
    <s v="HR"/>
    <n v="135"/>
    <s v=""/>
    <n v="742.5"/>
    <s v="Pricebook"/>
    <s v="712996"/>
    <d v="2025-10-10T15:05:06"/>
    <s v=""/>
    <s v=""/>
    <s v="Attachment Issue"/>
    <s v=""/>
  </r>
  <r>
    <s v="T-438120"/>
    <s v="Liberty Lift Solutions LLC"/>
    <x v="5"/>
    <s v="Ty Fisher"/>
    <s v="Ruben Alonso"/>
    <s v="Completed Job _x000a__x000a_Changed out polish rod._x000a_Requested by: Ty Fisher_x000a_LL Rep: Ray Rodriguez"/>
    <s v="5051035"/>
    <s v="Upstream"/>
    <s v="162582"/>
    <s v="USD"/>
    <n v="1500"/>
    <s v="B2B"/>
    <s v="1"/>
    <s v="NP0008"/>
    <s v="Field Technician"/>
    <s v="Service"/>
    <d v="2025-10-13T15:02:29"/>
    <d v="2025-09-19T06:00:00"/>
    <d v="2025-09-19T10:00:00"/>
    <s v=""/>
    <s v="Eisenhower 203"/>
    <s v=""/>
    <s v=""/>
    <s v=""/>
    <s v=""/>
    <s v=""/>
    <s v=""/>
    <s v=""/>
    <s v=""/>
    <s v=""/>
    <s v=""/>
    <s v=""/>
    <s v=""/>
    <s v=""/>
    <s v=""/>
    <s v=""/>
    <s v=""/>
    <s v=""/>
    <s v=""/>
    <s v=""/>
    <s v=""/>
    <s v=""/>
    <s v=""/>
    <s v="Labor"/>
    <s v=""/>
    <s v=""/>
    <s v=""/>
    <s v="1001119500"/>
    <s v="EISENHOWER 203 WA"/>
    <s v="Upstream"/>
    <s v="1046"/>
    <s v=""/>
    <s v=""/>
    <s v=""/>
    <s v=""/>
    <s v=""/>
    <s v=""/>
    <s v="Other"/>
    <n v="4"/>
    <s v="HR"/>
    <n v="65"/>
    <s v=""/>
    <n v="260"/>
    <s v="--multiple--"/>
    <s v="708256"/>
    <d v="2025-10-13T16:18:58"/>
    <s v=""/>
    <s v=""/>
    <s v=""/>
    <s v=""/>
  </r>
  <r>
    <s v="145519"/>
    <s v="Knighten Machine &amp; Service Inc"/>
    <x v="6"/>
    <s v="Ty Fisher"/>
    <s v="Ruben Alonso"/>
    <s v="10/1/2025 _x000a_DROVE TO LOCATION. SHUT IN THE PUMP. LOTO. REMOVED THE PIPING. PULLED OFF THE VOLUTE, FOUND SMALL BITS OF GUNK &amp; TRASH IN THE VOLUTE. REMOVED THE IMPELLER AND WASH PLATE. CLEANED UP ALL THE FACES AND PARTS. INSTALLED THE NEW SEAL AND REASSEMBLED THE PUMP. RECONNECTED PIPING. OPENED THE PIPING, VERIFIED THERE WAS O LEAKS. WE RAN THE PUMP AND SAW O LEAKS. CLEANED TOOLS AND AREA. I RETURNED TO TROUBLE SHOOT AN ISSUE WTTH THE TRANSFER PUMPS; THE ISSUE WAS THAT THEY NEEDED A HIGHER RATE. THEY WERE CONCERNED WITH THE SOUTHEST PUMP, IT WOULD COME ON AND HAVE 0 EFFECT ON THE RATE. WE SHUT THEM ALL OFF AND RAMMED IT BY ITSELF, IT HAD A RATE OF 14,000 &amp; WAS WORKlNG AS IT SHOULD BE. THEY ALL WERE SHARlNG THE SAME DISCHARGE LINE &amp; WE FIGURED OUT THAT ONE OF THE PUMPS WAS AT 40 HZ AND THE OTHER ONE NEXT TO IT WAS AT 45HZ, CAUSING IT TO OVERPOWER IT ."/>
    <s v="5051049"/>
    <s v="Upstream"/>
    <s v="168325"/>
    <s v="USD"/>
    <n v="798"/>
    <s v="Direct Entry"/>
    <s v="1"/>
    <s v="Service Truck Charge"/>
    <s v="Service Truck Charge"/>
    <s v=""/>
    <d v="2025-10-09T13:59:27"/>
    <d v="2025-09-30T07:00:00"/>
    <d v="2025-09-30T11:00:00"/>
    <s v=""/>
    <s v=""/>
    <s v=""/>
    <s v=""/>
    <s v=""/>
    <s v=""/>
    <s v=""/>
    <s v=""/>
    <s v=""/>
    <s v=""/>
    <s v=""/>
    <s v=""/>
    <s v=""/>
    <s v=""/>
    <s v=""/>
    <s v=""/>
    <s v=""/>
    <s v=""/>
    <s v=""/>
    <s v=""/>
    <s v=""/>
    <s v=""/>
    <s v=""/>
    <s v=""/>
    <s v="Material"/>
    <s v=""/>
    <s v=""/>
    <s v=""/>
    <s v="8000118900"/>
    <s v="SMITH JALONICK FACILITY"/>
    <s v="Upstream"/>
    <s v="1046"/>
    <s v=""/>
    <s v=""/>
    <s v=""/>
    <s v=""/>
    <s v=""/>
    <s v=""/>
    <s v=""/>
    <n v="4"/>
    <s v="HR"/>
    <n v="50"/>
    <s v=""/>
    <n v="200"/>
    <s v="E-Maintenance"/>
    <s v="708143"/>
    <d v="2025-10-14T10:00:46"/>
    <s v=""/>
    <s v=""/>
    <s v="Service Date/Time Issue"/>
    <s v=""/>
  </r>
  <r>
    <s v="8110"/>
    <s v="GDL Trucking LLC"/>
    <x v="6"/>
    <s v="Ty Fisher"/>
    <s v="Ruben Alonso"/>
    <s v="Assisted on location"/>
    <s v="5051049"/>
    <s v="Upstream"/>
    <s v="170731"/>
    <s v="USD"/>
    <n v="270"/>
    <s v="Direct Entry"/>
    <s v="1"/>
    <s v="Vacuum Truck"/>
    <s v="Vacuum Truck"/>
    <s v=""/>
    <d v="2025-10-13T10:27:19"/>
    <d v="2025-10-09T07:30:00"/>
    <d v="2025-10-09T10:30:00"/>
    <d v="1899-12-30T03:00:00"/>
    <s v="Lewis Kathleen 1A"/>
    <s v=""/>
    <s v=""/>
    <s v="N/A"/>
    <s v=""/>
    <s v=""/>
    <s v=""/>
    <s v=""/>
    <s v=""/>
    <s v=""/>
    <s v=""/>
    <s v=""/>
    <s v=""/>
    <s v=""/>
    <s v=""/>
    <s v=""/>
    <s v=""/>
    <s v=""/>
    <s v=""/>
    <s v=""/>
    <s v=""/>
    <n v="0"/>
    <s v="bbl"/>
    <s v=""/>
    <s v=""/>
    <s v=""/>
    <s v=""/>
    <s v="1000120200"/>
    <s v="LEWIS KATHLEEN 1A"/>
    <s v="Upstream"/>
    <s v="1046"/>
    <s v=""/>
    <s v=""/>
    <s v=""/>
    <s v=""/>
    <s v=""/>
    <s v=""/>
    <s v="Other"/>
    <n v="3"/>
    <s v="HR"/>
    <n v="90"/>
    <s v=""/>
    <n v="270"/>
    <s v="--multiple--"/>
    <s v="713101"/>
    <d v="2025-10-13T10:32:02"/>
    <s v=""/>
    <s v=""/>
    <s v=""/>
    <s v=""/>
  </r>
  <r>
    <s v="127602"/>
    <s v="SDS Petroleum Consultants, LLP"/>
    <x v="6"/>
    <s v="Ty Froman"/>
    <s v="Billy Brookshire"/>
    <s v="ZEBCO 27-39 D 4WA_x000a_FOREMAN: BILLY BROOKSHIRE_x000a_WO# 146076"/>
    <s v="5051053"/>
    <s v="Upstream"/>
    <s v=""/>
    <s v="USD"/>
    <n v="323"/>
    <s v="Direct Entry"/>
    <s v="1"/>
    <s v="1"/>
    <s v="Consultant"/>
    <s v=""/>
    <d v="2025-10-08T15:19:28"/>
    <d v="2025-10-05T07:00:00"/>
    <d v="2025-10-05T19:00:00"/>
    <s v=""/>
    <s v=""/>
    <s v=""/>
    <s v=""/>
    <s v=""/>
    <s v=""/>
    <s v=""/>
    <s v=""/>
    <s v=""/>
    <s v=""/>
    <s v=""/>
    <s v=""/>
    <s v=""/>
    <s v=""/>
    <s v=""/>
    <s v=""/>
    <s v=""/>
    <s v=""/>
    <s v=""/>
    <s v=""/>
    <s v=""/>
    <s v=""/>
    <s v=""/>
    <s v=""/>
    <s v="Labor"/>
    <s v=""/>
    <s v=""/>
    <s v=""/>
    <s v="1000660000"/>
    <s v="ZEBCO 27-39 D 4WA"/>
    <s v="Upstream"/>
    <s v="1046"/>
    <s v=""/>
    <s v=""/>
    <s v=""/>
    <s v=""/>
    <s v=""/>
    <s v=""/>
    <s v=""/>
    <n v="0.34"/>
    <s v="Day"/>
    <n v="950"/>
    <s v=""/>
    <n v="323"/>
    <s v="--multiple--"/>
    <s v="709393"/>
    <d v="2025-10-08T15:26:11"/>
    <s v=""/>
    <s v=""/>
    <s v=""/>
    <s v=""/>
  </r>
  <r>
    <s v="38562"/>
    <s v="Montco Oilfield Solutions LLC"/>
    <x v="11"/>
    <s v="Shannon Turner Jr."/>
    <s v="James Compton"/>
    <s v="GENERATOR RENTAL"/>
    <s v="5051025"/>
    <s v="Upstream"/>
    <s v=""/>
    <s v="USD"/>
    <n v="5647.5"/>
    <s v="Direct Entry"/>
    <s v="1"/>
    <s v="2013"/>
    <s v="100KW Diesel Generator"/>
    <s v=""/>
    <d v="2025-10-03T08:57:36"/>
    <d v="2025-09-01T00:00:00"/>
    <d v="2025-09-30T00:00:00"/>
    <s v=""/>
    <s v=""/>
    <s v=""/>
    <s v=""/>
    <s v=""/>
    <s v=""/>
    <s v=""/>
    <s v=""/>
    <s v=""/>
    <s v=""/>
    <s v=""/>
    <s v=""/>
    <s v=""/>
    <s v=""/>
    <s v=""/>
    <s v=""/>
    <s v=""/>
    <s v=""/>
    <s v=""/>
    <s v=""/>
    <s v=""/>
    <s v=""/>
    <s v=""/>
    <s v=""/>
    <s v="Equipment"/>
    <s v=""/>
    <s v=""/>
    <s v="UNIT 1274"/>
    <s v="1001237200"/>
    <s v="HOLCOMB 25 1"/>
    <s v="Upstream"/>
    <s v="1046"/>
    <s v=""/>
    <s v=""/>
    <s v=""/>
    <s v=""/>
    <s v=""/>
    <s v=""/>
    <s v=""/>
    <n v="30"/>
    <s v="Day"/>
    <n v="120"/>
    <s v=""/>
    <n v="3600"/>
    <s v="E-Maintenance"/>
    <s v="704524"/>
    <d v="2025-10-03T08:58:54"/>
    <s v=""/>
    <s v=""/>
    <s v=""/>
    <s v=""/>
  </r>
  <r>
    <s v="N11001870500"/>
    <s v="SES Holdings, LLC"/>
    <x v="1"/>
    <s v="Shannon Turner Jr."/>
    <s v="James Compton"/>
    <s v="RAMSEY 6 BATTERY; Haul Production Water; Shannon Turner Jr."/>
    <s v="5051054"/>
    <s v="Upstream"/>
    <s v=""/>
    <s v="USD"/>
    <n v="252"/>
    <s v=""/>
    <s v="1"/>
    <s v="10-1223HRS"/>
    <s v="TP-Pick-Up Production / Lease Water"/>
    <s v="Transport"/>
    <d v="2025-10-07T14:20:57"/>
    <d v="2025-09-14T09:15:00"/>
    <d v="2025-09-14T11:15:00"/>
    <d v="1899-12-30T02:00:00"/>
    <s v="RAMSEY 6 BATTERY"/>
    <s v="N32000318275"/>
    <s v="Lenorah SWD"/>
    <s v="Production / Lease / Salt Water"/>
    <s v=""/>
    <s v=""/>
    <s v=""/>
    <s v=""/>
    <n v="0"/>
    <n v="0"/>
    <n v="0"/>
    <n v="0"/>
    <s v=""/>
    <s v=""/>
    <s v=""/>
    <s v=""/>
    <s v=""/>
    <s v=""/>
    <s v=""/>
    <s v=""/>
    <s v=""/>
    <n v="100"/>
    <s v="bbl"/>
    <s v=""/>
    <s v=""/>
    <s v=""/>
    <s v=""/>
    <s v="8300193100"/>
    <s v="RAMSEY 6 BATTERY"/>
    <s v="Upstream"/>
    <s v="1046"/>
    <s v=""/>
    <s v=""/>
    <s v=""/>
    <s v=""/>
    <s v=""/>
    <s v=""/>
    <s v="Other"/>
    <n v="2"/>
    <s v="HRS"/>
    <n v="100"/>
    <s v=""/>
    <n v="200"/>
    <s v="--multiple--"/>
    <s v="700224"/>
    <d v="2025-10-07T14:20:57"/>
    <s v=""/>
    <s v=""/>
    <s v=""/>
    <s v=""/>
  </r>
  <r>
    <s v="N11001871506"/>
    <s v="SES Holdings, LLC"/>
    <x v="1"/>
    <s v="Shannon Turner Jr."/>
    <s v="James Compton"/>
    <s v="FRANKLIN FARMS 11 BATTERY; Haul Production Water; Shannon Turner Jr."/>
    <s v="5051054"/>
    <s v="Upstream"/>
    <s v=""/>
    <s v="USD"/>
    <n v="197"/>
    <s v=""/>
    <s v="1"/>
    <s v="10-1223HRS"/>
    <s v="TP-Pick-Up Production / Lease Water"/>
    <s v="Transport"/>
    <d v="2025-10-07T10:56:07"/>
    <d v="2025-09-23T09:00:00"/>
    <d v="2025-09-23T10:15:00"/>
    <d v="1899-12-30T01:15:00"/>
    <s v="FRANKLIN FARMS 11 BATTERY"/>
    <s v="1098-30333"/>
    <s v="Select - Judge Swd"/>
    <s v="Production / Lease / Salt Water"/>
    <s v=""/>
    <s v=""/>
    <s v=""/>
    <s v=""/>
    <n v="9"/>
    <n v="1"/>
    <n v="5"/>
    <n v="7"/>
    <s v=""/>
    <s v=""/>
    <s v=""/>
    <s v=""/>
    <s v=""/>
    <s v=""/>
    <s v=""/>
    <s v=""/>
    <s v=""/>
    <n v="120"/>
    <s v="bbl"/>
    <s v=""/>
    <s v=""/>
    <s v=""/>
    <s v=""/>
    <s v="8300099600"/>
    <s v="FRANKLIN FARMS 11 BATTERY"/>
    <s v="Upstream"/>
    <s v="1046"/>
    <s v=""/>
    <s v=""/>
    <s v=""/>
    <s v=""/>
    <s v=""/>
    <s v=""/>
    <s v="Other"/>
    <n v="1.25"/>
    <s v="HRS"/>
    <n v="100"/>
    <s v=""/>
    <n v="125"/>
    <s v="--multiple--"/>
    <s v="700224"/>
    <d v="2025-10-07T10:56:07"/>
    <s v=""/>
    <s v=""/>
    <s v=""/>
    <s v=""/>
  </r>
  <r>
    <s v="N11001871507"/>
    <s v="SES Holdings, LLC"/>
    <x v="1"/>
    <s v="Shannon Turner Jr."/>
    <s v="James Compton"/>
    <s v="FRANKLIN FARMS 11 BATTERY; Haul Production Water; Shannon Turner Jr."/>
    <s v="5051054"/>
    <s v="Upstream"/>
    <s v=""/>
    <s v="USD"/>
    <n v="172"/>
    <s v=""/>
    <s v="1"/>
    <s v="10-1223HRS"/>
    <s v="TP-Pick-Up Production / Lease Water"/>
    <s v="Transport"/>
    <d v="2025-10-07T10:54:47"/>
    <d v="2025-09-23T10:15:00"/>
    <d v="2025-09-23T11:15:00"/>
    <d v="1899-12-30T01:00:00"/>
    <s v="FRANKLIN FARMS 11 BATTERY"/>
    <s v="1098-30335"/>
    <s v="Select - Judge Swd"/>
    <s v="Production / Lease / Salt Water"/>
    <s v=""/>
    <s v=""/>
    <s v=""/>
    <s v=""/>
    <n v="5"/>
    <n v="7"/>
    <n v="2"/>
    <n v="1"/>
    <s v=""/>
    <s v=""/>
    <s v=""/>
    <s v=""/>
    <s v=""/>
    <s v=""/>
    <s v=""/>
    <s v=""/>
    <s v=""/>
    <n v="120"/>
    <s v="bbl"/>
    <s v=""/>
    <s v=""/>
    <s v=""/>
    <s v=""/>
    <s v="8300099600"/>
    <s v="FRANKLIN FARMS 11 BATTERY"/>
    <s v="Upstream"/>
    <s v="1046"/>
    <s v=""/>
    <s v=""/>
    <s v=""/>
    <s v=""/>
    <s v=""/>
    <s v=""/>
    <s v="Other"/>
    <n v="1"/>
    <s v="HRS"/>
    <n v="100"/>
    <s v=""/>
    <n v="100"/>
    <s v="--multiple--"/>
    <s v="700224"/>
    <d v="2025-10-07T10:54:47"/>
    <s v=""/>
    <s v=""/>
    <s v=""/>
    <s v=""/>
  </r>
  <r>
    <s v="30196"/>
    <s v="Well Solutions LLC"/>
    <x v="1"/>
    <s v="Shannon Turner Jr."/>
    <s v="James Compton"/>
    <s v="HOT WATER CASING/FL 50/20"/>
    <s v="5051026"/>
    <s v="Upstream"/>
    <s v=""/>
    <s v="USD"/>
    <n v="535.5"/>
    <s v="Direct Entry"/>
    <s v="1"/>
    <s v="10000020"/>
    <s v="Scheduled Program Hot Oil per BBL"/>
    <s v="Hot OIl"/>
    <d v="2025-10-07T10:53:28"/>
    <d v="2025-10-03T14:30:00"/>
    <d v="2025-10-03T17:30:00"/>
    <s v=""/>
    <s v=""/>
    <s v=""/>
    <s v=""/>
    <s v=""/>
    <s v=""/>
    <s v=""/>
    <s v=""/>
    <s v=""/>
    <s v=""/>
    <s v=""/>
    <s v=""/>
    <s v=""/>
    <s v=""/>
    <s v=""/>
    <s v=""/>
    <s v=""/>
    <s v=""/>
    <s v=""/>
    <s v=""/>
    <s v=""/>
    <s v=""/>
    <s v=""/>
    <s v=""/>
    <s v="Labor"/>
    <s v=""/>
    <s v=""/>
    <s v=""/>
    <s v="1001358700"/>
    <s v="HOLCOMB 67 5"/>
    <s v="Upstream"/>
    <s v="1046"/>
    <s v=""/>
    <s v=""/>
    <s v=""/>
    <s v=""/>
    <s v=""/>
    <s v=""/>
    <s v=""/>
    <n v="70"/>
    <s v="BBL"/>
    <n v="7.65"/>
    <s v=""/>
    <n v="535.5"/>
    <s v="--multiple--"/>
    <s v="702744"/>
    <d v="2025-10-07T10:54:20"/>
    <s v=""/>
    <s v=""/>
    <s v=""/>
    <s v=""/>
  </r>
  <r>
    <s v="5540-1"/>
    <s v="Dawson Oilfield Services"/>
    <x v="7"/>
    <s v="Shannon Turner Jr."/>
    <s v="James Compton"/>
    <s v="Facility Watch"/>
    <s v="5051012"/>
    <s v="Upstream"/>
    <s v=""/>
    <s v="USD"/>
    <n v="11200"/>
    <s v="Direct Entry"/>
    <s v="1"/>
    <s v="RR-2001-CP"/>
    <s v="Day Watch"/>
    <s v=""/>
    <d v="2025-10-13T20:07:43"/>
    <d v="2025-10-06T06:00:00"/>
    <d v="2025-10-12T18:00:00"/>
    <s v=""/>
    <s v=""/>
    <s v=""/>
    <s v=""/>
    <s v=""/>
    <s v=""/>
    <s v=""/>
    <s v=""/>
    <s v=""/>
    <s v=""/>
    <s v=""/>
    <s v=""/>
    <s v=""/>
    <s v=""/>
    <s v=""/>
    <s v=""/>
    <s v=""/>
    <s v=""/>
    <s v=""/>
    <s v=""/>
    <s v=""/>
    <s v=""/>
    <s v=""/>
    <s v=""/>
    <s v="Labor"/>
    <s v=""/>
    <s v=""/>
    <s v=""/>
    <s v="1001640600"/>
    <s v="MINOTAUR 38-66 UNIT 2 1MS"/>
    <s v="Upstream"/>
    <s v="1046"/>
    <s v=""/>
    <s v=""/>
    <s v=""/>
    <s v=""/>
    <s v=""/>
    <s v=""/>
    <s v=""/>
    <n v="0.7"/>
    <s v="Day"/>
    <n v="800"/>
    <s v=""/>
    <n v="560"/>
    <s v="--multiple--"/>
    <s v="706950"/>
    <d v="2025-10-13T20:07:58"/>
    <s v=""/>
    <s v=""/>
    <s v=""/>
    <s v=""/>
  </r>
  <r>
    <s v="30197"/>
    <s v="Well Solutions LLC"/>
    <x v="1"/>
    <s v="Shannon Turner Jr."/>
    <s v="James Compton"/>
    <s v="LOAD 70 BBL WATER. RIG UP ON TUBING AND LOAD TUBING WITH 1 BBL TO 500 PSI TUBING GOOD. FLUSH WELL WITH REST OF WATER. WELL WILL NOT PUMP BAD PUMP OR PARTED"/>
    <s v="5051057"/>
    <s v="Upstream"/>
    <s v=""/>
    <s v="USD"/>
    <n v="360.5"/>
    <s v="Direct Entry"/>
    <s v="1"/>
    <s v="10000020"/>
    <s v="Scheduled Program Hot Oil per BBL"/>
    <s v="Hot OIl"/>
    <d v="2025-10-07T13:28:55"/>
    <d v="2025-10-06T08:45:00"/>
    <d v="2025-10-06T11:30:00"/>
    <s v=""/>
    <s v=""/>
    <s v=""/>
    <s v=""/>
    <s v=""/>
    <s v=""/>
    <s v=""/>
    <s v=""/>
    <s v=""/>
    <s v=""/>
    <s v=""/>
    <s v=""/>
    <s v=""/>
    <s v=""/>
    <s v=""/>
    <s v=""/>
    <s v=""/>
    <s v=""/>
    <s v=""/>
    <s v=""/>
    <s v=""/>
    <s v=""/>
    <s v=""/>
    <s v=""/>
    <s v="Labor"/>
    <s v=""/>
    <s v=""/>
    <s v=""/>
    <s v="1001446500"/>
    <s v="RHEA 1-6 1 133"/>
    <s v="Upstream"/>
    <s v="1046"/>
    <s v=""/>
    <s v=""/>
    <s v=""/>
    <s v=""/>
    <s v=""/>
    <s v=""/>
    <s v=""/>
    <n v="70"/>
    <s v="BBL"/>
    <n v="5.15"/>
    <s v=""/>
    <n v="360.5"/>
    <s v="--multiple--"/>
    <s v="702744"/>
    <d v="2025-10-07T13:29:52"/>
    <s v=""/>
    <s v=""/>
    <s v=""/>
    <s v=""/>
  </r>
  <r>
    <s v="30200"/>
    <s v="Well Solutions LLC"/>
    <x v="1"/>
    <s v="Shannon Turner Jr."/>
    <s v="James Compton"/>
    <s v="LOAD 70 BBL WATER. RIG UP ON TUBING. LOAD TUBING WITH ALL 70 BBL TUBING DID NOT LOAD. HOLE IN TUBING"/>
    <s v="5051057"/>
    <s v="Upstream"/>
    <s v=""/>
    <s v="USD"/>
    <n v="360.5"/>
    <s v="Direct Entry"/>
    <s v="1"/>
    <s v="10000020"/>
    <s v="Scheduled Program Hot Oil per BBL"/>
    <s v="Hot OIl"/>
    <d v="2025-10-07T13:34:16"/>
    <d v="2025-10-06T14:30:00"/>
    <d v="2025-10-06T16:30:00"/>
    <s v=""/>
    <s v=""/>
    <s v=""/>
    <s v=""/>
    <s v=""/>
    <s v=""/>
    <s v=""/>
    <s v=""/>
    <s v=""/>
    <s v=""/>
    <s v=""/>
    <s v=""/>
    <s v=""/>
    <s v=""/>
    <s v=""/>
    <s v=""/>
    <s v=""/>
    <s v=""/>
    <s v=""/>
    <s v=""/>
    <s v=""/>
    <s v=""/>
    <s v=""/>
    <s v=""/>
    <s v="Labor"/>
    <s v=""/>
    <s v=""/>
    <s v=""/>
    <s v="1001351300"/>
    <s v="ROMINE 37A 1"/>
    <s v="Upstream"/>
    <s v="1046"/>
    <s v=""/>
    <s v=""/>
    <s v=""/>
    <s v=""/>
    <s v=""/>
    <s v=""/>
    <s v=""/>
    <n v="70"/>
    <s v="BBL"/>
    <n v="5.15"/>
    <s v=""/>
    <n v="360.5"/>
    <s v="--multiple--"/>
    <s v="702744"/>
    <d v="2025-10-07T13:35:21"/>
    <s v=""/>
    <s v=""/>
    <s v=""/>
    <s v=""/>
  </r>
  <r>
    <s v="30486"/>
    <s v="Well Solutions LLC"/>
    <x v="7"/>
    <s v="Shannon Turner Jr."/>
    <s v="James Compton"/>
    <s v="RIG UP ON WATER TRUCK. MIX 2 DRUMS OF BIOCIDE INTO WATER TRUCK. RIG UP ON CASING. FLUSH CASING WITH 80 BBL OF WATER/BIOCIDE. RIG DOWN"/>
    <s v="5051057"/>
    <s v="Upstream"/>
    <s v=""/>
    <s v="USD"/>
    <n v="412"/>
    <s v="Direct Entry"/>
    <s v="1"/>
    <s v="10000020"/>
    <s v="Scheduled Program Hot Oil per BBL"/>
    <s v="Hot OIl"/>
    <d v="2025-10-13T13:47:31"/>
    <d v="2025-10-10T11:15:00"/>
    <d v="2025-10-10T14:30:00"/>
    <s v=""/>
    <s v=""/>
    <s v=""/>
    <s v=""/>
    <s v=""/>
    <s v=""/>
    <s v=""/>
    <s v=""/>
    <s v=""/>
    <s v=""/>
    <s v=""/>
    <s v=""/>
    <s v=""/>
    <s v=""/>
    <s v=""/>
    <s v=""/>
    <s v=""/>
    <s v=""/>
    <s v=""/>
    <s v=""/>
    <s v=""/>
    <s v=""/>
    <s v=""/>
    <s v=""/>
    <s v="Labor"/>
    <s v=""/>
    <s v=""/>
    <s v=""/>
    <s v="1001463400"/>
    <s v="MINOTAUR 3866 241"/>
    <s v="Upstream"/>
    <s v="1046"/>
    <s v=""/>
    <s v=""/>
    <s v=""/>
    <s v=""/>
    <s v=""/>
    <s v=""/>
    <s v=""/>
    <n v="80"/>
    <s v="BBL"/>
    <n v="5.15"/>
    <s v=""/>
    <n v="412"/>
    <s v="--multiple--"/>
    <s v="702744"/>
    <d v="2025-10-13T13:48:39"/>
    <s v=""/>
    <s v=""/>
    <s v=""/>
    <s v=""/>
  </r>
  <r>
    <s v="30487"/>
    <s v="Well Solutions LLC"/>
    <x v="7"/>
    <s v="Shannon Turner Jr."/>
    <s v="James Compton"/>
    <s v="HOT WATER CASING 70 BBL WATER"/>
    <s v="5051026"/>
    <s v="Upstream"/>
    <s v=""/>
    <s v="USD"/>
    <n v="535.5"/>
    <s v="Direct Entry"/>
    <s v="1"/>
    <s v="10000020"/>
    <s v="Scheduled Program Hot Oil per BBL"/>
    <s v="Hot OIl"/>
    <d v="2025-10-13T13:49:07"/>
    <d v="2025-10-10T14:30:00"/>
    <d v="2025-10-10T17:15:00"/>
    <s v=""/>
    <s v=""/>
    <s v=""/>
    <s v=""/>
    <s v=""/>
    <s v=""/>
    <s v=""/>
    <s v=""/>
    <s v=""/>
    <s v=""/>
    <s v=""/>
    <s v=""/>
    <s v=""/>
    <s v=""/>
    <s v=""/>
    <s v=""/>
    <s v=""/>
    <s v=""/>
    <s v=""/>
    <s v=""/>
    <s v=""/>
    <s v=""/>
    <s v=""/>
    <s v=""/>
    <s v="Labor"/>
    <s v=""/>
    <s v=""/>
    <s v=""/>
    <s v="1001351200"/>
    <s v="FRAZIER 33 1"/>
    <s v="Upstream"/>
    <s v="1046"/>
    <s v=""/>
    <s v=""/>
    <s v=""/>
    <s v=""/>
    <s v=""/>
    <s v=""/>
    <s v=""/>
    <n v="70"/>
    <s v="BBL"/>
    <n v="7.65"/>
    <s v=""/>
    <n v="535.5"/>
    <s v="--multiple--"/>
    <s v="702744"/>
    <d v="2025-10-13T13:50:16"/>
    <s v=""/>
    <s v=""/>
    <s v=""/>
    <s v=""/>
  </r>
  <r>
    <s v="127606"/>
    <s v="SDS Petroleum Consultants, LLP"/>
    <x v="6"/>
    <s v="Ty Froman"/>
    <s v="Mark Ramos"/>
    <s v="McALPINE GRISHAM 47-35 UNIT 1 CTB_x000a_FOREMAN: MARK RAMOS_x000a_WO# 170426 &amp; 170422"/>
    <s v="5051053"/>
    <s v="Upstream"/>
    <s v=""/>
    <s v="USD"/>
    <n v="940.5"/>
    <s v="Direct Entry"/>
    <s v="1"/>
    <s v="1"/>
    <s v="Consultant"/>
    <s v=""/>
    <d v="2025-10-08T15:22:20"/>
    <d v="2025-10-06T07:00:00"/>
    <d v="2025-10-06T19:00:00"/>
    <s v=""/>
    <s v=""/>
    <s v=""/>
    <s v=""/>
    <s v=""/>
    <s v=""/>
    <s v=""/>
    <s v=""/>
    <s v=""/>
    <s v=""/>
    <s v=""/>
    <s v=""/>
    <s v=""/>
    <s v=""/>
    <s v=""/>
    <s v=""/>
    <s v=""/>
    <s v=""/>
    <s v=""/>
    <s v=""/>
    <s v=""/>
    <s v=""/>
    <s v=""/>
    <s v=""/>
    <s v="Labor"/>
    <s v=""/>
    <s v=""/>
    <s v=""/>
    <s v="8300189600"/>
    <s v="MCALPINE-GRISHAM 47-35 UNIT 1 CTB"/>
    <s v="Upstream"/>
    <s v="1046"/>
    <s v=""/>
    <s v=""/>
    <s v=""/>
    <s v=""/>
    <s v=""/>
    <s v=""/>
    <s v=""/>
    <n v="0.33"/>
    <s v="Day"/>
    <n v="950"/>
    <s v=""/>
    <n v="313.5"/>
    <s v="--multiple--"/>
    <s v="709393"/>
    <d v="2025-10-08T15:26:10"/>
    <s v=""/>
    <s v=""/>
    <s v=""/>
    <s v=""/>
  </r>
  <r>
    <s v="127858"/>
    <s v="SDS Petroleum Consultants, LLP"/>
    <x v="6"/>
    <s v="Ty Froman"/>
    <s v="Mark Ramos"/>
    <s v="MEEK 47_x000a_FOREMAN: MARK RAMOS_x000a_WO# 170023R"/>
    <s v="5051053"/>
    <s v="Upstream"/>
    <s v=""/>
    <s v="USD"/>
    <n v="475"/>
    <s v="Direct Entry"/>
    <s v="1"/>
    <s v="1"/>
    <s v="Consultant"/>
    <s v=""/>
    <d v="2025-10-13T15:32:19"/>
    <d v="2025-10-06T07:00:00"/>
    <d v="2025-10-06T19:00:00"/>
    <s v=""/>
    <s v=""/>
    <s v=""/>
    <s v=""/>
    <s v=""/>
    <s v=""/>
    <s v=""/>
    <s v=""/>
    <s v=""/>
    <s v=""/>
    <s v=""/>
    <s v=""/>
    <s v=""/>
    <s v=""/>
    <s v=""/>
    <s v=""/>
    <s v=""/>
    <s v=""/>
    <s v=""/>
    <s v=""/>
    <s v=""/>
    <s v=""/>
    <s v=""/>
    <s v=""/>
    <s v="Labor"/>
    <s v=""/>
    <s v=""/>
    <s v=""/>
    <s v="8300125600"/>
    <s v="MEEK 47 BATTERY"/>
    <s v="Upstream"/>
    <s v="1046"/>
    <s v=""/>
    <s v=""/>
    <s v=""/>
    <s v=""/>
    <s v=""/>
    <s v=""/>
    <s v=""/>
    <n v="0.5"/>
    <s v="Day"/>
    <n v="950"/>
    <s v=""/>
    <n v="475"/>
    <s v="--multiple--"/>
    <s v="709393"/>
    <d v="2025-10-13T15:40:36"/>
    <s v=""/>
    <s v=""/>
    <s v=""/>
    <s v=""/>
  </r>
  <r>
    <s v="127607"/>
    <s v="SDS Petroleum Consultants, LLP"/>
    <x v="6"/>
    <s v="Ty Froman"/>
    <s v="Mark Ramos"/>
    <s v="McALPINE GRISHAM 47-35 UNIT 2 CTB_x000a_FOREMAN: MARK RAMOS_x000a_WO# 170424"/>
    <s v="5051053"/>
    <s v="Upstream"/>
    <s v=""/>
    <s v="USD"/>
    <n v="627"/>
    <s v="Direct Entry"/>
    <s v="1"/>
    <s v="1"/>
    <s v="Consultant"/>
    <s v=""/>
    <d v="2025-10-08T15:24:01"/>
    <d v="2025-10-07T07:00:00"/>
    <d v="2025-10-07T19:00:00"/>
    <s v=""/>
    <s v=""/>
    <s v=""/>
    <s v=""/>
    <s v=""/>
    <s v=""/>
    <s v=""/>
    <s v=""/>
    <s v=""/>
    <s v=""/>
    <s v=""/>
    <s v=""/>
    <s v=""/>
    <s v=""/>
    <s v=""/>
    <s v=""/>
    <s v=""/>
    <s v=""/>
    <s v=""/>
    <s v=""/>
    <s v=""/>
    <s v=""/>
    <s v=""/>
    <s v=""/>
    <s v="Labor"/>
    <s v=""/>
    <s v=""/>
    <s v=""/>
    <s v="8300189700"/>
    <s v="MCALPINE-GRISHAM 47-35 UNIT 2 CTB"/>
    <s v="Upstream"/>
    <s v="1046"/>
    <s v=""/>
    <s v=""/>
    <s v=""/>
    <s v=""/>
    <s v=""/>
    <s v=""/>
    <s v=""/>
    <n v="0.33"/>
    <s v="Day"/>
    <n v="950"/>
    <s v=""/>
    <n v="313.5"/>
    <s v="--multiple--"/>
    <s v="709393"/>
    <d v="2025-10-08T15:26:09"/>
    <s v=""/>
    <s v=""/>
    <s v=""/>
    <s v=""/>
  </r>
  <r>
    <s v="127861"/>
    <s v="SDS Petroleum Consultants, LLP"/>
    <x v="6"/>
    <s v="Ty Froman"/>
    <s v="Mark Ramos"/>
    <s v="McALPINE GRISHAM 47-35 U1_x000a_FOREMAN: MARK RAMOS_x000a_WO# 163355"/>
    <s v="5051053"/>
    <s v="Upstream"/>
    <s v=""/>
    <s v="USD"/>
    <n v="313.5"/>
    <s v="Direct Entry"/>
    <s v="1"/>
    <s v="1"/>
    <s v="Consultant"/>
    <s v=""/>
    <d v="2025-10-13T15:36:01"/>
    <d v="2025-10-08T07:00:00"/>
    <d v="2025-10-08T19:00:00"/>
    <s v=""/>
    <s v=""/>
    <s v=""/>
    <s v=""/>
    <s v=""/>
    <s v=""/>
    <s v=""/>
    <s v=""/>
    <s v=""/>
    <s v=""/>
    <s v=""/>
    <s v=""/>
    <s v=""/>
    <s v=""/>
    <s v=""/>
    <s v=""/>
    <s v=""/>
    <s v=""/>
    <s v=""/>
    <s v=""/>
    <s v=""/>
    <s v=""/>
    <s v=""/>
    <s v=""/>
    <s v="Labor"/>
    <s v=""/>
    <s v=""/>
    <s v=""/>
    <s v="8300189600"/>
    <s v="MCALPINE-GRISHAM 47-35 UNIT 1 CTB"/>
    <s v="Upstream"/>
    <s v="1046"/>
    <s v=""/>
    <s v=""/>
    <s v=""/>
    <s v=""/>
    <s v=""/>
    <s v=""/>
    <s v=""/>
    <n v="0.33"/>
    <s v="Day"/>
    <n v="950"/>
    <s v=""/>
    <n v="313.5"/>
    <s v="--multiple--"/>
    <s v="709393"/>
    <d v="2025-10-13T15:40:34"/>
    <s v=""/>
    <s v=""/>
    <s v=""/>
    <s v=""/>
  </r>
  <r>
    <s v="127862"/>
    <s v="SDS Petroleum Consultants, LLP"/>
    <x v="6"/>
    <s v="Ty Froman"/>
    <s v="Mark Ramos"/>
    <s v="McALPINE GRISHAM 47-35 U2_x000a_FOREMAN: MARK RAMOS_x000a_WO# 163569"/>
    <s v="5051053"/>
    <s v="Upstream"/>
    <s v=""/>
    <s v="USD"/>
    <n v="313.5"/>
    <s v="Direct Entry"/>
    <s v="1"/>
    <s v="1"/>
    <s v="Consultant"/>
    <s v=""/>
    <d v="2025-10-13T15:36:41"/>
    <d v="2025-10-08T07:00:00"/>
    <d v="2025-10-08T19:00:00"/>
    <s v=""/>
    <s v=""/>
    <s v=""/>
    <s v=""/>
    <s v=""/>
    <s v=""/>
    <s v=""/>
    <s v=""/>
    <s v=""/>
    <s v=""/>
    <s v=""/>
    <s v=""/>
    <s v=""/>
    <s v=""/>
    <s v=""/>
    <s v=""/>
    <s v=""/>
    <s v=""/>
    <s v=""/>
    <s v=""/>
    <s v=""/>
    <s v=""/>
    <s v=""/>
    <s v=""/>
    <s v="Labor"/>
    <s v=""/>
    <s v=""/>
    <s v=""/>
    <s v="8300189700"/>
    <s v="MCALPINE-GRISHAM 47-35 UNIT 2 CTB"/>
    <s v="Upstream"/>
    <s v="1046"/>
    <s v=""/>
    <s v=""/>
    <s v=""/>
    <s v=""/>
    <s v=""/>
    <s v=""/>
    <s v=""/>
    <n v="0.33"/>
    <s v="Day"/>
    <n v="950"/>
    <s v=""/>
    <n v="313.5"/>
    <s v="--multiple--"/>
    <s v="709393"/>
    <d v="2025-10-13T15:40:35"/>
    <s v=""/>
    <s v=""/>
    <s v=""/>
    <s v=""/>
  </r>
  <r>
    <s v="127864"/>
    <s v="SDS Petroleum Consultants, LLP"/>
    <x v="6"/>
    <s v="Ty Froman"/>
    <s v="Ruben Alonso"/>
    <s v="LEWIS KATHLEEN 1A_x000a_FOREMAN: RUBEN ALONSO_x000a_WO# 170731"/>
    <s v="5051053"/>
    <s v="Upstream"/>
    <s v=""/>
    <s v="USD"/>
    <n v="475"/>
    <s v="Direct Entry"/>
    <s v="1"/>
    <s v="1"/>
    <s v="Consultant"/>
    <s v=""/>
    <d v="2025-10-13T15:37:18"/>
    <d v="2025-10-09T07:00:00"/>
    <d v="2025-10-09T19:00:00"/>
    <s v=""/>
    <s v=""/>
    <s v=""/>
    <s v=""/>
    <s v=""/>
    <s v=""/>
    <s v=""/>
    <s v=""/>
    <s v=""/>
    <s v=""/>
    <s v=""/>
    <s v=""/>
    <s v=""/>
    <s v=""/>
    <s v=""/>
    <s v=""/>
    <s v=""/>
    <s v=""/>
    <s v=""/>
    <s v=""/>
    <s v=""/>
    <s v=""/>
    <s v=""/>
    <s v=""/>
    <s v="Labor"/>
    <s v=""/>
    <s v=""/>
    <s v=""/>
    <s v="1000120200"/>
    <s v="LEWIS KATHLEEN 1A"/>
    <s v="Upstream"/>
    <s v="1046"/>
    <s v=""/>
    <s v=""/>
    <s v=""/>
    <s v=""/>
    <s v=""/>
    <s v=""/>
    <s v=""/>
    <n v="0.5"/>
    <s v="Day"/>
    <n v="950"/>
    <s v=""/>
    <n v="475"/>
    <s v="--multiple--"/>
    <s v="709393"/>
    <d v="2025-10-13T15:40:33"/>
    <s v=""/>
    <s v=""/>
    <s v=""/>
    <s v=""/>
  </r>
  <r>
    <s v="202544632"/>
    <s v="AM Fabrication Inc"/>
    <x v="8"/>
    <s v="Will Miller"/>
    <s v="Mark Vasquez"/>
    <s v="Shut units in, checked oil._x000a_Oil was good in all 4 units._x000a_Opened back up units_x000a_Checked the set points &amp; the cooler wasn’t kicking on till 230, which was also shutdown temp._x000a_Adjusted setpoints to 220 cooler on 205 cooler off._x000a_Oil shutdown adjusted to 235._x000a_No leaks found on units, all coolers turn on and function._x000a_Unit operational._x000a_UNITS CHECKED &amp; CHANGED : RH354, J258, RH333_x000a_Blackfoot Parameters also checked. Everything was good."/>
    <s v="5051006"/>
    <s v="Upstream"/>
    <s v="167451"/>
    <s v="USD"/>
    <n v="652.5"/>
    <s v="Direct Entry"/>
    <s v="1"/>
    <s v="LABOR - 1"/>
    <s v="Technician Labor Hours"/>
    <s v=""/>
    <d v="2025-10-06T09:54:09"/>
    <d v="2025-09-27T07:30:00"/>
    <d v="2025-09-27T11:30:00"/>
    <s v=""/>
    <s v="Stephens 6-31 E, F, G, H Facility"/>
    <s v=""/>
    <s v=""/>
    <s v=""/>
    <s v=""/>
    <s v=""/>
    <s v=""/>
    <s v=""/>
    <s v=""/>
    <s v=""/>
    <s v=""/>
    <s v=""/>
    <s v=""/>
    <s v=""/>
    <s v=""/>
    <s v=""/>
    <s v=""/>
    <s v=""/>
    <s v=""/>
    <s v=""/>
    <s v=""/>
    <s v=""/>
    <s v=""/>
    <s v="Labor"/>
    <s v=""/>
    <s v=""/>
    <s v=""/>
    <s v="8300155800"/>
    <s v="STEPHENS 6-31 BATTERY"/>
    <s v="Upstream"/>
    <s v="1046"/>
    <s v=""/>
    <s v=""/>
    <s v=""/>
    <s v=""/>
    <s v=""/>
    <s v=""/>
    <s v=""/>
    <n v="4"/>
    <s v="hour"/>
    <n v="157.5"/>
    <s v=""/>
    <n v="630"/>
    <s v="--multiple--"/>
    <s v="703623"/>
    <d v="2025-10-06T09:57:49"/>
    <s v=""/>
    <s v=""/>
    <s v=""/>
    <s v=""/>
  </r>
  <r>
    <s v="202544665"/>
    <s v="AM Fabrication Inc"/>
    <x v="2"/>
    <s v="Will Miller"/>
    <s v="Richard Onzures"/>
    <s v="I began by isolating the unit and bleeding it down. Once there was no pressure i removed fill plug and added_x000a_oil to the unit. I reset the unit. Brought it back online and turned it on. Unit is running and operational._x000a_Coalescing filters changed last month."/>
    <s v="5051006"/>
    <s v="Upstream"/>
    <s v="167495"/>
    <s v="USD"/>
    <n v="277.44"/>
    <s v="Direct Entry"/>
    <s v="1"/>
    <s v="LABOR - 1"/>
    <s v="Technician Labor Hours"/>
    <s v=""/>
    <d v="2025-10-07T18:36:23"/>
    <d v="2025-09-29T10:00:00"/>
    <d v="2025-09-29T11:30:00"/>
    <s v=""/>
    <s v="BANKHEAD 4-33 UNIT 2"/>
    <s v=""/>
    <s v=""/>
    <s v=""/>
    <s v=""/>
    <s v=""/>
    <s v=""/>
    <s v=""/>
    <s v=""/>
    <s v=""/>
    <s v=""/>
    <s v=""/>
    <s v=""/>
    <s v=""/>
    <s v=""/>
    <s v=""/>
    <s v=""/>
    <s v=""/>
    <s v=""/>
    <s v=""/>
    <s v=""/>
    <s v=""/>
    <s v=""/>
    <s v="Labor"/>
    <s v=""/>
    <s v=""/>
    <s v=""/>
    <s v="8300078800"/>
    <s v="BANKHEAD 4-33 UNIT 2 BATTERY"/>
    <s v="Upstream"/>
    <s v="1046"/>
    <s v=""/>
    <s v=""/>
    <s v=""/>
    <s v=""/>
    <s v=""/>
    <s v=""/>
    <s v=""/>
    <n v="1.5"/>
    <s v="hour"/>
    <n v="105"/>
    <s v=""/>
    <n v="157.5"/>
    <s v="--multiple--"/>
    <s v="703623"/>
    <d v="2025-10-07T18:39:48"/>
    <s v=""/>
    <s v=""/>
    <s v=""/>
    <s v=""/>
  </r>
  <r>
    <s v="202544672"/>
    <s v="AM Fabrication Inc"/>
    <x v="2"/>
    <s v="Will Miller"/>
    <s v="Richard Onzures"/>
    <s v="Shut off power isolation of unit check oil level reset fault ran unit check settings reset fan settings to turn on_x000a_correctly, warm up and test ran unit left on auto"/>
    <s v="5051006"/>
    <s v="Upstream"/>
    <s v="167858"/>
    <s v="USD"/>
    <n v="331.5"/>
    <s v="Direct Entry"/>
    <s v="1"/>
    <s v="LABOR - 1"/>
    <s v="Technician Labor Hours"/>
    <s v=""/>
    <d v="2025-10-07T18:53:55"/>
    <d v="2025-09-29T17:00:00"/>
    <d v="2025-09-29T19:30:00"/>
    <s v=""/>
    <s v="Stone Cold 11-13"/>
    <s v=""/>
    <s v=""/>
    <s v=""/>
    <s v=""/>
    <s v=""/>
    <s v=""/>
    <s v=""/>
    <s v=""/>
    <s v=""/>
    <s v=""/>
    <s v=""/>
    <s v=""/>
    <s v=""/>
    <s v=""/>
    <s v=""/>
    <s v=""/>
    <s v=""/>
    <s v=""/>
    <s v=""/>
    <s v=""/>
    <s v=""/>
    <s v=""/>
    <s v="Labor"/>
    <s v=""/>
    <s v=""/>
    <s v=""/>
    <s v="8300171500"/>
    <s v="STONE COLD 11-2 1 BATTERY"/>
    <s v="Upstream"/>
    <s v="1046"/>
    <s v=""/>
    <s v=""/>
    <s v=""/>
    <s v=""/>
    <s v=""/>
    <s v=""/>
    <s v=""/>
    <n v="2.5"/>
    <s v="hour"/>
    <n v="105"/>
    <s v=""/>
    <n v="262.5"/>
    <s v="--multiple--"/>
    <s v="703623"/>
    <d v="2025-10-07T18:55:51"/>
    <s v=""/>
    <s v=""/>
    <s v=""/>
    <s v=""/>
  </r>
  <r>
    <s v="202544673"/>
    <s v="AM Fabrication Inc"/>
    <x v="2"/>
    <s v="Will Miller"/>
    <s v="Richard Onzures"/>
    <s v="Reset pump over load_x000a_Test and check voltage, test ran pump drain scrubber left on auto"/>
    <s v="5051006"/>
    <s v="Upstream"/>
    <s v="167858"/>
    <s v="USD"/>
    <n v="262.5"/>
    <s v="Direct Entry"/>
    <s v="1"/>
    <s v="LABOR - 1"/>
    <s v="Technician Labor Hours"/>
    <s v=""/>
    <d v="2025-10-07T18:56:27"/>
    <d v="2025-09-29T19:30:00"/>
    <d v="2025-09-29T22:00:00"/>
    <s v=""/>
    <s v="Stone Cold 11-13"/>
    <s v=""/>
    <s v=""/>
    <s v=""/>
    <s v=""/>
    <s v=""/>
    <s v=""/>
    <s v=""/>
    <s v=""/>
    <s v=""/>
    <s v=""/>
    <s v=""/>
    <s v=""/>
    <s v=""/>
    <s v=""/>
    <s v=""/>
    <s v=""/>
    <s v=""/>
    <s v=""/>
    <s v=""/>
    <s v=""/>
    <s v=""/>
    <s v=""/>
    <s v="Labor"/>
    <s v=""/>
    <s v=""/>
    <s v=""/>
    <s v="8300171500"/>
    <s v="STONE COLD 11-2 1 BATTERY"/>
    <s v="Upstream"/>
    <s v="1046"/>
    <s v=""/>
    <s v=""/>
    <s v=""/>
    <s v=""/>
    <s v=""/>
    <s v=""/>
    <s v=""/>
    <n v="2.5"/>
    <s v="hour"/>
    <n v="105"/>
    <s v=""/>
    <n v="262.5"/>
    <s v="--multiple--"/>
    <s v="703623"/>
    <d v="2025-10-07T18:57:19"/>
    <s v=""/>
    <s v=""/>
    <s v=""/>
    <s v=""/>
  </r>
  <r>
    <s v="427575"/>
    <s v="Diamond Pump and Transport, LLC"/>
    <x v="9"/>
    <s v="Tim Jimenez"/>
    <s v="Michael Cavazos"/>
    <s v="427575-LOAD UP 2 LOADS OF FW MIXED WITH GALS OF CHEM HAUELD TO LOC TO HO"/>
    <s v="5051057"/>
    <s v="Upstream"/>
    <s v=""/>
    <s v="USD"/>
    <n v="665"/>
    <s v="Direct Entry"/>
    <s v="1"/>
    <s v="VACUUM TRUCK"/>
    <s v="Vac Truck"/>
    <s v=""/>
    <d v="2025-10-13T11:16:27"/>
    <d v="2025-10-10T06:30:00"/>
    <d v="2025-10-10T13:30:00"/>
    <d v="1899-12-30T07:00:00"/>
    <s v="PARKS 38H 3"/>
    <s v=""/>
    <s v=""/>
    <s v="*"/>
    <s v=""/>
    <s v=""/>
    <s v=""/>
    <s v=""/>
    <s v=""/>
    <s v=""/>
    <s v=""/>
    <s v=""/>
    <s v=""/>
    <s v=""/>
    <s v=""/>
    <s v=""/>
    <s v=""/>
    <s v=""/>
    <s v=""/>
    <s v=""/>
    <s v=""/>
    <n v="0"/>
    <s v="bbl"/>
    <s v=""/>
    <s v=""/>
    <s v=""/>
    <s v=""/>
    <s v="1001000000"/>
    <s v="PARKS 38 03"/>
    <s v="Upstream"/>
    <s v="1046"/>
    <s v=""/>
    <s v=""/>
    <s v=""/>
    <s v=""/>
    <s v=""/>
    <s v=""/>
    <s v="Hours Worked"/>
    <n v="7"/>
    <s v="hour"/>
    <n v="95"/>
    <s v=""/>
    <n v="665"/>
    <s v="Pricebook"/>
    <s v="705890"/>
    <d v="2025-10-13T11:18:49"/>
    <s v=""/>
    <s v=""/>
    <s v=""/>
    <s v=""/>
  </r>
  <r>
    <s v="428876"/>
    <s v="Diamond Pump and Transport, LLC"/>
    <x v="9"/>
    <s v="Tim Jimenez"/>
    <s v="Michael Cavazos"/>
    <s v="428876-LOAD UP 2 LOAD S OF FRESH WATER MIXED WITH GALS OF CHEM HAULED TO LOC"/>
    <s v="5051057"/>
    <s v="Upstream"/>
    <s v=""/>
    <s v="USD"/>
    <n v="522.5"/>
    <s v="Direct Entry"/>
    <s v="1"/>
    <s v="VACUUM TRUCK"/>
    <s v="Vac Truck"/>
    <s v=""/>
    <d v="2025-10-13T10:54:02"/>
    <d v="2025-10-10T13:30:00"/>
    <d v="2025-10-10T19:00:00"/>
    <d v="1899-12-30T05:30:00"/>
    <s v="AVERITT 19"/>
    <s v=""/>
    <s v=""/>
    <s v="*"/>
    <s v=""/>
    <s v=""/>
    <s v=""/>
    <s v=""/>
    <s v=""/>
    <s v=""/>
    <s v=""/>
    <s v=""/>
    <s v=""/>
    <s v=""/>
    <s v=""/>
    <s v=""/>
    <s v=""/>
    <s v=""/>
    <s v=""/>
    <s v=""/>
    <s v=""/>
    <n v="0"/>
    <s v="bbl"/>
    <s v=""/>
    <s v=""/>
    <s v=""/>
    <s v=""/>
    <s v="1000760000"/>
    <s v="AVERITT 1522 B 19H WA"/>
    <s v="Upstream"/>
    <s v="1046"/>
    <s v=""/>
    <s v=""/>
    <s v=""/>
    <s v=""/>
    <s v=""/>
    <s v=""/>
    <s v="Hours Worked"/>
    <n v="5.5"/>
    <s v="hour"/>
    <n v="95"/>
    <s v=""/>
    <n v="522.5"/>
    <s v="Pricebook"/>
    <s v="705890"/>
    <d v="2025-10-13T10:58:35"/>
    <s v=""/>
    <s v=""/>
    <s v=""/>
    <s v=""/>
  </r>
  <r>
    <s v="30284"/>
    <s v="Well Solutions LLC"/>
    <x v="9"/>
    <s v="Tony Reed"/>
    <s v="Fabian Lujan"/>
    <s v="LOAD TEST. LOAD 70 BBL WATER. PUMP 70 BBL DOWN TUBING. TUBING ON VAC. HOLE IN TUBING"/>
    <s v="5051057"/>
    <s v="Upstream"/>
    <s v=""/>
    <s v="USD"/>
    <n v="360.5"/>
    <s v="Direct Entry"/>
    <s v="1"/>
    <s v="10000020"/>
    <s v="Scheduled Program Hot Oil per BBL"/>
    <s v="Hot OIl"/>
    <d v="2025-10-09T13:55:24"/>
    <d v="2025-10-08T15:30:00"/>
    <d v="2025-10-08T18:00:00"/>
    <s v=""/>
    <s v=""/>
    <s v=""/>
    <s v=""/>
    <s v=""/>
    <s v=""/>
    <s v=""/>
    <s v=""/>
    <s v=""/>
    <s v=""/>
    <s v=""/>
    <s v=""/>
    <s v=""/>
    <s v=""/>
    <s v=""/>
    <s v=""/>
    <s v=""/>
    <s v=""/>
    <s v=""/>
    <s v=""/>
    <s v=""/>
    <s v=""/>
    <s v=""/>
    <s v=""/>
    <s v="Labor"/>
    <s v=""/>
    <s v=""/>
    <s v=""/>
    <s v="1001284100"/>
    <s v="KOONCE 39 2"/>
    <s v="Upstream"/>
    <s v="1046"/>
    <s v=""/>
    <s v=""/>
    <s v=""/>
    <s v=""/>
    <s v=""/>
    <s v=""/>
    <s v=""/>
    <n v="70"/>
    <s v="BBL"/>
    <n v="5.15"/>
    <s v=""/>
    <n v="360.5"/>
    <s v="--multiple--"/>
    <s v="702744"/>
    <d v="2025-10-10T13:14:27"/>
    <s v=""/>
    <s v=""/>
    <s v=""/>
    <s v=""/>
  </r>
  <r>
    <s v="529820"/>
    <s v="Noralta Technologies USA Inc."/>
    <x v="5"/>
    <s v="Daniel Marquez"/>
    <s v="Thomas Vest"/>
    <s v="ATLAS 54-62 UNIT 2 182_x000a_Category Upstream_x000a_WO# 159818 Complete_x000a_GL# 5051043_x000a_CC# 1001197000_x000a_Start: 5:30pm_x000a_Finish: 10pm_x000a_Drive to site, fill out FLHA. Had to assist the ESP tech with the wiring in the VFD for Well 182. Work with ESP tech to verify VFD_x000a_status and run permissive. Was asked to wait on site until well was operational. Made sure well started up and was flowing."/>
    <s v="5101003"/>
    <s v="EW-EW"/>
    <s v="529820"/>
    <s v="USD"/>
    <n v="904.5"/>
    <s v="Direct Entry"/>
    <s v="1"/>
    <s v="LABOUR"/>
    <s v="LABOUR"/>
    <s v="LABOUR"/>
    <d v="2025-10-09T06:53:02"/>
    <d v="2025-09-16T17:30:00"/>
    <d v="2025-09-16T22:00:00"/>
    <s v=""/>
    <s v="ATLAS 54-62 UNIT 2 182"/>
    <s v=""/>
    <s v=""/>
    <s v=""/>
    <s v=""/>
    <s v=""/>
    <s v=""/>
    <s v=""/>
    <s v=""/>
    <s v=""/>
    <s v=""/>
    <s v=""/>
    <s v=""/>
    <s v=""/>
    <s v=""/>
    <s v=""/>
    <s v=""/>
    <s v=""/>
    <s v=""/>
    <s v=""/>
    <s v=""/>
    <s v=""/>
    <s v=""/>
    <s v="Labor"/>
    <s v="REIS, WADE"/>
    <s v=""/>
    <s v=""/>
    <s v="EW-003754EW"/>
    <s v="ATLAS 54-62 UNIT 2 182 - CASING LEAK"/>
    <s v="EW-EW"/>
    <s v="1046"/>
    <s v=""/>
    <s v=""/>
    <s v=""/>
    <s v=""/>
    <s v=""/>
    <s v=""/>
    <s v=""/>
    <n v="4.5"/>
    <s v="HR"/>
    <n v="171"/>
    <s v=""/>
    <n v="769.5"/>
    <s v=""/>
    <s v="712443"/>
    <d v="2025-10-14T11:27:36"/>
    <s v=""/>
    <s v=""/>
    <s v="Coding/Location Issue"/>
    <s v=""/>
  </r>
  <r>
    <s v="0721-1079249"/>
    <s v="Cain Electric Supply CORP"/>
    <x v="0"/>
    <s v="Daniel Marquez"/>
    <s v="Thomas Vest"/>
    <s v="Electrical Materials"/>
    <s v="8501141"/>
    <s v="AC-AC"/>
    <s v=""/>
    <s v="USD"/>
    <n v="1068.72"/>
    <s v=""/>
    <s v="1"/>
    <s v="DYMO 18053"/>
    <s v="3/8 TUBE LABEL"/>
    <s v=""/>
    <d v="2025-10-09T19:03:56"/>
    <d v="2025-10-08T08:00:00"/>
    <d v="2025-10-08T08:00:00"/>
    <s v=""/>
    <s v="BLACK PEARL C 11-14 132"/>
    <s v=""/>
    <s v=""/>
    <s v=""/>
    <s v=""/>
    <s v=""/>
    <s v=""/>
    <s v=""/>
    <s v=""/>
    <s v=""/>
    <s v=""/>
    <s v=""/>
    <s v=""/>
    <s v=""/>
    <s v=""/>
    <s v=""/>
    <s v=""/>
    <s v=""/>
    <s v=""/>
    <s v=""/>
    <s v=""/>
    <s v=""/>
    <s v=""/>
    <s v="Material"/>
    <s v=""/>
    <s v=""/>
    <s v=""/>
    <s v="AC-002052AC"/>
    <s v="BLACK PEARL C 11-14 132 - GAPL2RP"/>
    <s v="AC-AC"/>
    <s v="1046"/>
    <s v=""/>
    <s v=""/>
    <s v=""/>
    <s v=""/>
    <s v=""/>
    <s v=""/>
    <s v=""/>
    <n v="2"/>
    <s v="EA"/>
    <n v="70.61"/>
    <s v=""/>
    <n v="141.22"/>
    <s v="--multiple--"/>
    <s v="703819"/>
    <d v="2025-10-10T08:28:59"/>
    <s v=""/>
    <s v=""/>
    <s v=""/>
    <s v=""/>
  </r>
  <r>
    <s v="1002545"/>
    <s v="B-P Supply Inc"/>
    <x v="0"/>
    <s v="Missael Silva"/>
    <s v="Thomas Vest"/>
    <s v="PARTS ORDERED BY MISSAEL SILVA - BLACK PEARL 11-14 UNIT 2 152"/>
    <s v="8501248"/>
    <s v="AC-AC"/>
    <s v="159317"/>
    <s v="USD"/>
    <n v="3249.86"/>
    <s v="B2B"/>
    <s v="1"/>
    <s v="0075-12-1502"/>
    <s v="2&quot; FIG 1502 UNION"/>
    <s v="Other"/>
    <d v="2025-10-07T15:14:40"/>
    <d v="2025-09-29T00:00:00"/>
    <d v="2025-09-29T00:00:00"/>
    <s v=""/>
    <s v=""/>
    <s v=""/>
    <s v=""/>
    <s v=""/>
    <s v=""/>
    <s v=""/>
    <s v=""/>
    <s v=""/>
    <s v=""/>
    <s v=""/>
    <s v=""/>
    <s v=""/>
    <s v=""/>
    <s v=""/>
    <s v=""/>
    <s v=""/>
    <s v=""/>
    <s v=""/>
    <s v=""/>
    <s v=""/>
    <s v=""/>
    <s v=""/>
    <s v=""/>
    <s v="Material"/>
    <s v=""/>
    <s v=""/>
    <s v=""/>
    <s v="AC-002043AC"/>
    <s v="BLACK PEARL 11-14 UNIT 2 152 - GAPL2RP"/>
    <s v="AC-AC"/>
    <s v="1046"/>
    <s v=""/>
    <s v=""/>
    <s v=""/>
    <s v=""/>
    <s v=""/>
    <s v=""/>
    <s v=""/>
    <n v="1"/>
    <s v="EA"/>
    <n v="128.82"/>
    <s v=""/>
    <n v="128.82"/>
    <s v="--multiple--"/>
    <s v="705219"/>
    <d v="2025-10-10T14:03:29"/>
    <s v=""/>
    <s v=""/>
    <s v=""/>
    <s v=""/>
  </r>
  <r>
    <s v="0721-1079257"/>
    <s v="Cain Electric Supply CORP"/>
    <x v="0"/>
    <s v="Rick Alanis"/>
    <s v="Thomas Vest"/>
    <s v="Electrical Materials"/>
    <s v="8501141"/>
    <s v="AC-AC"/>
    <s v=""/>
    <s v="USD"/>
    <n v="8794.3799999999992"/>
    <s v=""/>
    <s v="1"/>
    <s v="WIRE 18-12TC-VN"/>
    <s v="18-12 BC TC-ER TFFN E2"/>
    <s v=""/>
    <d v="2025-10-09T19:03:59"/>
    <d v="2025-10-08T08:00:00"/>
    <d v="2025-10-08T08:00:00"/>
    <s v=""/>
    <s v="KRAKEN 10-3 UNIT2 282"/>
    <s v=""/>
    <s v=""/>
    <s v=""/>
    <s v=""/>
    <s v=""/>
    <s v=""/>
    <s v=""/>
    <s v=""/>
    <s v=""/>
    <s v=""/>
    <s v=""/>
    <s v=""/>
    <s v=""/>
    <s v=""/>
    <s v=""/>
    <s v=""/>
    <s v=""/>
    <s v=""/>
    <s v=""/>
    <s v=""/>
    <s v=""/>
    <s v=""/>
    <s v="Material"/>
    <s v=""/>
    <s v=""/>
    <s v=""/>
    <s v="AC-002121AC"/>
    <s v="KRAKEN 10-3 UNIT 2 282 - ESP2RP"/>
    <s v="AC-AC"/>
    <s v="1046"/>
    <s v=""/>
    <s v=""/>
    <s v=""/>
    <s v=""/>
    <s v=""/>
    <s v=""/>
    <s v=""/>
    <n v="1000"/>
    <s v="EA"/>
    <n v="1.91"/>
    <s v=""/>
    <n v="1908"/>
    <s v="--multiple--"/>
    <s v="703819"/>
    <d v="2025-10-10T08:29:19"/>
    <s v=""/>
    <s v=""/>
    <s v=""/>
    <s v=""/>
  </r>
  <r>
    <s v="1002426"/>
    <s v="B-P Supply Inc"/>
    <x v="0"/>
    <s v="Hugo Lua Barragan"/>
    <s v="William Jenkins"/>
    <s v="PARTS ORDERED BY HUGO LUA BARRAGAN - UL LAKE VALLEY 10-19 D 3JM"/>
    <s v="8501248"/>
    <s v="AC-AC"/>
    <s v="166134"/>
    <s v="USD"/>
    <n v="4729.83"/>
    <s v="B2B"/>
    <s v="1"/>
    <s v="0045-12-ADJ-W-ZSPEC-07-STD"/>
    <s v="2&quot; ZSPEC ADJ CHOKE 5000# 1&quot; STD"/>
    <s v="Other"/>
    <d v="2025-10-07T15:14:42"/>
    <d v="2025-09-26T00:00:00"/>
    <d v="2025-09-26T00:00:00"/>
    <s v=""/>
    <s v=""/>
    <s v=""/>
    <s v=""/>
    <s v=""/>
    <s v=""/>
    <s v=""/>
    <s v=""/>
    <s v=""/>
    <s v=""/>
    <s v=""/>
    <s v=""/>
    <s v=""/>
    <s v=""/>
    <s v=""/>
    <s v=""/>
    <s v=""/>
    <s v=""/>
    <s v=""/>
    <s v=""/>
    <s v=""/>
    <s v=""/>
    <s v=""/>
    <s v=""/>
    <s v="Material"/>
    <s v=""/>
    <s v=""/>
    <s v=""/>
    <s v="AC-002083AC"/>
    <s v="UL LAKE VALLEY 10-19 D 3JM - ESP2RP"/>
    <s v="AC-AC"/>
    <s v="1046"/>
    <s v=""/>
    <s v=""/>
    <s v=""/>
    <s v=""/>
    <s v=""/>
    <s v=""/>
    <s v=""/>
    <n v="1"/>
    <s v="EA"/>
    <n v="372.24"/>
    <s v=""/>
    <n v="372.24"/>
    <s v="--multiple--"/>
    <s v="705219"/>
    <d v="2025-10-10T13:37:27"/>
    <s v=""/>
    <s v=""/>
    <s v=""/>
    <s v=""/>
  </r>
  <r>
    <s v="OD1251238"/>
    <s v="Jet Specialty Inc"/>
    <x v="6"/>
    <s v="Omar Gonzales"/>
    <s v="Zac Iskra"/>
    <s v="LEASE: BAMBI BATTERY; BUYER: TONY R./OMAR G.;"/>
    <s v="5051049"/>
    <s v="Upstream"/>
    <s v=""/>
    <s v="USD"/>
    <n v="177"/>
    <s v="API"/>
    <s v="1"/>
    <s v="NS680"/>
    <s v="DIAPHRAM GASKET 5315 KIMRAY"/>
    <s v="MISC FITTINGS AND SUPPLIES"/>
    <d v="2025-10-03T09:15:30"/>
    <d v="2025-09-18T00:01:00"/>
    <d v="2025-09-18T00:01:00"/>
    <s v=""/>
    <s v=""/>
    <s v=""/>
    <s v=""/>
    <s v=""/>
    <s v=""/>
    <s v=""/>
    <s v=""/>
    <s v=""/>
    <s v=""/>
    <s v=""/>
    <s v=""/>
    <s v=""/>
    <s v=""/>
    <s v=""/>
    <s v=""/>
    <s v=""/>
    <s v=""/>
    <s v=""/>
    <s v=""/>
    <s v=""/>
    <s v=""/>
    <s v=""/>
    <s v=""/>
    <s v="Material"/>
    <s v=""/>
    <s v=""/>
    <s v=""/>
    <s v="8000311700"/>
    <s v="BAMBI BATTERY"/>
    <s v="Upstream"/>
    <s v="1046"/>
    <s v=""/>
    <s v=""/>
    <s v=""/>
    <s v=""/>
    <s v=""/>
    <s v=""/>
    <s v=""/>
    <n v="1"/>
    <s v="EA"/>
    <n v="177"/>
    <s v=""/>
    <n v="177"/>
    <s v="--multiple--"/>
    <s v="708023"/>
    <d v="2025-10-03T09:15:30"/>
    <s v=""/>
    <s v=""/>
    <s v=""/>
    <s v=""/>
  </r>
  <r>
    <s v="OD1335886"/>
    <s v="Jet Specialty Inc"/>
    <x v="6"/>
    <s v="Omar Gonzales"/>
    <s v="Zac Iskra"/>
    <s v="LEASE: ALS JOHNSON; BUYER: PILAR RAMIREZ/OMAR GONZALEZ; PO: 5051049"/>
    <s v="5051049"/>
    <s v="Upstream"/>
    <s v=""/>
    <s v="USD"/>
    <n v="1011.74"/>
    <s v="API"/>
    <s v="1"/>
    <s v="180062"/>
    <s v="5/8&quot; X 48&quot; HEAVY WALL GLASS"/>
    <s v="5/8X48 HEAVY WALL GL"/>
    <d v="2025-10-03T08:56:30"/>
    <d v="2025-09-19T00:01:00"/>
    <d v="2025-09-19T00:01:00"/>
    <s v=""/>
    <s v=""/>
    <s v=""/>
    <s v=""/>
    <s v=""/>
    <s v=""/>
    <s v=""/>
    <s v=""/>
    <s v=""/>
    <s v=""/>
    <s v=""/>
    <s v=""/>
    <s v=""/>
    <s v=""/>
    <s v=""/>
    <s v=""/>
    <s v=""/>
    <s v=""/>
    <s v=""/>
    <s v=""/>
    <s v=""/>
    <s v=""/>
    <s v=""/>
    <s v=""/>
    <s v="Material"/>
    <s v=""/>
    <s v=""/>
    <s v=""/>
    <s v="8000312900"/>
    <s v="ALS JOHNSON BATTERY"/>
    <s v="Upstream"/>
    <s v="1046"/>
    <s v=""/>
    <s v=""/>
    <s v=""/>
    <s v=""/>
    <s v=""/>
    <s v=""/>
    <s v=""/>
    <n v="4"/>
    <s v="each"/>
    <n v="66.83"/>
    <s v=""/>
    <n v="267.32"/>
    <s v="--multiple--"/>
    <s v="708023"/>
    <d v="2025-10-03T08:56:30"/>
    <s v=""/>
    <s v=""/>
    <s v=""/>
    <s v=""/>
  </r>
  <r>
    <s v="OD1251272"/>
    <s v="Jet Specialty Inc"/>
    <x v="6"/>
    <s v="Omar Gonzales"/>
    <s v="Zac Iskra"/>
    <s v="LEASE: ALS JOHNSON BATTERY; BUYER: MARK J./OMAR G.;"/>
    <s v="5051028"/>
    <s v="Upstream"/>
    <s v=""/>
    <s v="USD"/>
    <n v="161.54"/>
    <s v="API"/>
    <s v="1"/>
    <s v="NS680"/>
    <s v="1-1/2&quot; FELT FOR LUBRICATOR BOX"/>
    <s v="MISC FITTINGS AND SUPPLIES"/>
    <d v="2025-10-03T09:16:59"/>
    <d v="2025-09-24T00:01:00"/>
    <d v="2025-09-24T00:01:00"/>
    <s v=""/>
    <s v=""/>
    <s v=""/>
    <s v=""/>
    <s v=""/>
    <s v=""/>
    <s v=""/>
    <s v=""/>
    <s v=""/>
    <s v=""/>
    <s v=""/>
    <s v=""/>
    <s v=""/>
    <s v=""/>
    <s v=""/>
    <s v=""/>
    <s v=""/>
    <s v=""/>
    <s v=""/>
    <s v=""/>
    <s v=""/>
    <s v=""/>
    <s v=""/>
    <s v=""/>
    <s v="Material"/>
    <s v=""/>
    <s v=""/>
    <s v=""/>
    <s v="8000312900"/>
    <s v="ALS JOHNSON BATTERY"/>
    <s v="Upstream"/>
    <s v="1046"/>
    <s v=""/>
    <s v=""/>
    <s v=""/>
    <s v=""/>
    <s v=""/>
    <s v=""/>
    <s v=""/>
    <n v="3"/>
    <s v="EA"/>
    <n v="10.67"/>
    <s v=""/>
    <n v="32.01"/>
    <s v="--multiple--"/>
    <s v="708023"/>
    <d v="2025-10-03T09:16:59"/>
    <s v=""/>
    <s v=""/>
    <s v=""/>
    <s v=""/>
  </r>
  <r>
    <s v="OD1251284"/>
    <s v="Jet Specialty Inc"/>
    <x v="6"/>
    <s v="Omar Gonzales"/>
    <s v="Zac Iskra"/>
    <s v="LEASE: BAMBI BATTERY; BUYER: TONY R./OMAR G.; PO: 5051062"/>
    <s v="5051062"/>
    <s v="Upstream"/>
    <s v=""/>
    <s v="USD"/>
    <n v="2829.76"/>
    <s v="API"/>
    <s v="1"/>
    <s v="99682"/>
    <s v="773-7704-3 3&quot; BAIRD CAGE"/>
    <s v=""/>
    <d v="2025-10-03T09:18:43"/>
    <d v="2025-09-26T00:01:00"/>
    <d v="2025-09-26T00:01:00"/>
    <s v=""/>
    <s v=""/>
    <s v=""/>
    <s v=""/>
    <s v=""/>
    <s v=""/>
    <s v=""/>
    <s v=""/>
    <s v=""/>
    <s v=""/>
    <s v=""/>
    <s v=""/>
    <s v=""/>
    <s v=""/>
    <s v=""/>
    <s v=""/>
    <s v=""/>
    <s v=""/>
    <s v=""/>
    <s v=""/>
    <s v=""/>
    <s v=""/>
    <s v=""/>
    <s v=""/>
    <s v="Material"/>
    <s v=""/>
    <s v=""/>
    <s v=""/>
    <s v="8000311700"/>
    <s v="BAMBI BATTERY"/>
    <s v="Upstream"/>
    <s v="1046"/>
    <s v=""/>
    <s v=""/>
    <s v=""/>
    <s v=""/>
    <s v=""/>
    <s v=""/>
    <s v=""/>
    <n v="4"/>
    <s v="each"/>
    <n v="175.12"/>
    <s v=""/>
    <n v="700.48"/>
    <s v="--multiple--"/>
    <s v="708023"/>
    <d v="2025-10-03T09:18:43"/>
    <s v=""/>
    <s v=""/>
    <s v=""/>
    <s v=""/>
  </r>
  <r>
    <s v="212161"/>
    <s v="Basin Trucking LLC"/>
    <x v="0"/>
    <s v="Joe Perez"/>
    <s v="Zack Gallegos"/>
    <s v="Drove to location connected and prefab parts on the new wellhead and worked on parts on the flowline a nipple because pulling unit guy installed what teflon tightened and set container and chemical on side pumping unit."/>
    <s v="8501210"/>
    <s v="AC-AC"/>
    <s v="157590"/>
    <s v="USD"/>
    <n v="747.5"/>
    <s v="Direct Entry"/>
    <s v="1"/>
    <s v="3 Man Crew"/>
    <s v="3 Man Crew"/>
    <s v="Roustabout Crew"/>
    <d v="2025-10-04T12:26:47"/>
    <d v="2025-09-24T09:15:00"/>
    <d v="2025-09-24T15:00:00"/>
    <s v=""/>
    <s v="Black Stane State 1-12 F 3BS"/>
    <s v=""/>
    <s v=""/>
    <s v=""/>
    <s v=""/>
    <s v=""/>
    <s v=""/>
    <s v=""/>
    <s v=""/>
    <s v=""/>
    <s v=""/>
    <s v=""/>
    <s v=""/>
    <s v=""/>
    <s v=""/>
    <s v=""/>
    <s v=""/>
    <s v=""/>
    <s v=""/>
    <s v=""/>
    <s v=""/>
    <s v=""/>
    <s v=""/>
    <s v="Labor"/>
    <s v=""/>
    <s v=""/>
    <s v=""/>
    <s v="AC-001984AC"/>
    <s v="BLACK STONE STATE 1-12 F 3BS ESP2RP"/>
    <s v="AC-AC"/>
    <s v="1046"/>
    <s v=""/>
    <s v=""/>
    <s v=""/>
    <s v=""/>
    <s v=""/>
    <s v=""/>
    <s v=""/>
    <n v="5.75"/>
    <s v="HR"/>
    <n v="130"/>
    <s v=""/>
    <n v="747.5"/>
    <s v="--multiple--"/>
    <s v="703517"/>
    <d v="2025-10-04T12:28:26"/>
    <s v=""/>
    <s v=""/>
    <s v=""/>
    <s v=""/>
  </r>
  <r>
    <m/>
    <m/>
    <x v="14"/>
    <m/>
    <m/>
    <m/>
    <m/>
    <m/>
    <m/>
    <m/>
    <m/>
    <m/>
    <m/>
    <m/>
    <m/>
    <m/>
    <m/>
    <m/>
    <m/>
    <m/>
    <m/>
    <m/>
    <m/>
    <m/>
    <m/>
    <m/>
    <m/>
    <m/>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BP-218426"/>
    <s v="Rolfson Oil, LLC"/>
    <x v="0"/>
    <s v=""/>
    <s v=""/>
  </r>
  <r>
    <s v="52479"/>
    <s v="Redhead Services LLC"/>
    <x v="1"/>
    <s v=""/>
    <s v=""/>
  </r>
  <r>
    <s v="670092"/>
    <s v="AggieTech Energy Services LLC"/>
    <x v="2"/>
    <s v="Lance Gross"/>
    <s v="Billy Brookshire"/>
  </r>
  <r>
    <s v="59235"/>
    <s v="FESCO LTD"/>
    <x v="2"/>
    <s v="Banny Wiebe"/>
    <s v="Mark Ramos"/>
  </r>
  <r>
    <s v="26157"/>
    <s v="Phoenix Services LLC"/>
    <x v="3"/>
    <s v="Callen Elliott"/>
    <s v="Britt Gunnels"/>
  </r>
  <r>
    <s v="52640"/>
    <s v="Redhead Services LLC"/>
    <x v="4"/>
    <s v="Cody Casey"/>
    <s v="Ruben Alonso"/>
  </r>
  <r>
    <s v="395715"/>
    <s v="Tommy White Supply Company, Inc."/>
    <x v="4"/>
    <s v="LUIS ORTEGA"/>
    <s v="Fabian Lujan"/>
  </r>
  <r>
    <s v="5-117260"/>
    <s v="RK Supply"/>
    <x v="4"/>
    <s v="Richard Garcia"/>
    <s v="Jobe Christon"/>
  </r>
  <r>
    <s v="MD2608945"/>
    <s v="Jet Specialty Inc"/>
    <x v="2"/>
    <s v="Jesus Rodriguez"/>
    <s v="Justin Rodriguez"/>
  </r>
  <r>
    <s v="10048"/>
    <s v="Backhoes Plus, LLC"/>
    <x v="3"/>
    <s v="Callen Elliott"/>
    <s v="Marco Rodriguez"/>
  </r>
  <r>
    <s v="10049"/>
    <s v="Backhoes Plus, LLC"/>
    <x v="3"/>
    <s v="Callen Elliott"/>
    <s v="Marco Rodriguez"/>
  </r>
  <r>
    <s v="10054"/>
    <s v="Backhoes Plus, LLC"/>
    <x v="3"/>
    <s v="Callen Elliott"/>
    <s v="Marco Rodriguez"/>
  </r>
  <r>
    <s v="10056"/>
    <s v="Backhoes Plus, LLC"/>
    <x v="3"/>
    <s v="Callen Elliott"/>
    <s v="Marco Rodriguez"/>
  </r>
  <r>
    <s v="10062"/>
    <s v="Backhoes Plus, LLC"/>
    <x v="3"/>
    <s v="Callen Elliott"/>
    <s v="Marco Rodriguez"/>
  </r>
  <r>
    <s v="10063"/>
    <s v="Backhoes Plus, LLC"/>
    <x v="3"/>
    <s v="Callen Elliott"/>
    <s v="Marco Rodriguez"/>
  </r>
  <r>
    <s v="10064"/>
    <s v="Backhoes Plus, LLC"/>
    <x v="3"/>
    <s v="Callen Elliott"/>
    <s v="Marco Rodriguez"/>
  </r>
  <r>
    <s v="10065"/>
    <s v="Backhoes Plus, LLC"/>
    <x v="3"/>
    <s v="Callen Elliott"/>
    <s v="Marco Rodriguez"/>
  </r>
  <r>
    <s v="10066"/>
    <s v="Backhoes Plus, LLC"/>
    <x v="3"/>
    <s v="Callen Elliott"/>
    <s v="Marco Rodriguez"/>
  </r>
  <r>
    <s v="10067"/>
    <s v="Backhoes Plus, LLC"/>
    <x v="3"/>
    <s v="Callen Elliott"/>
    <s v="Marco Rodriguez"/>
  </r>
  <r>
    <s v="10216"/>
    <s v="Backhoes Plus, LLC"/>
    <x v="3"/>
    <s v="Callen Elliott"/>
    <s v="Marco Rodriguez"/>
  </r>
  <r>
    <s v="10068"/>
    <s v="Backhoes Plus, LLC"/>
    <x v="3"/>
    <s v="Callen Elliott"/>
    <s v="Marco Rodriguez"/>
  </r>
  <r>
    <s v="10146"/>
    <s v="Backhoes Plus, LLC"/>
    <x v="3"/>
    <s v="Callen Elliott"/>
    <s v="Marco Rodriguez"/>
  </r>
  <r>
    <s v="10217"/>
    <s v="Backhoes Plus, LLC"/>
    <x v="3"/>
    <s v="Callen Elliott"/>
    <s v="Marco Rodriguez"/>
  </r>
  <r>
    <s v="10147"/>
    <s v="Backhoes Plus, LLC"/>
    <x v="3"/>
    <s v="Callen Elliott"/>
    <s v="Marco Rodriguez"/>
  </r>
  <r>
    <s v="10218"/>
    <s v="Backhoes Plus, LLC"/>
    <x v="3"/>
    <s v="Callen Elliott"/>
    <s v="Marco Rodriguez"/>
  </r>
  <r>
    <s v="10148"/>
    <s v="Backhoes Plus, LLC"/>
    <x v="3"/>
    <s v="Callen Elliott"/>
    <s v="Marco Rodriguez"/>
  </r>
  <r>
    <s v="10219"/>
    <s v="Backhoes Plus, LLC"/>
    <x v="3"/>
    <s v="Callen Elliott"/>
    <s v="Marco Rodriguez"/>
  </r>
  <r>
    <s v="10149"/>
    <s v="Backhoes Plus, LLC"/>
    <x v="3"/>
    <s v="Callen Elliott"/>
    <s v="Marco Rodriguez"/>
  </r>
  <r>
    <s v="2509303459"/>
    <s v="ASAP Rentals, LLC"/>
    <x v="0"/>
    <s v="P.A. Gonzales"/>
    <s v="Jack Lau"/>
  </r>
  <r>
    <s v="18481"/>
    <s v="Bustamante Frontier Services LLC"/>
    <x v="4"/>
    <s v="Perry Jamison"/>
    <s v="Bud Wilson"/>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s v="25047537"/>
    <s v="Lone Star Instrumentation &amp; Electric Corp"/>
    <x v="0"/>
    <s v="Bobby Ramirez"/>
    <s v="Jose Villarreal"/>
    <s v="WORK DESCRIPTION: Mobilized equipment, isolated power, cleaned out all disconnects and safety switches, torqued connections to spec requirments, maintained bank, tightened all bushing connections, checked grounding system, tested all disconnect fuses, coordinated fuses."/>
    <s v="5051044"/>
  </r>
  <r>
    <s v="51119914"/>
    <s v="Lufkin US Acquisition Company LLC"/>
    <x v="1"/>
    <s v="Bud Wilson"/>
    <s v="Perry Jamison"/>
    <s v="PARTS"/>
    <s v="5051003"/>
  </r>
  <r>
    <s v="PR1896805"/>
    <s v="Mattr US Inc"/>
    <x v="2"/>
    <s v="Cesar Galindo"/>
    <s v="Colby Brunson"/>
    <s v="Clark Cattail Battery Rental Invoice"/>
    <s v="5051023"/>
  </r>
  <r>
    <s v="243532"/>
    <s v="Royal Oilfield Services LLC"/>
    <x v="2"/>
    <s v="Carlos Lopez"/>
    <s v="Josh Clemmer"/>
    <s v="JC- I was asked to transfer fresh water to the pump trucks from the company acid tech services."/>
    <s v="5051054"/>
  </r>
  <r>
    <s v="30135"/>
    <s v="Well Solutions LLC"/>
    <x v="3"/>
    <s v="Clayton Marburger"/>
    <s v="Gary Cain"/>
    <s v="50 BBL CASING 20 BBL FL"/>
    <s v="5051026"/>
  </r>
  <r>
    <s v="18325"/>
    <s v="Bustamante Frontier Services LLC"/>
    <x v="4"/>
    <s v="David Fuerte"/>
    <s v="Perry Jamison"/>
    <s v="HYDROVAC TRUCK TO TRENCH LINES ON LOCATION."/>
    <s v="5051026"/>
  </r>
  <r>
    <s v="205646"/>
    <s v="Basin Trucking LLC"/>
    <x v="3"/>
    <s v="Steven Salcedo"/>
    <s v="Gary Cain"/>
    <s v="Drove to location picked up roll of poly pipe and put on back of trailer truck, picked up base poly and put on utility trailer and discharge all in location."/>
    <s v="5051027"/>
  </r>
  <r>
    <s v="V-55785"/>
    <s v="J&amp;R Roustabout, LLC"/>
    <x v="5"/>
    <s v="Fernando DeHoyos"/>
    <s v="Fabian Lujan"/>
    <s v="DROVE TO LOCATION AND EMPTY OUT TANK #1 AND TANK #2 AND STAND BY FOR CREW TO FINISHED REPLACING VALVES AND FITTINGS, DROVE TO BUCHANAN TO WASH OUT"/>
    <s v="5051057"/>
  </r>
  <r>
    <s v="R-5291"/>
    <s v="ACH Services, LLC"/>
    <x v="6"/>
    <s v="Jacob Rogers"/>
    <s v="Christopher Falcon"/>
    <s v="Drove to location to cut pipe plug off pipeline and plug on vacuum truck then drove to another spot to cut pipeline and put back using poly machine."/>
    <s v="5051023"/>
  </r>
  <r>
    <s v="R-5326"/>
    <s v="ACH Services, LLC"/>
    <x v="4"/>
    <s v="Billy Christy"/>
    <s v="Jobe Christon"/>
    <s v="Drove to location to power wash VRUs."/>
    <s v="5051027"/>
  </r>
  <r>
    <s v="2025-06996"/>
    <s v="GTG Automation, Inc."/>
    <x v="5"/>
    <s v="Jesse Melendez"/>
    <s v="Jose Villarreal"/>
    <s v="Service Time: 0500-1300 Truck: PL309_x000a_Went out to location had a safety meeting before we started then went to each well pad and killed out banks and tightened all hardware on banks and also opened up disconnects and tightened and dusted off everything in the panels"/>
    <s v="5051044"/>
  </r>
  <r>
    <s v="250811071"/>
    <s v="Range Technical Services LLC"/>
    <x v="6"/>
    <s v="Joey Heredia"/>
    <s v="Gus Levario"/>
    <s v="Service Call"/>
    <s v="5051044"/>
  </r>
  <r>
    <s v="25093563"/>
    <s v="Lone Star Instrumentation &amp; Electric Corp"/>
    <x v="7"/>
    <s v="Joey Heredia"/>
    <s v="Gus Levario"/>
    <s v="WORK DESCRIPTION:Drove to location and set up truck. Began to de energize all equipment to begin installing all devices to well. Began to open up motor head cover and installed bushing to motor, pulled motor service into head and tightened down fitting, crimped on ground terminal and grounded motor ground. Began to wire up motor and tighten down all connections. Relocated brackets on unit for sensors and installed sensors to unit. Mounted support kit and load cell cable. Drilled holes for j box and mounted j box to unit. Shot all hilti shots needed and began to strap down all end devices and main service along with ground, terminated ground at well head and began to close up all equipment to begin testing, panel was not engaging so we opened panel to begin trouble shooting, found missing leg on top of starter, found all voltage good so we de energized disconnect and began to open up blades in panel to check connection, found blade insert loose causing connection to miss the phase, tightened down blade insert and put back together blade and began to energize panel. Checked balance on unit and found weights 72 and rods 61, motor rated for 99 amps, and was notified to leave unit down."/>
    <s v="5051044"/>
  </r>
  <r>
    <s v="11192"/>
    <s v="Viper Energy Services &amp; Transport, LLC"/>
    <x v="1"/>
    <s v="Missael Silva"/>
    <s v="Joshua Bales"/>
    <s v="Maintenance Roustabout - Installed auto drainer/ bleeder valve at scrubber air compressor."/>
    <s v="5051049"/>
  </r>
  <r>
    <s v="11194"/>
    <s v="Viper Energy Services &amp; Transport, LLC"/>
    <x v="1"/>
    <s v="Missael Silva"/>
    <s v="Joshua Bales"/>
    <s v="Maintenance Roustabout - Installed auto drainer/bleeder valve at scrubber air compressor."/>
    <s v="5051049"/>
  </r>
  <r>
    <s v="11195"/>
    <s v="Viper Energy Services &amp; Transport, LLC"/>
    <x v="1"/>
    <s v="Missael Silva"/>
    <s v="Joshua Bales"/>
    <s v="Maintenance Roustabout - Installed auto drainer/bleeder valve at scrubber air compressor."/>
    <s v="5051049"/>
  </r>
  <r>
    <s v="64527"/>
    <s v="Valdez Oil Services, L.L.C."/>
    <x v="6"/>
    <s v="Kenneth Hodges"/>
    <s v="Marco Rodriguez"/>
    <s v="DRAGO: Cleaned up spill from containment and transferred 20 bbl. of fluid into tank #7"/>
    <s v="5051027"/>
  </r>
  <r>
    <s v="R-5363"/>
    <s v="ACH Services, LLC"/>
    <x v="3"/>
    <s v="Kyle Jordan"/>
    <s v="Marco Rodriguez"/>
    <s v="Drove to location to install wind walls."/>
    <s v="5051027"/>
  </r>
  <r>
    <s v="R-5364"/>
    <s v="ACH Services, LLC"/>
    <x v="3"/>
    <s v="Kyle Jordan"/>
    <s v="Marco Rodriguez"/>
    <s v="Drove to location to install wind walls."/>
    <s v="5051027"/>
  </r>
  <r>
    <s v="R-5365"/>
    <s v="ACH Services, LLC"/>
    <x v="3"/>
    <s v="Kyle Jordan"/>
    <s v="Marco Rodriguez"/>
    <s v="Drove to location to install wind walls."/>
    <s v="5051027"/>
  </r>
  <r>
    <s v="R-5366"/>
    <s v="ACH Services, LLC"/>
    <x v="3"/>
    <s v="Kyle Jordan"/>
    <s v="Marco Rodriguez"/>
    <s v="Drove to location to install wind walls."/>
    <s v="5051027"/>
  </r>
  <r>
    <s v="R-5367"/>
    <s v="ACH Services, LLC"/>
    <x v="3"/>
    <s v="Kyle Jordan"/>
    <s v="Marco Rodriguez"/>
    <s v="Drove to location to install wind walls."/>
    <s v="5051027"/>
  </r>
  <r>
    <s v="R-5368"/>
    <s v="ACH Services, LLC"/>
    <x v="3"/>
    <s v="Kyle Jordan"/>
    <s v="Marco Rodriguez"/>
    <s v="Drove to location to install wind walls."/>
    <s v="5051027"/>
  </r>
  <r>
    <s v="R-5369"/>
    <s v="ACH Services, LLC"/>
    <x v="3"/>
    <s v="Kyle Jordan"/>
    <s v="Marco Rodriguez"/>
    <s v="Drove to location to install wind walls."/>
    <s v="5051027"/>
  </r>
  <r>
    <s v="R-5358"/>
    <s v="ACH Services, LLC"/>
    <x v="3"/>
    <s v="Kyle Jordan"/>
    <s v="Christopher Cain"/>
    <s v="Drove to location to do weed control."/>
    <s v="5051054"/>
  </r>
  <r>
    <s v="2025-06978"/>
    <s v="GTG Automation, Inc."/>
    <x v="5"/>
    <s v="Michelle Fuller"/>
    <s v="Jimmy Martin"/>
    <s v="Service Time: 1000-1400 Truck: 110_x000a_Drove to location turn power off disconnected power to drive and transformer pull flexes and wires out drive and transformer then disconnected the automation wires and remove them from drive also disconnected ground wires on the outside of drive and transformer"/>
    <s v="5051044"/>
  </r>
  <r>
    <s v="R-5242"/>
    <s v="ACH Services, LLC"/>
    <x v="3"/>
    <s v="Kyle Jordan"/>
    <s v="P.A. Gonzales"/>
    <s v="Drove to location to install wind walls."/>
    <s v="5051027"/>
  </r>
  <r>
    <s v="25047753"/>
    <s v="Lone Star Instrumentation &amp; Electric Corp"/>
    <x v="4"/>
    <s v="Ramiro Rangel"/>
    <s v="Dusty Gutierrez"/>
    <s v="WORK DESCRIPTION: Disconnected the ESP equipment from service."/>
    <s v="5051044"/>
  </r>
  <r>
    <s v="25047756"/>
    <s v="Lone Star Instrumentation &amp; Electric Corp"/>
    <x v="4"/>
    <s v="Ramiro Rangel"/>
    <s v="Dusty Gutierrez"/>
    <s v="WORK DESCRIPTION:Pulled cut outs on the bank to disconnect well from service."/>
    <s v="5051044"/>
  </r>
  <r>
    <s v="25047788"/>
    <s v="Lone Star Instrumentation &amp; Electric Corp"/>
    <x v="4"/>
    <s v="Ramiro Rangel"/>
    <s v="Dusty Gutierrez"/>
    <s v="WORK DESCRIPTION: Disconnect and remove all flex and wire from drive transformer and disconnect. Load up material onto trailer. Get wire footage and make material list. Get driving directions and call in dig test. Unload material at yard"/>
    <s v="5051044"/>
  </r>
  <r>
    <s v="591071"/>
    <s v="Bay Ltd"/>
    <x v="4"/>
    <s v="David Fuerte"/>
    <s v="Perry Jamison"/>
    <s v="REMOVING VRU AND HAULING TO YARD AND OFFLOADING THEN LOADING ANOTHER VRU TO SET AT FIRST LOCATION."/>
    <s v="5051049"/>
  </r>
  <r>
    <s v="ML19715"/>
    <s v="ML POWER LLC"/>
    <x v="1"/>
    <s v="Roy McNutt"/>
    <s v="Taylor Smith"/>
    <s v="esp2rp Perform a JSA review to identify potential hazards. Verify voltage levels and identify potential hazards. Collect wire at the station yard. At the location, terminate the main service at the drive and disconnect. Flex and terminate the motor service. After completion, close line fuses and restore power to the unit. Verify voltage levels and test the unit to confirm functionality."/>
    <s v="5051044"/>
  </r>
  <r>
    <s v="ML19722"/>
    <s v="ML POWER LLC"/>
    <x v="1"/>
    <s v="Roy McNutt"/>
    <s v="Taylor Smith"/>
    <s v="esp2rp Conducted a JSA review to identify potential hazards. Verified voltage levels and identified potential hazards. Gathered necessary materials and wiring at Cain. Upon arrival at the site, installed the jbox and flex conduit for the permissive wires. Installed the flex conduit to the casing pt and tubing pt. Replaced the main service to the control box and terminated it to the disconnect, verifying the voltage at 120v, which is functioning correctly. Cleaned all trash. Departed the location and acquired a new radio and push pole at GDL."/>
    <s v="5051044"/>
  </r>
  <r>
    <s v="25047791"/>
    <s v="Lone Star Instrumentation &amp; Electric Corp"/>
    <x v="4"/>
    <s v="Taylor Smith"/>
    <s v="Mark Allcorn"/>
    <s v="WORK DESCRIPTION: Drive out to location go over task with company men and coordinate shut down then go to all affected pads kill power pull fuses then go through all jumpers and connections on bank tighten or adjust where needed then open disconnects and use torque wrench to tighten all connections inside disconnect to needed torque pressure and close back up make banks hot again and move to next pad and repeat process"/>
    <s v="50510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39F9A5-52FF-47DD-A1E2-3F7D6C902B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pivotFields count="70">
    <pivotField dataField="1" showAll="0"/>
    <pivotField showAll="0"/>
    <pivotField axis="axisRow" showAll="0">
      <items count="16">
        <item x="11"/>
        <item x="8"/>
        <item x="2"/>
        <item x="3"/>
        <item x="9"/>
        <item x="6"/>
        <item x="5"/>
        <item x="0"/>
        <item x="12"/>
        <item x="7"/>
        <item x="13"/>
        <item x="10"/>
        <item x="4"/>
        <item x="1"/>
        <item h="1"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5">
    <i>
      <x/>
    </i>
    <i>
      <x v="1"/>
    </i>
    <i>
      <x v="2"/>
    </i>
    <i>
      <x v="3"/>
    </i>
    <i>
      <x v="4"/>
    </i>
    <i>
      <x v="5"/>
    </i>
    <i>
      <x v="6"/>
    </i>
    <i>
      <x v="7"/>
    </i>
    <i>
      <x v="8"/>
    </i>
    <i>
      <x v="9"/>
    </i>
    <i>
      <x v="10"/>
    </i>
    <i>
      <x v="11"/>
    </i>
    <i>
      <x v="12"/>
    </i>
    <i>
      <x v="13"/>
    </i>
    <i t="grand">
      <x/>
    </i>
  </rowItems>
  <colItems count="1">
    <i/>
  </colItems>
  <dataFields count="1">
    <dataField name="Count of Ticket" fld="0" subtotal="count" baseField="0" baseItem="0"/>
  </dataFields>
  <formats count="2">
    <format dxfId="1">
      <pivotArea collapsedLevelsAreSubtotals="1" fieldPosition="0">
        <references count="1">
          <reference field="2" count="1">
            <x v="11"/>
          </reference>
        </references>
      </pivotArea>
    </format>
    <format dxfId="0">
      <pivotArea dataOnly="0" labelOnly="1" fieldPosition="0">
        <references count="1">
          <reference field="2" count="1">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1D1872-0127-482B-83C7-846A10A50AE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7">
    <pivotField dataField="1" showAll="0"/>
    <pivotField showAll="0"/>
    <pivotField axis="axisRow" showAll="0">
      <items count="9">
        <item x="0"/>
        <item x="1"/>
        <item x="5"/>
        <item x="6"/>
        <item x="2"/>
        <item x="4"/>
        <item x="3"/>
        <item x="7"/>
        <item t="default"/>
      </items>
    </pivotField>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Count of Ticke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95E887-B2E5-4DBC-A808-DA61BC6BFC6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5">
    <pivotField dataField="1" showAll="0"/>
    <pivotField showAll="0"/>
    <pivotField axis="axisRow" showAll="0">
      <items count="6">
        <item x="4"/>
        <item x="2"/>
        <item x="0"/>
        <item x="3"/>
        <item x="1"/>
        <item t="default"/>
      </items>
    </pivotField>
    <pivotField showAll="0"/>
    <pivotField showAll="0"/>
  </pivotFields>
  <rowFields count="1">
    <field x="2"/>
  </rowFields>
  <rowItems count="6">
    <i>
      <x/>
    </i>
    <i>
      <x v="1"/>
    </i>
    <i>
      <x v="2"/>
    </i>
    <i>
      <x v="3"/>
    </i>
    <i>
      <x v="4"/>
    </i>
    <i t="grand">
      <x/>
    </i>
  </rowItems>
  <colItems count="1">
    <i/>
  </colItems>
  <dataFields count="1">
    <dataField name="Count of Ticke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B1B91-1D6B-4E0E-A700-F1D8A593B547}">
  <dimension ref="A3:F18"/>
  <sheetViews>
    <sheetView workbookViewId="0">
      <selection activeCell="J23" sqref="J23"/>
    </sheetView>
  </sheetViews>
  <sheetFormatPr defaultRowHeight="14.4" x14ac:dyDescent="0.3"/>
  <cols>
    <col min="1" max="1" width="17.6640625" bestFit="1" customWidth="1"/>
    <col min="2" max="2" width="14.88671875" bestFit="1" customWidth="1"/>
    <col min="3" max="3" width="16.44140625" bestFit="1" customWidth="1"/>
    <col min="4" max="4" width="15.88671875" bestFit="1" customWidth="1"/>
    <col min="5" max="5" width="15.44140625" bestFit="1" customWidth="1"/>
    <col min="6" max="6" width="12.44140625" bestFit="1" customWidth="1"/>
  </cols>
  <sheetData>
    <row r="3" spans="1:6" x14ac:dyDescent="0.3">
      <c r="A3" s="4" t="s">
        <v>205</v>
      </c>
      <c r="B3" t="s">
        <v>204</v>
      </c>
      <c r="C3" s="3" t="s">
        <v>207</v>
      </c>
      <c r="D3" s="3" t="s">
        <v>208</v>
      </c>
      <c r="E3" s="3" t="s">
        <v>209</v>
      </c>
      <c r="F3" s="3" t="s">
        <v>210</v>
      </c>
    </row>
    <row r="4" spans="1:6" x14ac:dyDescent="0.3">
      <c r="A4" s="5" t="s">
        <v>64</v>
      </c>
      <c r="B4">
        <v>9</v>
      </c>
      <c r="C4">
        <v>0</v>
      </c>
      <c r="D4">
        <v>0</v>
      </c>
      <c r="E4">
        <f>D4+C4</f>
        <v>0</v>
      </c>
      <c r="F4" s="9">
        <f>E4/GETPIVOTDATA("Ticket",$A$3,"Requisitioner","Alissa Washington")</f>
        <v>0</v>
      </c>
    </row>
    <row r="5" spans="1:6" x14ac:dyDescent="0.3">
      <c r="A5" s="5" t="s">
        <v>14</v>
      </c>
      <c r="B5">
        <v>50</v>
      </c>
      <c r="C5">
        <v>0</v>
      </c>
      <c r="D5">
        <v>1</v>
      </c>
      <c r="E5">
        <f t="shared" ref="E5:E17" si="0">D5+C5</f>
        <v>1</v>
      </c>
      <c r="F5" s="9">
        <f>E5/GETPIVOTDATA("Ticket",$A$3,"Requisitioner","Beverly Patton")</f>
        <v>0.02</v>
      </c>
    </row>
    <row r="6" spans="1:6" x14ac:dyDescent="0.3">
      <c r="A6" s="5" t="s">
        <v>27</v>
      </c>
      <c r="B6">
        <v>96</v>
      </c>
      <c r="C6">
        <v>0</v>
      </c>
      <c r="D6">
        <v>0</v>
      </c>
      <c r="E6">
        <f t="shared" si="0"/>
        <v>0</v>
      </c>
      <c r="F6" s="9">
        <f>E6/GETPIVOTDATA("Ticket",$A$3,"Requisitioner","Hillary Terry")</f>
        <v>0</v>
      </c>
    </row>
    <row r="7" spans="1:6" x14ac:dyDescent="0.3">
      <c r="A7" s="5" t="s">
        <v>18</v>
      </c>
      <c r="B7">
        <v>210</v>
      </c>
      <c r="C7">
        <v>4</v>
      </c>
      <c r="D7">
        <v>6</v>
      </c>
      <c r="E7">
        <f t="shared" si="0"/>
        <v>10</v>
      </c>
      <c r="F7" s="9">
        <f>E7/GETPIVOTDATA("Ticket",$A$3,"Requisitioner","Janet Locklar")</f>
        <v>4.7619047619047616E-2</v>
      </c>
    </row>
    <row r="8" spans="1:6" x14ac:dyDescent="0.3">
      <c r="A8" s="5" t="s">
        <v>62</v>
      </c>
      <c r="B8">
        <v>139</v>
      </c>
      <c r="C8">
        <v>0</v>
      </c>
      <c r="D8">
        <v>3</v>
      </c>
      <c r="E8">
        <f t="shared" si="0"/>
        <v>3</v>
      </c>
      <c r="F8" s="9">
        <f>E8/GETPIVOTDATA("Ticket",$A$3,"Requisitioner","Jazmine Enriquez")</f>
        <v>2.1582733812949641E-2</v>
      </c>
    </row>
    <row r="9" spans="1:6" x14ac:dyDescent="0.3">
      <c r="A9" s="5" t="s">
        <v>46</v>
      </c>
      <c r="B9">
        <v>172</v>
      </c>
      <c r="C9">
        <v>0</v>
      </c>
      <c r="D9">
        <v>0</v>
      </c>
      <c r="E9">
        <f t="shared" si="0"/>
        <v>0</v>
      </c>
      <c r="F9" s="9">
        <f>E9/GETPIVOTDATA("Ticket",$A$3,"Requisitioner","Jennifer Navarro")</f>
        <v>0</v>
      </c>
    </row>
    <row r="10" spans="1:6" x14ac:dyDescent="0.3">
      <c r="A10" s="5" t="s">
        <v>10</v>
      </c>
      <c r="B10">
        <v>128</v>
      </c>
      <c r="C10">
        <v>3</v>
      </c>
      <c r="D10">
        <v>3</v>
      </c>
      <c r="E10">
        <f t="shared" si="0"/>
        <v>6</v>
      </c>
      <c r="F10" s="9">
        <f>E10/GETPIVOTDATA("Ticket",$A$3,"Requisitioner","Kari Rainey")</f>
        <v>4.6875E-2</v>
      </c>
    </row>
    <row r="11" spans="1:6" x14ac:dyDescent="0.3">
      <c r="A11" s="5" t="s">
        <v>28</v>
      </c>
      <c r="B11">
        <v>135</v>
      </c>
      <c r="C11">
        <v>2</v>
      </c>
      <c r="D11">
        <v>2</v>
      </c>
      <c r="E11">
        <f t="shared" si="0"/>
        <v>4</v>
      </c>
      <c r="F11" s="9">
        <f>E11/GETPIVOTDATA("Ticket",$A$3,"Requisitioner","Kelly Poynor")</f>
        <v>2.9629629629629631E-2</v>
      </c>
    </row>
    <row r="12" spans="1:6" x14ac:dyDescent="0.3">
      <c r="A12" s="5" t="s">
        <v>33</v>
      </c>
      <c r="B12">
        <v>129</v>
      </c>
      <c r="C12">
        <v>0</v>
      </c>
      <c r="D12">
        <v>0</v>
      </c>
      <c r="E12">
        <f t="shared" si="0"/>
        <v>0</v>
      </c>
      <c r="F12" s="9">
        <f>E12/GETPIVOTDATA("Ticket",$A$3,"Requisitioner","Maira Villa")</f>
        <v>0</v>
      </c>
    </row>
    <row r="13" spans="1:6" x14ac:dyDescent="0.3">
      <c r="A13" s="5" t="s">
        <v>19</v>
      </c>
      <c r="B13">
        <v>118</v>
      </c>
      <c r="C13">
        <v>0</v>
      </c>
      <c r="D13">
        <v>7</v>
      </c>
      <c r="E13">
        <f t="shared" si="0"/>
        <v>7</v>
      </c>
      <c r="F13" s="9">
        <f>E13/GETPIVOTDATA("Ticket",$A$3,"Requisitioner","Megan Lane")</f>
        <v>5.9322033898305086E-2</v>
      </c>
    </row>
    <row r="14" spans="1:6" x14ac:dyDescent="0.3">
      <c r="A14" s="5" t="s">
        <v>97</v>
      </c>
      <c r="B14">
        <v>1</v>
      </c>
      <c r="C14">
        <v>0</v>
      </c>
      <c r="D14">
        <v>0</v>
      </c>
      <c r="E14">
        <f t="shared" si="0"/>
        <v>0</v>
      </c>
      <c r="F14" s="9">
        <f>E14/GETPIVOTDATA("Ticket",$A$3,"Requisitioner","Misty Morrison")</f>
        <v>0</v>
      </c>
    </row>
    <row r="15" spans="1:6" x14ac:dyDescent="0.3">
      <c r="A15" s="12" t="s">
        <v>52</v>
      </c>
      <c r="B15" s="6">
        <v>105</v>
      </c>
      <c r="C15" s="6">
        <v>20</v>
      </c>
      <c r="D15" s="6">
        <v>11</v>
      </c>
      <c r="E15" s="6">
        <f t="shared" si="0"/>
        <v>31</v>
      </c>
      <c r="F15" s="13">
        <f>E15/GETPIVOTDATA("Ticket",$A$3,"Requisitioner","Nancy Sepulveda")</f>
        <v>0.29523809523809524</v>
      </c>
    </row>
    <row r="16" spans="1:6" x14ac:dyDescent="0.3">
      <c r="A16" s="5" t="s">
        <v>15</v>
      </c>
      <c r="B16">
        <v>117</v>
      </c>
      <c r="C16">
        <v>0</v>
      </c>
      <c r="D16">
        <v>0</v>
      </c>
      <c r="E16">
        <f t="shared" si="0"/>
        <v>0</v>
      </c>
      <c r="F16" s="9">
        <f>E16/GETPIVOTDATA("Ticket",$A$3,"Requisitioner","Sally Dominguez")</f>
        <v>0</v>
      </c>
    </row>
    <row r="17" spans="1:6" ht="15" thickBot="1" x14ac:dyDescent="0.35">
      <c r="A17" s="5" t="s">
        <v>47</v>
      </c>
      <c r="B17">
        <v>78</v>
      </c>
      <c r="C17" s="8">
        <v>1</v>
      </c>
      <c r="D17" s="8">
        <v>1</v>
      </c>
      <c r="E17" s="8">
        <f t="shared" si="0"/>
        <v>2</v>
      </c>
      <c r="F17" s="10">
        <f>E17/GETPIVOTDATA("Ticket",$A$3,"Requisitioner","Tiffany Clay")</f>
        <v>2.564102564102564E-2</v>
      </c>
    </row>
    <row r="18" spans="1:6" ht="15" thickTop="1" x14ac:dyDescent="0.3">
      <c r="A18" s="5" t="s">
        <v>206</v>
      </c>
      <c r="B18">
        <v>1487</v>
      </c>
      <c r="E18">
        <f>SUM(E4:E17)</f>
        <v>64</v>
      </c>
      <c r="F18" s="11">
        <f>AVERAGE(F4:F17)</f>
        <v>3.899339755993235E-2</v>
      </c>
    </row>
  </sheetData>
  <pageMargins left="0.7" right="0.7" top="0.75" bottom="0.75" header="0.3" footer="0.3"/>
  <pageSetup orientation="portrait"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88"/>
  <sheetViews>
    <sheetView tabSelected="1" workbookViewId="0">
      <selection activeCell="G1" sqref="G1"/>
    </sheetView>
  </sheetViews>
  <sheetFormatPr defaultRowHeight="14.4" x14ac:dyDescent="0.3"/>
  <cols>
    <col min="1" max="1" width="20" bestFit="1" customWidth="1"/>
    <col min="2" max="2" width="21.5546875" customWidth="1"/>
    <col min="3" max="3" width="25.33203125" customWidth="1"/>
    <col min="4" max="4" width="33.88671875" customWidth="1"/>
    <col min="5" max="5" width="18.5546875" bestFit="1" customWidth="1"/>
    <col min="6" max="6" width="11" bestFit="1" customWidth="1"/>
    <col min="7" max="7" width="51.44140625" customWidth="1"/>
  </cols>
  <sheetData>
    <row r="1" spans="1:7" ht="28.8" x14ac:dyDescent="0.3">
      <c r="A1" s="14" t="s">
        <v>212</v>
      </c>
      <c r="B1" s="14" t="s">
        <v>1</v>
      </c>
      <c r="C1" s="16" t="s">
        <v>213</v>
      </c>
      <c r="D1" s="14" t="s">
        <v>5</v>
      </c>
      <c r="E1" s="14" t="s">
        <v>8</v>
      </c>
      <c r="F1" s="14" t="s">
        <v>6</v>
      </c>
      <c r="G1" s="16" t="s">
        <v>211</v>
      </c>
    </row>
    <row r="2" spans="1:7" x14ac:dyDescent="0.3">
      <c r="A2" s="17"/>
      <c r="B2" s="17"/>
      <c r="C2" s="17"/>
      <c r="D2" s="17"/>
      <c r="E2" s="17" t="s">
        <v>9</v>
      </c>
      <c r="F2" s="17"/>
      <c r="G2" s="17"/>
    </row>
    <row r="3" spans="1:7" x14ac:dyDescent="0.3">
      <c r="A3" s="17"/>
      <c r="B3" s="17"/>
      <c r="C3" s="17"/>
      <c r="D3" s="17"/>
      <c r="E3" s="17"/>
      <c r="F3" s="17"/>
      <c r="G3" s="17"/>
    </row>
    <row r="4" spans="1:7" x14ac:dyDescent="0.3">
      <c r="A4" s="17"/>
      <c r="B4" s="17"/>
      <c r="C4" s="17"/>
      <c r="D4" s="17"/>
      <c r="E4" s="17"/>
      <c r="F4" s="17"/>
      <c r="G4" s="17"/>
    </row>
    <row r="5" spans="1:7" x14ac:dyDescent="0.3">
      <c r="A5" s="17"/>
      <c r="B5" s="17"/>
      <c r="C5" s="17"/>
      <c r="D5" s="17"/>
      <c r="E5" s="17"/>
      <c r="F5" s="17"/>
      <c r="G5" s="17"/>
    </row>
    <row r="6" spans="1:7" x14ac:dyDescent="0.3">
      <c r="A6" s="17"/>
      <c r="B6" s="17"/>
      <c r="C6" s="17"/>
      <c r="D6" s="17"/>
      <c r="E6" s="17"/>
      <c r="F6" s="17"/>
      <c r="G6" s="17"/>
    </row>
    <row r="7" spans="1:7" x14ac:dyDescent="0.3">
      <c r="A7" s="17"/>
      <c r="B7" s="17"/>
      <c r="C7" s="17"/>
      <c r="D7" s="17"/>
      <c r="E7" s="17"/>
      <c r="F7" s="17"/>
      <c r="G7" s="17"/>
    </row>
    <row r="8" spans="1:7" x14ac:dyDescent="0.3">
      <c r="A8" s="17"/>
      <c r="B8" s="17"/>
      <c r="C8" s="17"/>
      <c r="D8" s="17"/>
      <c r="E8" s="17"/>
      <c r="F8" s="17"/>
      <c r="G8" s="17"/>
    </row>
    <row r="9" spans="1:7" x14ac:dyDescent="0.3">
      <c r="A9" s="17"/>
      <c r="B9" s="17"/>
      <c r="C9" s="17"/>
      <c r="D9" s="17"/>
      <c r="E9" s="17"/>
      <c r="F9" s="17"/>
      <c r="G9" s="17"/>
    </row>
    <row r="10" spans="1:7" x14ac:dyDescent="0.3">
      <c r="A10" s="17"/>
      <c r="B10" s="17"/>
      <c r="C10" s="17"/>
      <c r="D10" s="17"/>
      <c r="E10" s="17"/>
      <c r="F10" s="17"/>
      <c r="G10" s="17"/>
    </row>
    <row r="11" spans="1:7" x14ac:dyDescent="0.3">
      <c r="A11" s="17"/>
      <c r="B11" s="17"/>
      <c r="C11" s="17"/>
      <c r="D11" s="17"/>
      <c r="E11" s="17"/>
      <c r="F11" s="17"/>
      <c r="G11" s="17"/>
    </row>
    <row r="12" spans="1:7" x14ac:dyDescent="0.3">
      <c r="A12" s="17"/>
      <c r="B12" s="17"/>
      <c r="C12" s="17"/>
      <c r="D12" s="17"/>
      <c r="E12" s="17"/>
      <c r="F12" s="17"/>
      <c r="G12" s="17"/>
    </row>
    <row r="13" spans="1:7" x14ac:dyDescent="0.3">
      <c r="A13" s="17"/>
      <c r="B13" s="17"/>
      <c r="C13" s="17"/>
      <c r="D13" s="17"/>
      <c r="E13" s="17"/>
      <c r="F13" s="17"/>
      <c r="G13" s="17"/>
    </row>
    <row r="14" spans="1:7" x14ac:dyDescent="0.3">
      <c r="A14" s="17"/>
      <c r="B14" s="17"/>
      <c r="C14" s="17"/>
      <c r="D14" s="17"/>
      <c r="E14" s="17"/>
      <c r="F14" s="17"/>
      <c r="G14" s="17"/>
    </row>
    <row r="15" spans="1:7" x14ac:dyDescent="0.3">
      <c r="A15" s="17"/>
      <c r="B15" s="17"/>
      <c r="C15" s="17"/>
      <c r="D15" s="17"/>
      <c r="E15" s="17"/>
      <c r="F15" s="17"/>
      <c r="G15" s="17"/>
    </row>
    <row r="16" spans="1:7" x14ac:dyDescent="0.3">
      <c r="A16" s="17"/>
      <c r="B16" s="17"/>
      <c r="C16" s="17"/>
      <c r="D16" s="17"/>
      <c r="E16" s="17"/>
      <c r="F16" s="17"/>
      <c r="G16" s="17"/>
    </row>
    <row r="17" spans="1:7" x14ac:dyDescent="0.3">
      <c r="A17" s="17"/>
      <c r="B17" s="17"/>
      <c r="C17" s="17"/>
      <c r="D17" s="17"/>
      <c r="E17" s="17"/>
      <c r="F17" s="17"/>
      <c r="G17" s="17"/>
    </row>
    <row r="18" spans="1:7" x14ac:dyDescent="0.3">
      <c r="A18" s="17"/>
      <c r="B18" s="17"/>
      <c r="C18" s="17"/>
      <c r="D18" s="17"/>
      <c r="E18" s="17"/>
      <c r="F18" s="17"/>
      <c r="G18" s="17"/>
    </row>
    <row r="19" spans="1:7" x14ac:dyDescent="0.3">
      <c r="A19" s="17"/>
      <c r="B19" s="17"/>
      <c r="C19" s="17"/>
      <c r="D19" s="17"/>
      <c r="E19" s="17"/>
      <c r="F19" s="17"/>
      <c r="G19" s="17"/>
    </row>
    <row r="20" spans="1:7" x14ac:dyDescent="0.3">
      <c r="A20" s="17"/>
      <c r="B20" s="17"/>
      <c r="C20" s="17"/>
      <c r="D20" s="17"/>
      <c r="E20" s="17"/>
      <c r="F20" s="17"/>
      <c r="G20" s="17"/>
    </row>
    <row r="21" spans="1:7" x14ac:dyDescent="0.3">
      <c r="A21" s="17"/>
      <c r="B21" s="17"/>
      <c r="C21" s="17"/>
      <c r="D21" s="17"/>
      <c r="E21" s="17"/>
      <c r="F21" s="17"/>
      <c r="G21" s="17"/>
    </row>
    <row r="22" spans="1:7" x14ac:dyDescent="0.3">
      <c r="A22" s="17"/>
      <c r="B22" s="17"/>
      <c r="C22" s="17"/>
      <c r="D22" s="17"/>
      <c r="E22" s="17"/>
      <c r="F22" s="17"/>
      <c r="G22" s="17"/>
    </row>
    <row r="23" spans="1:7" x14ac:dyDescent="0.3">
      <c r="A23" s="17"/>
      <c r="B23" s="17"/>
      <c r="C23" s="17"/>
      <c r="D23" s="17"/>
      <c r="E23" s="17"/>
      <c r="F23" s="17"/>
      <c r="G23" s="17"/>
    </row>
    <row r="24" spans="1:7" x14ac:dyDescent="0.3">
      <c r="A24" s="17"/>
      <c r="B24" s="17"/>
      <c r="C24" s="17"/>
      <c r="D24" s="17"/>
      <c r="E24" s="17"/>
      <c r="F24" s="17"/>
      <c r="G24" s="17"/>
    </row>
    <row r="25" spans="1:7" x14ac:dyDescent="0.3">
      <c r="A25" s="17"/>
      <c r="B25" s="17"/>
      <c r="C25" s="17"/>
      <c r="D25" s="17"/>
      <c r="E25" s="17"/>
      <c r="F25" s="17"/>
      <c r="G25" s="17"/>
    </row>
    <row r="26" spans="1:7" x14ac:dyDescent="0.3">
      <c r="A26" s="17"/>
      <c r="B26" s="17"/>
      <c r="C26" s="17"/>
      <c r="D26" s="17"/>
      <c r="E26" s="17"/>
      <c r="F26" s="17"/>
      <c r="G26" s="17"/>
    </row>
    <row r="27" spans="1:7" x14ac:dyDescent="0.3">
      <c r="A27" s="17"/>
      <c r="B27" s="17"/>
      <c r="C27" s="17"/>
      <c r="D27" s="17"/>
      <c r="E27" s="17"/>
      <c r="F27" s="17"/>
      <c r="G27" s="17"/>
    </row>
    <row r="28" spans="1:7" x14ac:dyDescent="0.3">
      <c r="A28" s="17"/>
      <c r="B28" s="17"/>
      <c r="C28" s="17"/>
      <c r="D28" s="17"/>
      <c r="E28" s="17"/>
      <c r="F28" s="17"/>
      <c r="G28" s="17"/>
    </row>
    <row r="29" spans="1:7" x14ac:dyDescent="0.3">
      <c r="A29" s="17"/>
      <c r="B29" s="17"/>
      <c r="C29" s="17"/>
      <c r="D29" s="17"/>
      <c r="E29" s="17"/>
      <c r="F29" s="17"/>
      <c r="G29" s="17"/>
    </row>
    <row r="30" spans="1:7" x14ac:dyDescent="0.3">
      <c r="A30" s="17"/>
      <c r="B30" s="17"/>
      <c r="C30" s="17"/>
      <c r="D30" s="17"/>
      <c r="E30" s="17"/>
      <c r="F30" s="17"/>
      <c r="G30" s="17"/>
    </row>
    <row r="31" spans="1:7" x14ac:dyDescent="0.3">
      <c r="A31" s="17"/>
      <c r="B31" s="17"/>
      <c r="C31" s="17"/>
      <c r="D31" s="17"/>
      <c r="E31" s="17"/>
      <c r="F31" s="17"/>
      <c r="G31" s="17"/>
    </row>
    <row r="32" spans="1:7" x14ac:dyDescent="0.3">
      <c r="A32" s="17"/>
      <c r="B32" s="17"/>
      <c r="C32" s="17"/>
      <c r="D32" s="17"/>
      <c r="E32" s="17"/>
      <c r="F32" s="17"/>
      <c r="G32" s="17"/>
    </row>
    <row r="33" spans="1:7" x14ac:dyDescent="0.3">
      <c r="A33" s="17"/>
      <c r="B33" s="17"/>
      <c r="C33" s="17"/>
      <c r="D33" s="17"/>
      <c r="E33" s="17"/>
      <c r="F33" s="17"/>
      <c r="G33" s="17"/>
    </row>
    <row r="34" spans="1:7" x14ac:dyDescent="0.3">
      <c r="A34" s="17"/>
      <c r="B34" s="17"/>
      <c r="C34" s="17"/>
      <c r="D34" s="17"/>
      <c r="E34" s="17"/>
      <c r="F34" s="17"/>
      <c r="G34" s="17"/>
    </row>
    <row r="35" spans="1:7" x14ac:dyDescent="0.3">
      <c r="A35" s="17"/>
      <c r="B35" s="17"/>
      <c r="C35" s="17"/>
      <c r="D35" s="17"/>
      <c r="E35" s="17"/>
      <c r="F35" s="17"/>
      <c r="G35" s="17"/>
    </row>
    <row r="36" spans="1:7" x14ac:dyDescent="0.3">
      <c r="A36" s="17"/>
      <c r="B36" s="17"/>
      <c r="C36" s="17"/>
      <c r="D36" s="17"/>
      <c r="E36" s="17"/>
      <c r="F36" s="17"/>
      <c r="G36" s="17"/>
    </row>
    <row r="37" spans="1:7" x14ac:dyDescent="0.3">
      <c r="A37" s="17"/>
      <c r="B37" s="17"/>
      <c r="C37" s="17"/>
      <c r="D37" s="17"/>
      <c r="E37" s="17"/>
      <c r="F37" s="17"/>
      <c r="G37" s="17"/>
    </row>
    <row r="38" spans="1:7" x14ac:dyDescent="0.3">
      <c r="A38" s="17"/>
      <c r="B38" s="17"/>
      <c r="C38" s="17"/>
      <c r="D38" s="17"/>
      <c r="E38" s="17"/>
      <c r="F38" s="17"/>
      <c r="G38" s="17"/>
    </row>
    <row r="39" spans="1:7" x14ac:dyDescent="0.3">
      <c r="A39" s="17"/>
      <c r="B39" s="17"/>
      <c r="C39" s="17"/>
      <c r="D39" s="17"/>
      <c r="E39" s="17"/>
      <c r="F39" s="17"/>
      <c r="G39" s="17"/>
    </row>
    <row r="40" spans="1:7" x14ac:dyDescent="0.3">
      <c r="A40" s="17"/>
      <c r="B40" s="17"/>
      <c r="C40" s="17"/>
      <c r="D40" s="17"/>
      <c r="E40" s="17"/>
      <c r="F40" s="17"/>
      <c r="G40" s="17"/>
    </row>
    <row r="41" spans="1:7" x14ac:dyDescent="0.3">
      <c r="A41" s="17"/>
      <c r="B41" s="17"/>
      <c r="C41" s="17"/>
      <c r="D41" s="17"/>
      <c r="E41" s="17"/>
      <c r="F41" s="17"/>
      <c r="G41" s="17"/>
    </row>
    <row r="42" spans="1:7" x14ac:dyDescent="0.3">
      <c r="A42" s="17"/>
      <c r="B42" s="17"/>
      <c r="C42" s="17"/>
      <c r="D42" s="17"/>
      <c r="E42" s="17"/>
      <c r="F42" s="17"/>
      <c r="G42" s="17"/>
    </row>
    <row r="43" spans="1:7" x14ac:dyDescent="0.3">
      <c r="A43" s="17"/>
      <c r="B43" s="17"/>
      <c r="C43" s="17"/>
      <c r="D43" s="17"/>
      <c r="E43" s="17"/>
      <c r="F43" s="17"/>
      <c r="G43" s="17"/>
    </row>
    <row r="44" spans="1:7" x14ac:dyDescent="0.3">
      <c r="A44" s="17"/>
      <c r="B44" s="17"/>
      <c r="C44" s="17"/>
      <c r="D44" s="17"/>
      <c r="E44" s="17"/>
      <c r="F44" s="17"/>
      <c r="G44" s="17"/>
    </row>
    <row r="45" spans="1:7" x14ac:dyDescent="0.3">
      <c r="A45" s="17"/>
      <c r="B45" s="17"/>
      <c r="C45" s="17"/>
      <c r="D45" s="17"/>
      <c r="E45" s="17"/>
      <c r="F45" s="17"/>
      <c r="G45" s="17"/>
    </row>
    <row r="46" spans="1:7" x14ac:dyDescent="0.3">
      <c r="A46" s="17"/>
      <c r="B46" s="17"/>
      <c r="C46" s="17"/>
      <c r="D46" s="17"/>
      <c r="E46" s="17"/>
      <c r="F46" s="17"/>
      <c r="G46" s="17"/>
    </row>
    <row r="47" spans="1:7" x14ac:dyDescent="0.3">
      <c r="A47" s="17"/>
      <c r="B47" s="17"/>
      <c r="C47" s="17"/>
      <c r="D47" s="17"/>
      <c r="E47" s="17"/>
      <c r="F47" s="17"/>
      <c r="G47" s="17"/>
    </row>
    <row r="48" spans="1:7" x14ac:dyDescent="0.3">
      <c r="A48" s="17"/>
      <c r="B48" s="17"/>
      <c r="C48" s="17"/>
      <c r="D48" s="17"/>
      <c r="E48" s="17"/>
      <c r="F48" s="17"/>
      <c r="G48" s="17"/>
    </row>
    <row r="49" spans="1:7" x14ac:dyDescent="0.3">
      <c r="A49" s="17"/>
      <c r="B49" s="17"/>
      <c r="C49" s="17"/>
      <c r="D49" s="17"/>
      <c r="E49" s="17"/>
      <c r="F49" s="17"/>
      <c r="G49" s="17"/>
    </row>
    <row r="50" spans="1:7" x14ac:dyDescent="0.3">
      <c r="A50" s="17"/>
      <c r="B50" s="17"/>
      <c r="C50" s="17"/>
      <c r="D50" s="17"/>
      <c r="E50" s="17"/>
      <c r="F50" s="17"/>
      <c r="G50" s="17"/>
    </row>
    <row r="51" spans="1:7" x14ac:dyDescent="0.3">
      <c r="A51" s="17"/>
      <c r="B51" s="17"/>
      <c r="C51" s="17"/>
      <c r="D51" s="17"/>
      <c r="E51" s="17"/>
      <c r="F51" s="17"/>
      <c r="G51" s="17"/>
    </row>
    <row r="52" spans="1:7" x14ac:dyDescent="0.3">
      <c r="A52" s="17"/>
      <c r="B52" s="17"/>
      <c r="C52" s="17"/>
      <c r="D52" s="17"/>
      <c r="E52" s="17"/>
      <c r="F52" s="17"/>
      <c r="G52" s="17"/>
    </row>
    <row r="53" spans="1:7" x14ac:dyDescent="0.3">
      <c r="A53" s="17"/>
      <c r="B53" s="17"/>
      <c r="C53" s="17"/>
      <c r="D53" s="17"/>
      <c r="E53" s="17"/>
      <c r="F53" s="17"/>
      <c r="G53" s="17"/>
    </row>
    <row r="54" spans="1:7" x14ac:dyDescent="0.3">
      <c r="A54" s="17"/>
      <c r="B54" s="17"/>
      <c r="C54" s="17"/>
      <c r="D54" s="17"/>
      <c r="E54" s="17"/>
      <c r="F54" s="17"/>
      <c r="G54" s="17"/>
    </row>
    <row r="55" spans="1:7" x14ac:dyDescent="0.3">
      <c r="A55" s="17"/>
      <c r="B55" s="17"/>
      <c r="C55" s="17"/>
      <c r="D55" s="17"/>
      <c r="E55" s="17"/>
      <c r="F55" s="17"/>
      <c r="G55" s="17"/>
    </row>
    <row r="56" spans="1:7" x14ac:dyDescent="0.3">
      <c r="A56" s="17"/>
      <c r="B56" s="17"/>
      <c r="C56" s="17"/>
      <c r="D56" s="17"/>
      <c r="E56" s="17"/>
      <c r="F56" s="17"/>
      <c r="G56" s="17"/>
    </row>
    <row r="57" spans="1:7" x14ac:dyDescent="0.3">
      <c r="A57" s="17"/>
      <c r="B57" s="17"/>
      <c r="C57" s="17"/>
      <c r="D57" s="17"/>
      <c r="E57" s="17"/>
      <c r="F57" s="17"/>
      <c r="G57" s="17"/>
    </row>
    <row r="58" spans="1:7" x14ac:dyDescent="0.3">
      <c r="A58" s="17"/>
      <c r="B58" s="17"/>
      <c r="C58" s="17"/>
      <c r="D58" s="17"/>
      <c r="E58" s="17"/>
      <c r="F58" s="17"/>
      <c r="G58" s="17"/>
    </row>
    <row r="59" spans="1:7" x14ac:dyDescent="0.3">
      <c r="A59" s="17"/>
      <c r="B59" s="17"/>
      <c r="C59" s="17"/>
      <c r="D59" s="17"/>
      <c r="E59" s="17"/>
      <c r="F59" s="17"/>
      <c r="G59" s="17"/>
    </row>
    <row r="60" spans="1:7" x14ac:dyDescent="0.3">
      <c r="A60" s="17"/>
      <c r="B60" s="17"/>
      <c r="C60" s="17"/>
      <c r="D60" s="17"/>
      <c r="E60" s="17"/>
      <c r="F60" s="17"/>
      <c r="G60" s="17"/>
    </row>
    <row r="61" spans="1:7" x14ac:dyDescent="0.3">
      <c r="A61" s="17"/>
      <c r="B61" s="17"/>
      <c r="C61" s="17"/>
      <c r="D61" s="17"/>
      <c r="E61" s="17"/>
      <c r="F61" s="17"/>
      <c r="G61" s="17"/>
    </row>
    <row r="62" spans="1:7" x14ac:dyDescent="0.3">
      <c r="A62" s="17"/>
      <c r="B62" s="17"/>
      <c r="C62" s="17"/>
      <c r="D62" s="17"/>
      <c r="E62" s="17"/>
      <c r="F62" s="17"/>
      <c r="G62" s="17"/>
    </row>
    <row r="63" spans="1:7" x14ac:dyDescent="0.3">
      <c r="A63" s="17"/>
      <c r="B63" s="17"/>
      <c r="C63" s="17"/>
      <c r="D63" s="17"/>
      <c r="E63" s="17"/>
      <c r="F63" s="17"/>
      <c r="G63" s="17"/>
    </row>
    <row r="64" spans="1:7" x14ac:dyDescent="0.3">
      <c r="A64" s="17"/>
      <c r="B64" s="17"/>
      <c r="C64" s="17"/>
      <c r="D64" s="17"/>
      <c r="E64" s="17"/>
      <c r="F64" s="17"/>
      <c r="G64" s="17"/>
    </row>
    <row r="65" spans="1:7" x14ac:dyDescent="0.3">
      <c r="A65" s="17"/>
      <c r="B65" s="17"/>
      <c r="C65" s="17"/>
      <c r="D65" s="17"/>
      <c r="E65" s="17"/>
      <c r="F65" s="17"/>
      <c r="G65" s="17"/>
    </row>
    <row r="66" spans="1:7" x14ac:dyDescent="0.3">
      <c r="A66" s="17"/>
      <c r="B66" s="17"/>
      <c r="C66" s="17"/>
      <c r="D66" s="17"/>
      <c r="E66" s="17"/>
      <c r="F66" s="17"/>
      <c r="G66" s="17"/>
    </row>
    <row r="67" spans="1:7" x14ac:dyDescent="0.3">
      <c r="A67" s="17"/>
      <c r="B67" s="17"/>
      <c r="C67" s="17"/>
      <c r="D67" s="17"/>
      <c r="E67" s="17"/>
      <c r="F67" s="17"/>
      <c r="G67" s="17"/>
    </row>
    <row r="68" spans="1:7" x14ac:dyDescent="0.3">
      <c r="A68" s="17"/>
      <c r="B68" s="17"/>
      <c r="C68" s="17"/>
      <c r="D68" s="17"/>
      <c r="E68" s="17"/>
      <c r="F68" s="17"/>
      <c r="G68" s="17"/>
    </row>
    <row r="69" spans="1:7" x14ac:dyDescent="0.3">
      <c r="A69" s="17"/>
      <c r="B69" s="17"/>
      <c r="C69" s="17"/>
      <c r="D69" s="17"/>
      <c r="E69" s="17"/>
      <c r="F69" s="17"/>
      <c r="G69" s="17"/>
    </row>
    <row r="70" spans="1:7" x14ac:dyDescent="0.3">
      <c r="A70" s="17"/>
      <c r="B70" s="17"/>
      <c r="C70" s="17"/>
      <c r="D70" s="17"/>
      <c r="E70" s="17"/>
      <c r="F70" s="17"/>
      <c r="G70" s="17"/>
    </row>
    <row r="71" spans="1:7" x14ac:dyDescent="0.3">
      <c r="A71" s="17"/>
      <c r="B71" s="17"/>
      <c r="C71" s="17"/>
      <c r="D71" s="17"/>
      <c r="E71" s="17"/>
      <c r="F71" s="17"/>
      <c r="G71" s="17"/>
    </row>
    <row r="72" spans="1:7" x14ac:dyDescent="0.3">
      <c r="A72" s="17"/>
      <c r="B72" s="17"/>
      <c r="C72" s="17"/>
      <c r="D72" s="17"/>
      <c r="E72" s="17"/>
      <c r="F72" s="17"/>
      <c r="G72" s="17"/>
    </row>
    <row r="73" spans="1:7" x14ac:dyDescent="0.3">
      <c r="A73" s="17"/>
      <c r="B73" s="17"/>
      <c r="C73" s="17"/>
      <c r="D73" s="17"/>
      <c r="E73" s="17"/>
      <c r="F73" s="17"/>
      <c r="G73" s="17"/>
    </row>
    <row r="74" spans="1:7" x14ac:dyDescent="0.3">
      <c r="A74" s="17"/>
      <c r="B74" s="17"/>
      <c r="C74" s="17"/>
      <c r="D74" s="17"/>
      <c r="E74" s="17"/>
      <c r="F74" s="17"/>
      <c r="G74" s="17"/>
    </row>
    <row r="75" spans="1:7" x14ac:dyDescent="0.3">
      <c r="A75" s="17"/>
      <c r="B75" s="17"/>
      <c r="C75" s="17"/>
      <c r="D75" s="17"/>
      <c r="E75" s="17"/>
      <c r="F75" s="17"/>
      <c r="G75" s="17"/>
    </row>
    <row r="76" spans="1:7" x14ac:dyDescent="0.3">
      <c r="A76" s="17"/>
      <c r="B76" s="17"/>
      <c r="C76" s="17"/>
      <c r="D76" s="17"/>
      <c r="E76" s="17"/>
      <c r="F76" s="17"/>
      <c r="G76" s="17"/>
    </row>
    <row r="77" spans="1:7" x14ac:dyDescent="0.3">
      <c r="A77" s="17"/>
      <c r="B77" s="17"/>
      <c r="C77" s="17"/>
      <c r="D77" s="17"/>
      <c r="E77" s="17"/>
      <c r="F77" s="17"/>
      <c r="G77" s="17"/>
    </row>
    <row r="78" spans="1:7" x14ac:dyDescent="0.3">
      <c r="A78" s="17"/>
      <c r="B78" s="17"/>
      <c r="C78" s="17"/>
      <c r="D78" s="17"/>
      <c r="E78" s="17"/>
      <c r="F78" s="17"/>
      <c r="G78" s="17"/>
    </row>
    <row r="79" spans="1:7" x14ac:dyDescent="0.3">
      <c r="A79" s="17"/>
      <c r="B79" s="17"/>
      <c r="C79" s="17"/>
      <c r="D79" s="17"/>
      <c r="E79" s="17"/>
      <c r="F79" s="17"/>
      <c r="G79" s="17"/>
    </row>
    <row r="80" spans="1:7" x14ac:dyDescent="0.3">
      <c r="A80" s="17"/>
      <c r="B80" s="17"/>
      <c r="C80" s="17"/>
      <c r="D80" s="17"/>
      <c r="E80" s="17"/>
      <c r="F80" s="17"/>
      <c r="G80" s="17"/>
    </row>
    <row r="81" spans="1:7" x14ac:dyDescent="0.3">
      <c r="A81" s="17"/>
      <c r="B81" s="17"/>
      <c r="C81" s="17"/>
      <c r="D81" s="17"/>
      <c r="E81" s="17"/>
      <c r="F81" s="17"/>
      <c r="G81" s="17"/>
    </row>
    <row r="82" spans="1:7" x14ac:dyDescent="0.3">
      <c r="A82" s="17"/>
      <c r="B82" s="17"/>
      <c r="C82" s="17"/>
      <c r="D82" s="17"/>
      <c r="E82" s="17"/>
      <c r="F82" s="17"/>
      <c r="G82" s="17"/>
    </row>
    <row r="83" spans="1:7" x14ac:dyDescent="0.3">
      <c r="A83" s="17"/>
      <c r="B83" s="17"/>
      <c r="C83" s="17"/>
      <c r="D83" s="17"/>
      <c r="E83" s="17"/>
      <c r="F83" s="17"/>
      <c r="G83" s="17"/>
    </row>
    <row r="84" spans="1:7" x14ac:dyDescent="0.3">
      <c r="A84" s="17"/>
      <c r="B84" s="17"/>
      <c r="C84" s="17"/>
      <c r="D84" s="17"/>
      <c r="E84" s="17"/>
      <c r="F84" s="17"/>
      <c r="G84" s="17"/>
    </row>
    <row r="85" spans="1:7" x14ac:dyDescent="0.3">
      <c r="A85" s="17"/>
      <c r="B85" s="17"/>
      <c r="C85" s="17"/>
      <c r="D85" s="17"/>
      <c r="E85" s="17"/>
      <c r="F85" s="17"/>
      <c r="G85" s="17"/>
    </row>
    <row r="86" spans="1:7" x14ac:dyDescent="0.3">
      <c r="A86" s="17"/>
      <c r="B86" s="17"/>
      <c r="C86" s="17"/>
      <c r="D86" s="17"/>
      <c r="E86" s="17"/>
      <c r="F86" s="17"/>
      <c r="G86" s="17"/>
    </row>
    <row r="87" spans="1:7" x14ac:dyDescent="0.3">
      <c r="A87" s="17"/>
      <c r="B87" s="17"/>
      <c r="C87" s="17"/>
      <c r="D87" s="17"/>
      <c r="E87" s="17"/>
      <c r="F87" s="17"/>
      <c r="G87" s="17"/>
    </row>
    <row r="88" spans="1:7" x14ac:dyDescent="0.3">
      <c r="A88" s="17"/>
      <c r="B88" s="17"/>
      <c r="C88" s="17"/>
      <c r="D88" s="17"/>
      <c r="E88" s="17"/>
      <c r="F88" s="17"/>
      <c r="G88" s="17"/>
    </row>
    <row r="89" spans="1:7" x14ac:dyDescent="0.3">
      <c r="A89" s="17"/>
      <c r="B89" s="17"/>
      <c r="C89" s="17"/>
      <c r="D89" s="17"/>
      <c r="E89" s="17"/>
      <c r="F89" s="17"/>
      <c r="G89" s="17"/>
    </row>
    <row r="90" spans="1:7" x14ac:dyDescent="0.3">
      <c r="A90" s="17"/>
      <c r="B90" s="17"/>
      <c r="C90" s="17"/>
      <c r="D90" s="17"/>
      <c r="E90" s="17"/>
      <c r="F90" s="17"/>
      <c r="G90" s="17"/>
    </row>
    <row r="91" spans="1:7" x14ac:dyDescent="0.3">
      <c r="A91" s="17"/>
      <c r="B91" s="17"/>
      <c r="C91" s="17"/>
      <c r="D91" s="17"/>
      <c r="E91" s="17"/>
      <c r="F91" s="17"/>
      <c r="G91" s="17"/>
    </row>
    <row r="92" spans="1:7" x14ac:dyDescent="0.3">
      <c r="A92" s="17"/>
      <c r="B92" s="17"/>
      <c r="C92" s="17"/>
      <c r="D92" s="17"/>
      <c r="E92" s="17"/>
      <c r="F92" s="17"/>
      <c r="G92" s="17"/>
    </row>
    <row r="93" spans="1:7" x14ac:dyDescent="0.3">
      <c r="A93" s="17"/>
      <c r="B93" s="17"/>
      <c r="C93" s="17"/>
      <c r="D93" s="17"/>
      <c r="E93" s="17"/>
      <c r="F93" s="17"/>
      <c r="G93" s="17"/>
    </row>
    <row r="94" spans="1:7" x14ac:dyDescent="0.3">
      <c r="A94" s="17"/>
      <c r="B94" s="17"/>
      <c r="C94" s="17"/>
      <c r="D94" s="17"/>
      <c r="E94" s="17"/>
      <c r="F94" s="17"/>
      <c r="G94" s="17"/>
    </row>
    <row r="95" spans="1:7" x14ac:dyDescent="0.3">
      <c r="A95" s="17"/>
      <c r="B95" s="17"/>
      <c r="C95" s="17"/>
      <c r="D95" s="17"/>
      <c r="E95" s="17"/>
      <c r="F95" s="17"/>
      <c r="G95" s="17"/>
    </row>
    <row r="96" spans="1:7" x14ac:dyDescent="0.3">
      <c r="A96" s="17"/>
      <c r="B96" s="17"/>
      <c r="C96" s="17"/>
      <c r="D96" s="17"/>
      <c r="E96" s="17"/>
      <c r="F96" s="17"/>
      <c r="G96" s="17"/>
    </row>
    <row r="97" spans="1:7" x14ac:dyDescent="0.3">
      <c r="A97" s="17"/>
      <c r="B97" s="17"/>
      <c r="C97" s="17"/>
      <c r="D97" s="17"/>
      <c r="E97" s="17"/>
      <c r="F97" s="17"/>
      <c r="G97" s="17"/>
    </row>
    <row r="98" spans="1:7" x14ac:dyDescent="0.3">
      <c r="A98" s="17"/>
      <c r="B98" s="17"/>
      <c r="C98" s="17"/>
      <c r="D98" s="17"/>
      <c r="E98" s="17"/>
      <c r="F98" s="17"/>
      <c r="G98" s="17"/>
    </row>
    <row r="99" spans="1:7" x14ac:dyDescent="0.3">
      <c r="A99" s="17"/>
      <c r="B99" s="17"/>
      <c r="C99" s="17"/>
      <c r="D99" s="17"/>
      <c r="E99" s="17"/>
      <c r="F99" s="17"/>
      <c r="G99" s="17"/>
    </row>
    <row r="100" spans="1:7" x14ac:dyDescent="0.3">
      <c r="A100" s="17"/>
      <c r="B100" s="17"/>
      <c r="C100" s="17"/>
      <c r="D100" s="17"/>
      <c r="E100" s="17"/>
      <c r="F100" s="17"/>
      <c r="G100" s="17"/>
    </row>
    <row r="101" spans="1:7" x14ac:dyDescent="0.3">
      <c r="A101" s="17"/>
      <c r="B101" s="17"/>
      <c r="C101" s="17"/>
      <c r="D101" s="17"/>
      <c r="E101" s="17"/>
      <c r="F101" s="17"/>
      <c r="G101" s="17"/>
    </row>
    <row r="102" spans="1:7" x14ac:dyDescent="0.3">
      <c r="A102" s="17"/>
      <c r="B102" s="17"/>
      <c r="C102" s="17"/>
      <c r="D102" s="17"/>
      <c r="E102" s="17"/>
      <c r="F102" s="17"/>
      <c r="G102" s="17"/>
    </row>
    <row r="103" spans="1:7" x14ac:dyDescent="0.3">
      <c r="A103" s="17"/>
      <c r="B103" s="17"/>
      <c r="C103" s="17"/>
      <c r="D103" s="17"/>
      <c r="E103" s="17"/>
      <c r="F103" s="17"/>
      <c r="G103" s="17"/>
    </row>
    <row r="104" spans="1:7" x14ac:dyDescent="0.3">
      <c r="A104" s="17"/>
      <c r="B104" s="17"/>
      <c r="C104" s="17"/>
      <c r="D104" s="17"/>
      <c r="E104" s="17"/>
      <c r="F104" s="17"/>
      <c r="G104" s="17"/>
    </row>
    <row r="105" spans="1:7" x14ac:dyDescent="0.3">
      <c r="A105" s="17"/>
      <c r="B105" s="17"/>
      <c r="C105" s="17"/>
      <c r="D105" s="17"/>
      <c r="E105" s="17"/>
      <c r="F105" s="17"/>
      <c r="G105" s="17"/>
    </row>
    <row r="106" spans="1:7" x14ac:dyDescent="0.3">
      <c r="A106" s="17"/>
      <c r="B106" s="17"/>
      <c r="C106" s="17"/>
      <c r="D106" s="17"/>
      <c r="E106" s="17"/>
      <c r="F106" s="17"/>
      <c r="G106" s="17"/>
    </row>
    <row r="107" spans="1:7" x14ac:dyDescent="0.3">
      <c r="A107" s="17"/>
      <c r="B107" s="17"/>
      <c r="C107" s="17"/>
      <c r="D107" s="17"/>
      <c r="E107" s="17"/>
      <c r="F107" s="17"/>
      <c r="G107" s="17"/>
    </row>
    <row r="108" spans="1:7" x14ac:dyDescent="0.3">
      <c r="A108" s="17"/>
      <c r="B108" s="17"/>
      <c r="C108" s="17"/>
      <c r="D108" s="17"/>
      <c r="E108" s="17"/>
      <c r="F108" s="17"/>
      <c r="G108" s="17"/>
    </row>
    <row r="109" spans="1:7" x14ac:dyDescent="0.3">
      <c r="A109" s="17"/>
      <c r="B109" s="17"/>
      <c r="C109" s="17"/>
      <c r="D109" s="17"/>
      <c r="E109" s="17"/>
      <c r="F109" s="17"/>
      <c r="G109" s="17"/>
    </row>
    <row r="110" spans="1:7" x14ac:dyDescent="0.3">
      <c r="A110" s="17"/>
      <c r="B110" s="17"/>
      <c r="C110" s="17"/>
      <c r="D110" s="17"/>
      <c r="E110" s="17"/>
      <c r="F110" s="17"/>
      <c r="G110" s="17"/>
    </row>
    <row r="111" spans="1:7" x14ac:dyDescent="0.3">
      <c r="A111" s="17"/>
      <c r="B111" s="17"/>
      <c r="C111" s="17"/>
      <c r="D111" s="17"/>
      <c r="E111" s="17"/>
      <c r="F111" s="17"/>
      <c r="G111" s="17"/>
    </row>
    <row r="112" spans="1:7" x14ac:dyDescent="0.3">
      <c r="A112" s="17"/>
      <c r="B112" s="17"/>
      <c r="C112" s="17"/>
      <c r="D112" s="17"/>
      <c r="E112" s="17"/>
      <c r="F112" s="17"/>
      <c r="G112" s="17"/>
    </row>
    <row r="113" spans="1:7" x14ac:dyDescent="0.3">
      <c r="A113" s="17"/>
      <c r="B113" s="17"/>
      <c r="C113" s="17"/>
      <c r="D113" s="17"/>
      <c r="E113" s="17"/>
      <c r="F113" s="17"/>
      <c r="G113" s="17"/>
    </row>
    <row r="114" spans="1:7" x14ac:dyDescent="0.3">
      <c r="A114" s="17"/>
      <c r="B114" s="17"/>
      <c r="C114" s="17"/>
      <c r="D114" s="17"/>
      <c r="E114" s="17"/>
      <c r="F114" s="17"/>
      <c r="G114" s="17"/>
    </row>
    <row r="115" spans="1:7" x14ac:dyDescent="0.3">
      <c r="A115" s="17"/>
      <c r="B115" s="17"/>
      <c r="C115" s="17"/>
      <c r="D115" s="17"/>
      <c r="E115" s="17"/>
      <c r="F115" s="17"/>
      <c r="G115" s="17"/>
    </row>
    <row r="116" spans="1:7" x14ac:dyDescent="0.3">
      <c r="A116" s="17"/>
      <c r="B116" s="17"/>
      <c r="C116" s="17"/>
      <c r="D116" s="17"/>
      <c r="E116" s="17"/>
      <c r="F116" s="17"/>
      <c r="G116" s="17"/>
    </row>
    <row r="117" spans="1:7" x14ac:dyDescent="0.3">
      <c r="A117" s="17"/>
      <c r="B117" s="17"/>
      <c r="C117" s="17"/>
      <c r="D117" s="17"/>
      <c r="E117" s="17"/>
      <c r="F117" s="17"/>
      <c r="G117" s="17"/>
    </row>
    <row r="118" spans="1:7" x14ac:dyDescent="0.3">
      <c r="A118" s="17"/>
      <c r="B118" s="17"/>
      <c r="C118" s="17"/>
      <c r="D118" s="17"/>
      <c r="E118" s="17"/>
      <c r="F118" s="17"/>
      <c r="G118" s="17"/>
    </row>
    <row r="119" spans="1:7" x14ac:dyDescent="0.3">
      <c r="A119" s="17"/>
      <c r="B119" s="17"/>
      <c r="C119" s="17"/>
      <c r="D119" s="17"/>
      <c r="E119" s="17"/>
      <c r="F119" s="17"/>
      <c r="G119" s="17"/>
    </row>
    <row r="120" spans="1:7" x14ac:dyDescent="0.3">
      <c r="A120" s="17"/>
      <c r="B120" s="17"/>
      <c r="C120" s="17"/>
      <c r="D120" s="17"/>
      <c r="E120" s="17"/>
      <c r="F120" s="17"/>
      <c r="G120" s="17"/>
    </row>
    <row r="121" spans="1:7" x14ac:dyDescent="0.3">
      <c r="A121" s="17"/>
      <c r="B121" s="17"/>
      <c r="C121" s="17"/>
      <c r="D121" s="17"/>
      <c r="E121" s="17"/>
      <c r="F121" s="17"/>
      <c r="G121" s="17"/>
    </row>
    <row r="122" spans="1:7" x14ac:dyDescent="0.3">
      <c r="A122" s="17"/>
      <c r="B122" s="17"/>
      <c r="C122" s="17"/>
      <c r="D122" s="17"/>
      <c r="E122" s="17"/>
      <c r="F122" s="17"/>
      <c r="G122" s="17"/>
    </row>
    <row r="123" spans="1:7" x14ac:dyDescent="0.3">
      <c r="A123" s="17"/>
      <c r="B123" s="17"/>
      <c r="C123" s="17"/>
      <c r="D123" s="17"/>
      <c r="E123" s="17"/>
      <c r="F123" s="17"/>
      <c r="G123" s="17"/>
    </row>
    <row r="124" spans="1:7" x14ac:dyDescent="0.3">
      <c r="A124" s="17"/>
      <c r="B124" s="17"/>
      <c r="C124" s="17"/>
      <c r="D124" s="17"/>
      <c r="E124" s="17"/>
      <c r="F124" s="17"/>
      <c r="G124" s="17"/>
    </row>
    <row r="125" spans="1:7" x14ac:dyDescent="0.3">
      <c r="A125" s="17"/>
      <c r="B125" s="17"/>
      <c r="C125" s="17"/>
      <c r="D125" s="17"/>
      <c r="E125" s="17"/>
      <c r="F125" s="17"/>
      <c r="G125" s="17"/>
    </row>
    <row r="126" spans="1:7" x14ac:dyDescent="0.3">
      <c r="A126" s="17"/>
      <c r="B126" s="17"/>
      <c r="C126" s="17"/>
      <c r="D126" s="17"/>
      <c r="E126" s="17"/>
      <c r="F126" s="17"/>
      <c r="G126" s="17"/>
    </row>
    <row r="127" spans="1:7" x14ac:dyDescent="0.3">
      <c r="A127" s="17"/>
      <c r="B127" s="17"/>
      <c r="C127" s="17"/>
      <c r="D127" s="17"/>
      <c r="E127" s="17"/>
      <c r="F127" s="17"/>
      <c r="G127" s="17"/>
    </row>
    <row r="128" spans="1:7" x14ac:dyDescent="0.3">
      <c r="A128" s="17"/>
      <c r="B128" s="17"/>
      <c r="C128" s="17"/>
      <c r="D128" s="17"/>
      <c r="E128" s="17"/>
      <c r="F128" s="17"/>
      <c r="G128" s="17"/>
    </row>
    <row r="129" spans="1:7" x14ac:dyDescent="0.3">
      <c r="A129" s="17"/>
      <c r="B129" s="17"/>
      <c r="C129" s="17"/>
      <c r="D129" s="17"/>
      <c r="E129" s="17"/>
      <c r="F129" s="17"/>
      <c r="G129" s="17"/>
    </row>
    <row r="130" spans="1:7" x14ac:dyDescent="0.3">
      <c r="A130" s="17"/>
      <c r="B130" s="17"/>
      <c r="C130" s="17"/>
      <c r="D130" s="17"/>
      <c r="E130" s="17"/>
      <c r="F130" s="17"/>
      <c r="G130" s="17"/>
    </row>
    <row r="131" spans="1:7" x14ac:dyDescent="0.3">
      <c r="A131" s="17"/>
      <c r="B131" s="17"/>
      <c r="C131" s="17"/>
      <c r="D131" s="17"/>
      <c r="E131" s="17"/>
      <c r="F131" s="17"/>
      <c r="G131" s="17"/>
    </row>
    <row r="132" spans="1:7" x14ac:dyDescent="0.3">
      <c r="A132" s="17"/>
      <c r="B132" s="17"/>
      <c r="C132" s="17"/>
      <c r="D132" s="17"/>
      <c r="E132" s="17"/>
      <c r="F132" s="17"/>
      <c r="G132" s="17"/>
    </row>
    <row r="133" spans="1:7" x14ac:dyDescent="0.3">
      <c r="A133" s="17"/>
      <c r="B133" s="17"/>
      <c r="C133" s="17"/>
      <c r="D133" s="17"/>
      <c r="E133" s="17"/>
      <c r="F133" s="17"/>
      <c r="G133" s="17"/>
    </row>
    <row r="134" spans="1:7" x14ac:dyDescent="0.3">
      <c r="A134" s="17"/>
      <c r="B134" s="17"/>
      <c r="C134" s="17"/>
      <c r="D134" s="17"/>
      <c r="E134" s="17"/>
      <c r="F134" s="17"/>
      <c r="G134" s="17"/>
    </row>
    <row r="135" spans="1:7" x14ac:dyDescent="0.3">
      <c r="A135" s="17"/>
      <c r="B135" s="17"/>
      <c r="C135" s="17"/>
      <c r="D135" s="17"/>
      <c r="E135" s="17"/>
      <c r="F135" s="17"/>
      <c r="G135" s="17"/>
    </row>
    <row r="136" spans="1:7" x14ac:dyDescent="0.3">
      <c r="A136" s="17"/>
      <c r="B136" s="17"/>
      <c r="C136" s="17"/>
      <c r="D136" s="17"/>
      <c r="E136" s="17"/>
      <c r="F136" s="17"/>
      <c r="G136" s="17"/>
    </row>
    <row r="137" spans="1:7" x14ac:dyDescent="0.3">
      <c r="A137" s="17"/>
      <c r="B137" s="17"/>
      <c r="C137" s="17"/>
      <c r="D137" s="17"/>
      <c r="E137" s="17"/>
      <c r="F137" s="17"/>
      <c r="G137" s="17"/>
    </row>
    <row r="138" spans="1:7" x14ac:dyDescent="0.3">
      <c r="A138" s="17"/>
      <c r="B138" s="17"/>
      <c r="C138" s="17"/>
      <c r="D138" s="17"/>
      <c r="E138" s="17"/>
      <c r="F138" s="17"/>
      <c r="G138" s="17"/>
    </row>
    <row r="139" spans="1:7" x14ac:dyDescent="0.3">
      <c r="A139" s="17"/>
      <c r="B139" s="17"/>
      <c r="C139" s="17"/>
      <c r="D139" s="17"/>
      <c r="E139" s="17"/>
      <c r="F139" s="17"/>
      <c r="G139" s="17"/>
    </row>
    <row r="140" spans="1:7" x14ac:dyDescent="0.3">
      <c r="A140" s="17"/>
      <c r="B140" s="17"/>
      <c r="C140" s="17"/>
      <c r="D140" s="17"/>
      <c r="E140" s="17"/>
      <c r="F140" s="17"/>
      <c r="G140" s="17"/>
    </row>
    <row r="141" spans="1:7" x14ac:dyDescent="0.3">
      <c r="A141" s="17"/>
      <c r="B141" s="17"/>
      <c r="C141" s="17"/>
      <c r="D141" s="17"/>
      <c r="E141" s="17"/>
      <c r="F141" s="17"/>
      <c r="G141" s="17"/>
    </row>
    <row r="142" spans="1:7" x14ac:dyDescent="0.3">
      <c r="A142" s="17"/>
      <c r="B142" s="17"/>
      <c r="C142" s="17"/>
      <c r="D142" s="17"/>
      <c r="E142" s="17"/>
      <c r="F142" s="17"/>
      <c r="G142" s="17"/>
    </row>
    <row r="143" spans="1:7" x14ac:dyDescent="0.3">
      <c r="A143" s="17"/>
      <c r="B143" s="17"/>
      <c r="C143" s="17"/>
      <c r="D143" s="17"/>
      <c r="E143" s="17"/>
      <c r="F143" s="17"/>
      <c r="G143" s="17"/>
    </row>
    <row r="144" spans="1:7" x14ac:dyDescent="0.3">
      <c r="A144" s="17"/>
      <c r="B144" s="17"/>
      <c r="C144" s="17"/>
      <c r="D144" s="17"/>
      <c r="E144" s="17"/>
      <c r="F144" s="17"/>
      <c r="G144" s="17"/>
    </row>
    <row r="145" spans="1:7" x14ac:dyDescent="0.3">
      <c r="A145" s="17"/>
      <c r="B145" s="17"/>
      <c r="C145" s="17"/>
      <c r="D145" s="17"/>
      <c r="E145" s="17"/>
      <c r="F145" s="17"/>
      <c r="G145" s="17"/>
    </row>
    <row r="146" spans="1:7" x14ac:dyDescent="0.3">
      <c r="A146" s="17"/>
      <c r="B146" s="17"/>
      <c r="C146" s="17"/>
      <c r="D146" s="17"/>
      <c r="E146" s="17"/>
      <c r="F146" s="17"/>
      <c r="G146" s="17"/>
    </row>
    <row r="147" spans="1:7" x14ac:dyDescent="0.3">
      <c r="A147" s="17"/>
      <c r="B147" s="17"/>
      <c r="C147" s="17"/>
      <c r="D147" s="17"/>
      <c r="E147" s="17"/>
      <c r="F147" s="17"/>
      <c r="G147" s="17"/>
    </row>
    <row r="148" spans="1:7" x14ac:dyDescent="0.3">
      <c r="A148" s="17"/>
      <c r="B148" s="17"/>
      <c r="C148" s="17"/>
      <c r="D148" s="17"/>
      <c r="E148" s="17"/>
      <c r="F148" s="17"/>
      <c r="G148" s="17"/>
    </row>
    <row r="149" spans="1:7" x14ac:dyDescent="0.3">
      <c r="A149" s="17"/>
      <c r="B149" s="17"/>
      <c r="C149" s="17"/>
      <c r="D149" s="17"/>
      <c r="E149" s="17"/>
      <c r="F149" s="17"/>
      <c r="G149" s="17"/>
    </row>
    <row r="150" spans="1:7" x14ac:dyDescent="0.3">
      <c r="A150" s="17"/>
      <c r="B150" s="17"/>
      <c r="C150" s="17"/>
      <c r="D150" s="17"/>
      <c r="E150" s="17"/>
      <c r="F150" s="17"/>
      <c r="G150" s="17"/>
    </row>
    <row r="151" spans="1:7" x14ac:dyDescent="0.3">
      <c r="A151" s="17"/>
      <c r="B151" s="17"/>
      <c r="C151" s="17"/>
      <c r="D151" s="17"/>
      <c r="E151" s="17"/>
      <c r="F151" s="17"/>
      <c r="G151" s="17"/>
    </row>
    <row r="152" spans="1:7" x14ac:dyDescent="0.3">
      <c r="A152" s="17"/>
      <c r="B152" s="17"/>
      <c r="C152" s="17"/>
      <c r="D152" s="17"/>
      <c r="E152" s="17"/>
      <c r="F152" s="17"/>
      <c r="G152" s="17"/>
    </row>
    <row r="153" spans="1:7" x14ac:dyDescent="0.3">
      <c r="A153" s="17"/>
      <c r="B153" s="17"/>
      <c r="C153" s="17"/>
      <c r="D153" s="17"/>
      <c r="E153" s="17"/>
      <c r="F153" s="17"/>
      <c r="G153" s="17"/>
    </row>
    <row r="154" spans="1:7" x14ac:dyDescent="0.3">
      <c r="A154" s="17"/>
      <c r="B154" s="17"/>
      <c r="C154" s="17"/>
      <c r="D154" s="17"/>
      <c r="E154" s="17"/>
      <c r="F154" s="17"/>
      <c r="G154" s="17"/>
    </row>
    <row r="155" spans="1:7" x14ac:dyDescent="0.3">
      <c r="A155" s="17"/>
      <c r="B155" s="17"/>
      <c r="C155" s="17"/>
      <c r="D155" s="17"/>
      <c r="E155" s="17"/>
      <c r="F155" s="17"/>
      <c r="G155" s="17"/>
    </row>
    <row r="156" spans="1:7" x14ac:dyDescent="0.3">
      <c r="A156" s="17"/>
      <c r="B156" s="17"/>
      <c r="C156" s="17"/>
      <c r="D156" s="17"/>
      <c r="E156" s="17"/>
      <c r="F156" s="17"/>
      <c r="G156" s="17"/>
    </row>
    <row r="157" spans="1:7" x14ac:dyDescent="0.3">
      <c r="A157" s="17"/>
      <c r="B157" s="17"/>
      <c r="C157" s="17"/>
      <c r="D157" s="17"/>
      <c r="E157" s="17"/>
      <c r="F157" s="17"/>
      <c r="G157" s="17"/>
    </row>
    <row r="158" spans="1:7" x14ac:dyDescent="0.3">
      <c r="A158" s="17"/>
      <c r="B158" s="17"/>
      <c r="C158" s="17"/>
      <c r="D158" s="17"/>
      <c r="E158" s="17"/>
      <c r="F158" s="17"/>
      <c r="G158" s="17"/>
    </row>
    <row r="159" spans="1:7" x14ac:dyDescent="0.3">
      <c r="A159" s="17"/>
      <c r="B159" s="17"/>
      <c r="C159" s="17"/>
      <c r="D159" s="17"/>
      <c r="E159" s="17"/>
      <c r="F159" s="17"/>
      <c r="G159" s="17"/>
    </row>
    <row r="160" spans="1:7" x14ac:dyDescent="0.3">
      <c r="A160" s="17"/>
      <c r="B160" s="17"/>
      <c r="C160" s="17"/>
      <c r="D160" s="17"/>
      <c r="E160" s="17"/>
      <c r="F160" s="17"/>
      <c r="G160" s="17"/>
    </row>
    <row r="161" spans="1:7" x14ac:dyDescent="0.3">
      <c r="A161" s="17"/>
      <c r="B161" s="17"/>
      <c r="C161" s="17"/>
      <c r="D161" s="17"/>
      <c r="E161" s="17"/>
      <c r="F161" s="17"/>
      <c r="G161" s="17"/>
    </row>
    <row r="162" spans="1:7" x14ac:dyDescent="0.3">
      <c r="A162" s="17"/>
      <c r="B162" s="17"/>
      <c r="C162" s="17"/>
      <c r="D162" s="17"/>
      <c r="E162" s="17"/>
      <c r="F162" s="17"/>
      <c r="G162" s="17"/>
    </row>
    <row r="163" spans="1:7" x14ac:dyDescent="0.3">
      <c r="A163" s="17"/>
      <c r="B163" s="17"/>
      <c r="C163" s="17"/>
      <c r="D163" s="17"/>
      <c r="E163" s="17"/>
      <c r="F163" s="17"/>
      <c r="G163" s="17"/>
    </row>
    <row r="164" spans="1:7" x14ac:dyDescent="0.3">
      <c r="A164" s="17"/>
      <c r="B164" s="17"/>
      <c r="C164" s="17"/>
      <c r="D164" s="17"/>
      <c r="E164" s="17"/>
      <c r="F164" s="17"/>
      <c r="G164" s="17"/>
    </row>
    <row r="165" spans="1:7" x14ac:dyDescent="0.3">
      <c r="A165" s="17"/>
      <c r="B165" s="17"/>
      <c r="C165" s="17"/>
      <c r="D165" s="17"/>
      <c r="E165" s="17"/>
      <c r="F165" s="17"/>
      <c r="G165" s="17"/>
    </row>
    <row r="166" spans="1:7" x14ac:dyDescent="0.3">
      <c r="A166" s="17"/>
      <c r="B166" s="17"/>
      <c r="C166" s="17"/>
      <c r="D166" s="17"/>
      <c r="E166" s="17"/>
      <c r="F166" s="17"/>
      <c r="G166" s="17"/>
    </row>
    <row r="167" spans="1:7" x14ac:dyDescent="0.3">
      <c r="A167" s="17"/>
      <c r="B167" s="17"/>
      <c r="C167" s="17"/>
      <c r="D167" s="17"/>
      <c r="E167" s="17"/>
      <c r="F167" s="17"/>
      <c r="G167" s="17"/>
    </row>
    <row r="168" spans="1:7" x14ac:dyDescent="0.3">
      <c r="A168" s="17"/>
      <c r="B168" s="17"/>
      <c r="C168" s="17"/>
      <c r="D168" s="17"/>
      <c r="E168" s="17"/>
      <c r="F168" s="17"/>
      <c r="G168" s="17"/>
    </row>
    <row r="169" spans="1:7" x14ac:dyDescent="0.3">
      <c r="A169" s="17"/>
      <c r="B169" s="17"/>
      <c r="C169" s="17"/>
      <c r="D169" s="17"/>
      <c r="E169" s="17"/>
      <c r="F169" s="17"/>
      <c r="G169" s="17"/>
    </row>
    <row r="170" spans="1:7" x14ac:dyDescent="0.3">
      <c r="A170" s="17"/>
      <c r="B170" s="17"/>
      <c r="C170" s="17"/>
      <c r="D170" s="17"/>
      <c r="E170" s="17"/>
      <c r="F170" s="17"/>
      <c r="G170" s="17"/>
    </row>
    <row r="171" spans="1:7" x14ac:dyDescent="0.3">
      <c r="A171" s="17"/>
      <c r="B171" s="17"/>
      <c r="C171" s="17"/>
      <c r="D171" s="17"/>
      <c r="E171" s="17"/>
      <c r="F171" s="17"/>
      <c r="G171" s="17"/>
    </row>
    <row r="172" spans="1:7" x14ac:dyDescent="0.3">
      <c r="A172" s="17"/>
      <c r="B172" s="17"/>
      <c r="C172" s="17"/>
      <c r="D172" s="17"/>
      <c r="E172" s="17"/>
      <c r="F172" s="17"/>
      <c r="G172" s="17"/>
    </row>
    <row r="173" spans="1:7" x14ac:dyDescent="0.3">
      <c r="A173" s="17"/>
      <c r="B173" s="17"/>
      <c r="C173" s="17"/>
      <c r="D173" s="17"/>
      <c r="E173" s="17"/>
      <c r="F173" s="17"/>
      <c r="G173" s="17"/>
    </row>
    <row r="174" spans="1:7" x14ac:dyDescent="0.3">
      <c r="A174" s="17"/>
      <c r="B174" s="17"/>
      <c r="C174" s="17"/>
      <c r="D174" s="17"/>
      <c r="E174" s="17"/>
      <c r="F174" s="17"/>
      <c r="G174" s="17"/>
    </row>
    <row r="175" spans="1:7" x14ac:dyDescent="0.3">
      <c r="A175" s="17"/>
      <c r="B175" s="17"/>
      <c r="C175" s="17"/>
      <c r="D175" s="17"/>
      <c r="E175" s="17"/>
      <c r="F175" s="17"/>
      <c r="G175" s="17"/>
    </row>
    <row r="176" spans="1:7" x14ac:dyDescent="0.3">
      <c r="A176" s="17"/>
      <c r="B176" s="17"/>
      <c r="C176" s="17"/>
      <c r="D176" s="17"/>
      <c r="E176" s="17"/>
      <c r="F176" s="17"/>
      <c r="G176" s="17"/>
    </row>
    <row r="177" spans="1:7" x14ac:dyDescent="0.3">
      <c r="A177" s="17"/>
      <c r="B177" s="17"/>
      <c r="C177" s="17"/>
      <c r="D177" s="17"/>
      <c r="E177" s="17"/>
      <c r="F177" s="17"/>
      <c r="G177" s="17"/>
    </row>
    <row r="178" spans="1:7" x14ac:dyDescent="0.3">
      <c r="A178" s="17"/>
      <c r="B178" s="17"/>
      <c r="C178" s="17"/>
      <c r="D178" s="17"/>
      <c r="E178" s="17"/>
      <c r="F178" s="17"/>
      <c r="G178" s="17"/>
    </row>
    <row r="179" spans="1:7" x14ac:dyDescent="0.3">
      <c r="A179" s="17"/>
      <c r="B179" s="17"/>
      <c r="C179" s="17"/>
      <c r="D179" s="17"/>
      <c r="E179" s="17"/>
      <c r="F179" s="17"/>
      <c r="G179" s="17"/>
    </row>
    <row r="180" spans="1:7" x14ac:dyDescent="0.3">
      <c r="A180" s="17"/>
      <c r="B180" s="17"/>
      <c r="C180" s="17"/>
      <c r="D180" s="17"/>
      <c r="E180" s="17"/>
      <c r="F180" s="17"/>
      <c r="G180" s="17"/>
    </row>
    <row r="181" spans="1:7" x14ac:dyDescent="0.3">
      <c r="A181" s="17"/>
      <c r="B181" s="17"/>
      <c r="C181" s="17"/>
      <c r="D181" s="17"/>
      <c r="E181" s="17"/>
      <c r="F181" s="17"/>
      <c r="G181" s="17"/>
    </row>
    <row r="182" spans="1:7" x14ac:dyDescent="0.3">
      <c r="A182" s="17"/>
      <c r="B182" s="17"/>
      <c r="C182" s="17"/>
      <c r="D182" s="17"/>
      <c r="E182" s="17"/>
      <c r="F182" s="17"/>
      <c r="G182" s="17"/>
    </row>
    <row r="183" spans="1:7" x14ac:dyDescent="0.3">
      <c r="A183" s="17"/>
      <c r="B183" s="17"/>
      <c r="C183" s="17"/>
      <c r="D183" s="17"/>
      <c r="E183" s="17"/>
      <c r="F183" s="17"/>
      <c r="G183" s="17"/>
    </row>
    <row r="184" spans="1:7" x14ac:dyDescent="0.3">
      <c r="A184" s="17"/>
      <c r="B184" s="17"/>
      <c r="C184" s="17"/>
      <c r="D184" s="17"/>
      <c r="E184" s="17"/>
      <c r="F184" s="17"/>
      <c r="G184" s="17"/>
    </row>
    <row r="185" spans="1:7" x14ac:dyDescent="0.3">
      <c r="A185" s="17"/>
      <c r="B185" s="17"/>
      <c r="C185" s="17"/>
      <c r="D185" s="17"/>
      <c r="E185" s="17"/>
      <c r="F185" s="17"/>
      <c r="G185" s="17"/>
    </row>
    <row r="186" spans="1:7" x14ac:dyDescent="0.3">
      <c r="A186" s="17"/>
      <c r="B186" s="17"/>
      <c r="C186" s="17"/>
      <c r="D186" s="17"/>
      <c r="E186" s="17"/>
      <c r="F186" s="17"/>
      <c r="G186" s="17"/>
    </row>
    <row r="187" spans="1:7" x14ac:dyDescent="0.3">
      <c r="A187" s="17"/>
      <c r="B187" s="17"/>
      <c r="C187" s="17"/>
      <c r="D187" s="17"/>
      <c r="E187" s="17"/>
      <c r="F187" s="17"/>
      <c r="G187" s="17"/>
    </row>
    <row r="188" spans="1:7" x14ac:dyDescent="0.3">
      <c r="A188" s="17"/>
      <c r="B188" s="17"/>
      <c r="C188" s="17"/>
      <c r="D188" s="17"/>
      <c r="E188" s="17"/>
      <c r="F188" s="17"/>
      <c r="G188" s="17"/>
    </row>
    <row r="189" spans="1:7" x14ac:dyDescent="0.3">
      <c r="A189" s="17"/>
      <c r="B189" s="17"/>
      <c r="C189" s="17"/>
      <c r="D189" s="17"/>
      <c r="E189" s="17"/>
      <c r="F189" s="17"/>
      <c r="G189" s="17"/>
    </row>
    <row r="190" spans="1:7" x14ac:dyDescent="0.3">
      <c r="A190" s="17"/>
      <c r="B190" s="17"/>
      <c r="C190" s="17"/>
      <c r="D190" s="17"/>
      <c r="E190" s="17"/>
      <c r="F190" s="17"/>
      <c r="G190" s="17"/>
    </row>
    <row r="191" spans="1:7" x14ac:dyDescent="0.3">
      <c r="A191" s="17"/>
      <c r="B191" s="17"/>
      <c r="C191" s="17"/>
      <c r="D191" s="17"/>
      <c r="E191" s="17"/>
      <c r="F191" s="17"/>
      <c r="G191" s="17"/>
    </row>
    <row r="192" spans="1:7" x14ac:dyDescent="0.3">
      <c r="A192" s="17"/>
      <c r="B192" s="17"/>
      <c r="C192" s="17"/>
      <c r="D192" s="17"/>
      <c r="E192" s="17"/>
      <c r="F192" s="17"/>
      <c r="G192" s="17"/>
    </row>
    <row r="193" spans="1:7" x14ac:dyDescent="0.3">
      <c r="A193" s="17"/>
      <c r="B193" s="17"/>
      <c r="C193" s="17"/>
      <c r="D193" s="17"/>
      <c r="E193" s="17"/>
      <c r="F193" s="17"/>
      <c r="G193" s="17"/>
    </row>
    <row r="194" spans="1:7" x14ac:dyDescent="0.3">
      <c r="A194" s="17"/>
      <c r="B194" s="17"/>
      <c r="C194" s="17"/>
      <c r="D194" s="17"/>
      <c r="E194" s="17"/>
      <c r="F194" s="17"/>
      <c r="G194" s="17"/>
    </row>
    <row r="195" spans="1:7" x14ac:dyDescent="0.3">
      <c r="A195" s="17"/>
      <c r="B195" s="17"/>
      <c r="C195" s="17"/>
      <c r="D195" s="17"/>
      <c r="E195" s="17"/>
      <c r="F195" s="17"/>
      <c r="G195" s="17"/>
    </row>
    <row r="196" spans="1:7" x14ac:dyDescent="0.3">
      <c r="A196" s="17"/>
      <c r="B196" s="17"/>
      <c r="C196" s="17"/>
      <c r="D196" s="17"/>
      <c r="E196" s="17"/>
      <c r="F196" s="17"/>
      <c r="G196" s="17"/>
    </row>
    <row r="197" spans="1:7" x14ac:dyDescent="0.3">
      <c r="A197" s="17"/>
      <c r="B197" s="17"/>
      <c r="C197" s="17"/>
      <c r="D197" s="17"/>
      <c r="E197" s="17"/>
      <c r="F197" s="17"/>
      <c r="G197" s="17"/>
    </row>
    <row r="198" spans="1:7" x14ac:dyDescent="0.3">
      <c r="A198" s="17"/>
      <c r="B198" s="17"/>
      <c r="C198" s="17"/>
      <c r="D198" s="17"/>
      <c r="E198" s="17"/>
      <c r="F198" s="17"/>
      <c r="G198" s="17"/>
    </row>
    <row r="199" spans="1:7" x14ac:dyDescent="0.3">
      <c r="A199" s="17"/>
      <c r="B199" s="17"/>
      <c r="C199" s="17"/>
      <c r="D199" s="17"/>
      <c r="E199" s="17"/>
      <c r="F199" s="17"/>
      <c r="G199" s="17"/>
    </row>
    <row r="200" spans="1:7" x14ac:dyDescent="0.3">
      <c r="A200" s="17"/>
      <c r="B200" s="17"/>
      <c r="C200" s="17"/>
      <c r="D200" s="17"/>
      <c r="E200" s="17"/>
      <c r="F200" s="17"/>
      <c r="G200" s="17"/>
    </row>
    <row r="201" spans="1:7" x14ac:dyDescent="0.3">
      <c r="A201" s="17"/>
      <c r="B201" s="17"/>
      <c r="C201" s="17"/>
      <c r="D201" s="17"/>
      <c r="E201" s="17"/>
      <c r="F201" s="17"/>
      <c r="G201" s="17"/>
    </row>
    <row r="202" spans="1:7" x14ac:dyDescent="0.3">
      <c r="A202" s="17"/>
      <c r="B202" s="17"/>
      <c r="C202" s="17"/>
      <c r="D202" s="17"/>
      <c r="E202" s="17"/>
      <c r="F202" s="17"/>
      <c r="G202" s="17"/>
    </row>
    <row r="203" spans="1:7" x14ac:dyDescent="0.3">
      <c r="A203" s="17"/>
      <c r="B203" s="17"/>
      <c r="C203" s="17"/>
      <c r="D203" s="17"/>
      <c r="E203" s="17"/>
      <c r="F203" s="17"/>
      <c r="G203" s="17"/>
    </row>
    <row r="204" spans="1:7" x14ac:dyDescent="0.3">
      <c r="A204" s="17"/>
      <c r="B204" s="17"/>
      <c r="C204" s="17"/>
      <c r="D204" s="17"/>
      <c r="E204" s="17"/>
      <c r="F204" s="17"/>
      <c r="G204" s="17"/>
    </row>
    <row r="205" spans="1:7" x14ac:dyDescent="0.3">
      <c r="A205" s="17"/>
      <c r="B205" s="17"/>
      <c r="C205" s="17"/>
      <c r="D205" s="17"/>
      <c r="E205" s="17"/>
      <c r="F205" s="17"/>
      <c r="G205" s="17"/>
    </row>
    <row r="206" spans="1:7" x14ac:dyDescent="0.3">
      <c r="A206" s="17"/>
      <c r="B206" s="17"/>
      <c r="C206" s="17"/>
      <c r="D206" s="17"/>
      <c r="E206" s="17"/>
      <c r="F206" s="17"/>
      <c r="G206" s="17"/>
    </row>
    <row r="207" spans="1:7" x14ac:dyDescent="0.3">
      <c r="A207" s="17"/>
      <c r="B207" s="17"/>
      <c r="C207" s="17"/>
      <c r="D207" s="17"/>
      <c r="E207" s="17"/>
      <c r="F207" s="17"/>
      <c r="G207" s="17"/>
    </row>
    <row r="208" spans="1:7" x14ac:dyDescent="0.3">
      <c r="A208" s="17"/>
      <c r="B208" s="17"/>
      <c r="C208" s="17"/>
      <c r="D208" s="17"/>
      <c r="E208" s="17"/>
      <c r="F208" s="17"/>
      <c r="G208" s="17"/>
    </row>
    <row r="209" spans="1:7" x14ac:dyDescent="0.3">
      <c r="A209" s="17"/>
      <c r="B209" s="17"/>
      <c r="C209" s="17"/>
      <c r="D209" s="17"/>
      <c r="E209" s="17"/>
      <c r="F209" s="17"/>
      <c r="G209" s="17"/>
    </row>
    <row r="210" spans="1:7" x14ac:dyDescent="0.3">
      <c r="A210" s="17"/>
      <c r="B210" s="17"/>
      <c r="C210" s="17"/>
      <c r="D210" s="17"/>
      <c r="E210" s="17"/>
      <c r="F210" s="17"/>
      <c r="G210" s="17"/>
    </row>
    <row r="211" spans="1:7" x14ac:dyDescent="0.3">
      <c r="A211" s="17"/>
      <c r="B211" s="17"/>
      <c r="C211" s="17"/>
      <c r="D211" s="17"/>
      <c r="E211" s="17"/>
      <c r="F211" s="17"/>
      <c r="G211" s="17"/>
    </row>
    <row r="212" spans="1:7" x14ac:dyDescent="0.3">
      <c r="A212" s="17"/>
      <c r="B212" s="17"/>
      <c r="C212" s="17"/>
      <c r="D212" s="17"/>
      <c r="E212" s="17"/>
      <c r="F212" s="17"/>
      <c r="G212" s="17"/>
    </row>
    <row r="213" spans="1:7" x14ac:dyDescent="0.3">
      <c r="A213" s="17"/>
      <c r="B213" s="17"/>
      <c r="C213" s="17"/>
      <c r="D213" s="17"/>
      <c r="E213" s="17"/>
      <c r="F213" s="17"/>
      <c r="G213" s="17"/>
    </row>
    <row r="214" spans="1:7" x14ac:dyDescent="0.3">
      <c r="A214" s="17"/>
      <c r="B214" s="17"/>
      <c r="C214" s="17"/>
      <c r="D214" s="17"/>
      <c r="E214" s="17"/>
      <c r="F214" s="17"/>
      <c r="G214" s="17"/>
    </row>
    <row r="215" spans="1:7" x14ac:dyDescent="0.3">
      <c r="A215" s="17"/>
      <c r="B215" s="17"/>
      <c r="C215" s="17"/>
      <c r="D215" s="17"/>
      <c r="E215" s="17"/>
      <c r="F215" s="17"/>
      <c r="G215" s="17"/>
    </row>
    <row r="216" spans="1:7" x14ac:dyDescent="0.3">
      <c r="A216" s="17"/>
      <c r="B216" s="17"/>
      <c r="C216" s="17"/>
      <c r="D216" s="17"/>
      <c r="E216" s="17"/>
      <c r="F216" s="17"/>
      <c r="G216" s="17"/>
    </row>
    <row r="217" spans="1:7" x14ac:dyDescent="0.3">
      <c r="A217" s="17"/>
      <c r="B217" s="17"/>
      <c r="C217" s="17"/>
      <c r="D217" s="17"/>
      <c r="E217" s="17"/>
      <c r="F217" s="17"/>
      <c r="G217" s="17"/>
    </row>
    <row r="218" spans="1:7" x14ac:dyDescent="0.3">
      <c r="A218" s="17"/>
      <c r="B218" s="17"/>
      <c r="C218" s="17"/>
      <c r="D218" s="17"/>
      <c r="E218" s="17"/>
      <c r="F218" s="17"/>
      <c r="G218" s="17"/>
    </row>
    <row r="219" spans="1:7" x14ac:dyDescent="0.3">
      <c r="A219" s="17"/>
      <c r="B219" s="17"/>
      <c r="C219" s="17"/>
      <c r="D219" s="17"/>
      <c r="E219" s="17"/>
      <c r="F219" s="17"/>
      <c r="G219" s="17"/>
    </row>
    <row r="220" spans="1:7" x14ac:dyDescent="0.3">
      <c r="A220" s="17"/>
      <c r="B220" s="17"/>
      <c r="C220" s="17"/>
      <c r="D220" s="17"/>
      <c r="E220" s="17"/>
      <c r="F220" s="17"/>
      <c r="G220" s="17"/>
    </row>
    <row r="221" spans="1:7" x14ac:dyDescent="0.3">
      <c r="A221" s="17"/>
      <c r="B221" s="17"/>
      <c r="C221" s="17"/>
      <c r="D221" s="17"/>
      <c r="E221" s="17"/>
      <c r="F221" s="17"/>
      <c r="G221" s="17"/>
    </row>
    <row r="222" spans="1:7" x14ac:dyDescent="0.3">
      <c r="A222" s="17"/>
      <c r="B222" s="17"/>
      <c r="C222" s="17"/>
      <c r="D222" s="17"/>
      <c r="E222" s="17"/>
      <c r="F222" s="17"/>
      <c r="G222" s="17"/>
    </row>
    <row r="223" spans="1:7" x14ac:dyDescent="0.3">
      <c r="A223" s="17"/>
      <c r="B223" s="17"/>
      <c r="C223" s="17"/>
      <c r="D223" s="17"/>
      <c r="E223" s="17"/>
      <c r="F223" s="17"/>
      <c r="G223" s="17"/>
    </row>
    <row r="224" spans="1:7" x14ac:dyDescent="0.3">
      <c r="A224" s="17"/>
      <c r="B224" s="17"/>
      <c r="C224" s="17"/>
      <c r="D224" s="17"/>
      <c r="E224" s="17"/>
      <c r="F224" s="17"/>
      <c r="G224" s="17"/>
    </row>
    <row r="225" spans="1:7" x14ac:dyDescent="0.3">
      <c r="A225" s="17"/>
      <c r="B225" s="17"/>
      <c r="C225" s="17"/>
      <c r="D225" s="17"/>
      <c r="E225" s="17"/>
      <c r="F225" s="17"/>
      <c r="G225" s="17"/>
    </row>
    <row r="226" spans="1:7" x14ac:dyDescent="0.3">
      <c r="A226" s="17"/>
      <c r="B226" s="17"/>
      <c r="C226" s="17"/>
      <c r="D226" s="17"/>
      <c r="E226" s="17"/>
      <c r="F226" s="17"/>
      <c r="G226" s="17"/>
    </row>
    <row r="227" spans="1:7" x14ac:dyDescent="0.3">
      <c r="A227" s="17"/>
      <c r="B227" s="17"/>
      <c r="C227" s="17"/>
      <c r="D227" s="17"/>
      <c r="E227" s="17"/>
      <c r="F227" s="17"/>
      <c r="G227" s="17"/>
    </row>
    <row r="228" spans="1:7" x14ac:dyDescent="0.3">
      <c r="A228" s="17"/>
      <c r="B228" s="17"/>
      <c r="C228" s="17"/>
      <c r="D228" s="17"/>
      <c r="E228" s="17"/>
      <c r="F228" s="17"/>
      <c r="G228" s="17"/>
    </row>
    <row r="229" spans="1:7" x14ac:dyDescent="0.3">
      <c r="A229" s="17"/>
      <c r="B229" s="17"/>
      <c r="C229" s="17"/>
      <c r="D229" s="17"/>
      <c r="E229" s="17"/>
      <c r="F229" s="17"/>
      <c r="G229" s="17"/>
    </row>
    <row r="230" spans="1:7" x14ac:dyDescent="0.3">
      <c r="A230" s="17"/>
      <c r="B230" s="17"/>
      <c r="C230" s="17"/>
      <c r="D230" s="17"/>
      <c r="E230" s="17"/>
      <c r="F230" s="17"/>
      <c r="G230" s="17"/>
    </row>
    <row r="231" spans="1:7" x14ac:dyDescent="0.3">
      <c r="A231" s="17"/>
      <c r="B231" s="17"/>
      <c r="C231" s="17"/>
      <c r="D231" s="17"/>
      <c r="E231" s="17"/>
      <c r="F231" s="17"/>
      <c r="G231" s="17"/>
    </row>
    <row r="232" spans="1:7" x14ac:dyDescent="0.3">
      <c r="A232" s="17"/>
      <c r="B232" s="17"/>
      <c r="C232" s="17"/>
      <c r="D232" s="17"/>
      <c r="E232" s="17"/>
      <c r="F232" s="17"/>
      <c r="G232" s="17"/>
    </row>
    <row r="233" spans="1:7" x14ac:dyDescent="0.3">
      <c r="A233" s="17"/>
      <c r="B233" s="17"/>
      <c r="C233" s="17"/>
      <c r="D233" s="17"/>
      <c r="E233" s="17"/>
      <c r="F233" s="17"/>
      <c r="G233" s="17"/>
    </row>
    <row r="234" spans="1:7" x14ac:dyDescent="0.3">
      <c r="A234" s="17"/>
      <c r="B234" s="17"/>
      <c r="C234" s="17"/>
      <c r="D234" s="17"/>
      <c r="E234" s="17"/>
      <c r="F234" s="17"/>
      <c r="G234" s="17"/>
    </row>
    <row r="235" spans="1:7" x14ac:dyDescent="0.3">
      <c r="A235" s="17"/>
      <c r="B235" s="17"/>
      <c r="C235" s="17"/>
      <c r="D235" s="17"/>
      <c r="E235" s="17"/>
      <c r="F235" s="17"/>
      <c r="G235" s="17"/>
    </row>
    <row r="236" spans="1:7" x14ac:dyDescent="0.3">
      <c r="A236" s="17"/>
      <c r="B236" s="17"/>
      <c r="C236" s="17"/>
      <c r="D236" s="17"/>
      <c r="E236" s="17"/>
      <c r="F236" s="17"/>
      <c r="G236" s="17"/>
    </row>
    <row r="237" spans="1:7" x14ac:dyDescent="0.3">
      <c r="A237" s="17"/>
      <c r="B237" s="17"/>
      <c r="C237" s="17"/>
      <c r="D237" s="17"/>
      <c r="E237" s="17"/>
      <c r="F237" s="17"/>
      <c r="G237" s="17"/>
    </row>
    <row r="238" spans="1:7" x14ac:dyDescent="0.3">
      <c r="A238" s="17"/>
      <c r="B238" s="17"/>
      <c r="C238" s="17"/>
      <c r="D238" s="17"/>
      <c r="E238" s="17"/>
      <c r="F238" s="17"/>
      <c r="G238" s="17"/>
    </row>
    <row r="239" spans="1:7" x14ac:dyDescent="0.3">
      <c r="A239" s="17"/>
      <c r="B239" s="17"/>
      <c r="C239" s="17"/>
      <c r="D239" s="17"/>
      <c r="E239" s="17"/>
      <c r="F239" s="17"/>
      <c r="G239" s="17"/>
    </row>
    <row r="240" spans="1:7" x14ac:dyDescent="0.3">
      <c r="A240" s="17"/>
      <c r="B240" s="17"/>
      <c r="C240" s="17"/>
      <c r="D240" s="17"/>
      <c r="E240" s="17"/>
      <c r="F240" s="17"/>
      <c r="G240" s="17"/>
    </row>
    <row r="241" spans="1:7" x14ac:dyDescent="0.3">
      <c r="A241" s="17"/>
      <c r="B241" s="17"/>
      <c r="C241" s="17"/>
      <c r="D241" s="17"/>
      <c r="E241" s="17"/>
      <c r="F241" s="17"/>
      <c r="G241" s="17"/>
    </row>
    <row r="242" spans="1:7" x14ac:dyDescent="0.3">
      <c r="A242" s="17"/>
      <c r="B242" s="17"/>
      <c r="C242" s="17"/>
      <c r="D242" s="17"/>
      <c r="E242" s="17"/>
      <c r="F242" s="17"/>
      <c r="G242" s="17"/>
    </row>
    <row r="243" spans="1:7" x14ac:dyDescent="0.3">
      <c r="A243" s="17"/>
      <c r="B243" s="17"/>
      <c r="C243" s="17"/>
      <c r="D243" s="17"/>
      <c r="E243" s="17"/>
      <c r="F243" s="17"/>
      <c r="G243" s="17"/>
    </row>
    <row r="244" spans="1:7" x14ac:dyDescent="0.3">
      <c r="A244" s="17"/>
      <c r="B244" s="17"/>
      <c r="C244" s="17"/>
      <c r="D244" s="17"/>
      <c r="E244" s="17"/>
      <c r="F244" s="17"/>
      <c r="G244" s="17"/>
    </row>
    <row r="245" spans="1:7" x14ac:dyDescent="0.3">
      <c r="A245" s="17"/>
      <c r="B245" s="17"/>
      <c r="C245" s="17"/>
      <c r="D245" s="17"/>
      <c r="E245" s="17"/>
      <c r="F245" s="17"/>
      <c r="G245" s="17"/>
    </row>
    <row r="246" spans="1:7" x14ac:dyDescent="0.3">
      <c r="A246" s="17"/>
      <c r="B246" s="17"/>
      <c r="C246" s="17"/>
      <c r="D246" s="17"/>
      <c r="E246" s="17"/>
      <c r="F246" s="17"/>
      <c r="G246" s="17"/>
    </row>
    <row r="247" spans="1:7" x14ac:dyDescent="0.3">
      <c r="A247" s="17"/>
      <c r="B247" s="17"/>
      <c r="C247" s="17"/>
      <c r="D247" s="17"/>
      <c r="E247" s="17"/>
      <c r="F247" s="17"/>
      <c r="G247" s="17"/>
    </row>
    <row r="248" spans="1:7" x14ac:dyDescent="0.3">
      <c r="A248" s="17"/>
      <c r="B248" s="17"/>
      <c r="C248" s="17"/>
      <c r="D248" s="17"/>
      <c r="E248" s="17"/>
      <c r="F248" s="17"/>
      <c r="G248" s="17"/>
    </row>
    <row r="249" spans="1:7" x14ac:dyDescent="0.3">
      <c r="A249" s="17"/>
      <c r="B249" s="17"/>
      <c r="C249" s="17"/>
      <c r="D249" s="17"/>
      <c r="E249" s="17"/>
      <c r="F249" s="17"/>
      <c r="G249" s="17"/>
    </row>
    <row r="250" spans="1:7" x14ac:dyDescent="0.3">
      <c r="A250" s="17"/>
      <c r="B250" s="17"/>
      <c r="C250" s="17"/>
      <c r="D250" s="17"/>
      <c r="E250" s="17"/>
      <c r="F250" s="17"/>
      <c r="G250" s="17"/>
    </row>
    <row r="251" spans="1:7" x14ac:dyDescent="0.3">
      <c r="A251" s="17"/>
      <c r="B251" s="17"/>
      <c r="C251" s="17"/>
      <c r="D251" s="17"/>
      <c r="E251" s="17"/>
      <c r="F251" s="17"/>
      <c r="G251" s="17"/>
    </row>
    <row r="252" spans="1:7" x14ac:dyDescent="0.3">
      <c r="A252" s="17"/>
      <c r="B252" s="17"/>
      <c r="C252" s="17"/>
      <c r="D252" s="17"/>
      <c r="E252" s="17"/>
      <c r="F252" s="17"/>
      <c r="G252" s="17"/>
    </row>
    <row r="253" spans="1:7" x14ac:dyDescent="0.3">
      <c r="A253" s="17"/>
      <c r="B253" s="17"/>
      <c r="C253" s="17"/>
      <c r="D253" s="17"/>
      <c r="E253" s="17"/>
      <c r="F253" s="17"/>
      <c r="G253" s="17"/>
    </row>
    <row r="254" spans="1:7" x14ac:dyDescent="0.3">
      <c r="A254" s="17"/>
      <c r="B254" s="17"/>
      <c r="C254" s="17"/>
      <c r="D254" s="17"/>
      <c r="E254" s="17"/>
      <c r="F254" s="17"/>
      <c r="G254" s="17"/>
    </row>
    <row r="255" spans="1:7" x14ac:dyDescent="0.3">
      <c r="A255" s="17"/>
      <c r="B255" s="17"/>
      <c r="C255" s="17"/>
      <c r="D255" s="17"/>
      <c r="E255" s="17"/>
      <c r="F255" s="17"/>
      <c r="G255" s="17"/>
    </row>
    <row r="256" spans="1:7" x14ac:dyDescent="0.3">
      <c r="A256" s="17"/>
      <c r="B256" s="17"/>
      <c r="C256" s="17"/>
      <c r="D256" s="17"/>
      <c r="E256" s="17"/>
      <c r="F256" s="17"/>
      <c r="G256" s="17"/>
    </row>
    <row r="257" spans="1:7" x14ac:dyDescent="0.3">
      <c r="A257" s="17"/>
      <c r="B257" s="17"/>
      <c r="C257" s="17"/>
      <c r="D257" s="17"/>
      <c r="E257" s="17"/>
      <c r="F257" s="17"/>
      <c r="G257" s="17"/>
    </row>
    <row r="258" spans="1:7" x14ac:dyDescent="0.3">
      <c r="A258" s="17"/>
      <c r="B258" s="17"/>
      <c r="C258" s="17"/>
      <c r="D258" s="17"/>
      <c r="E258" s="17"/>
      <c r="F258" s="17"/>
      <c r="G258" s="17"/>
    </row>
    <row r="259" spans="1:7" x14ac:dyDescent="0.3">
      <c r="A259" s="17"/>
      <c r="B259" s="17"/>
      <c r="C259" s="17"/>
      <c r="D259" s="17"/>
      <c r="E259" s="17"/>
      <c r="F259" s="17"/>
      <c r="G259" s="17"/>
    </row>
    <row r="260" spans="1:7" x14ac:dyDescent="0.3">
      <c r="A260" s="17"/>
      <c r="B260" s="17"/>
      <c r="C260" s="17"/>
      <c r="D260" s="17"/>
      <c r="E260" s="17"/>
      <c r="F260" s="17"/>
      <c r="G260" s="17"/>
    </row>
    <row r="261" spans="1:7" x14ac:dyDescent="0.3">
      <c r="A261" s="17"/>
      <c r="B261" s="17"/>
      <c r="C261" s="17"/>
      <c r="D261" s="17"/>
      <c r="E261" s="17"/>
      <c r="F261" s="17"/>
      <c r="G261" s="17"/>
    </row>
    <row r="262" spans="1:7" x14ac:dyDescent="0.3">
      <c r="A262" s="17"/>
      <c r="B262" s="17"/>
      <c r="C262" s="17"/>
      <c r="D262" s="17"/>
      <c r="E262" s="17"/>
      <c r="F262" s="17"/>
      <c r="G262" s="17"/>
    </row>
    <row r="263" spans="1:7" x14ac:dyDescent="0.3">
      <c r="A263" s="17"/>
      <c r="B263" s="17"/>
      <c r="C263" s="17"/>
      <c r="D263" s="17"/>
      <c r="E263" s="17"/>
      <c r="F263" s="17"/>
      <c r="G263" s="17"/>
    </row>
    <row r="264" spans="1:7" x14ac:dyDescent="0.3">
      <c r="A264" s="17"/>
      <c r="B264" s="17"/>
      <c r="C264" s="17"/>
      <c r="D264" s="17"/>
      <c r="E264" s="17"/>
      <c r="F264" s="17"/>
      <c r="G264" s="17"/>
    </row>
    <row r="265" spans="1:7" x14ac:dyDescent="0.3">
      <c r="A265" s="17"/>
      <c r="B265" s="17"/>
      <c r="C265" s="17"/>
      <c r="D265" s="17"/>
      <c r="E265" s="17"/>
      <c r="F265" s="17"/>
      <c r="G265" s="17"/>
    </row>
    <row r="266" spans="1:7" x14ac:dyDescent="0.3">
      <c r="A266" s="17"/>
      <c r="B266" s="17"/>
      <c r="C266" s="17"/>
      <c r="D266" s="17"/>
      <c r="E266" s="17"/>
      <c r="F266" s="17"/>
      <c r="G266" s="17"/>
    </row>
    <row r="267" spans="1:7" x14ac:dyDescent="0.3">
      <c r="A267" s="17"/>
      <c r="B267" s="17"/>
      <c r="C267" s="17"/>
      <c r="D267" s="17"/>
      <c r="E267" s="17"/>
      <c r="F267" s="17"/>
      <c r="G267" s="17"/>
    </row>
    <row r="268" spans="1:7" x14ac:dyDescent="0.3">
      <c r="A268" s="17"/>
      <c r="B268" s="17"/>
      <c r="C268" s="17"/>
      <c r="D268" s="17"/>
      <c r="E268" s="17"/>
      <c r="F268" s="17"/>
      <c r="G268" s="17"/>
    </row>
    <row r="269" spans="1:7" x14ac:dyDescent="0.3">
      <c r="A269" s="17"/>
      <c r="B269" s="17"/>
      <c r="C269" s="17"/>
      <c r="D269" s="17"/>
      <c r="E269" s="17"/>
      <c r="F269" s="17"/>
      <c r="G269" s="17"/>
    </row>
    <row r="270" spans="1:7" x14ac:dyDescent="0.3">
      <c r="A270" s="17"/>
      <c r="B270" s="17"/>
      <c r="C270" s="17"/>
      <c r="D270" s="17"/>
      <c r="E270" s="17"/>
      <c r="F270" s="17"/>
      <c r="G270" s="17"/>
    </row>
    <row r="271" spans="1:7" x14ac:dyDescent="0.3">
      <c r="A271" s="17"/>
      <c r="B271" s="17"/>
      <c r="C271" s="17"/>
      <c r="D271" s="17"/>
      <c r="E271" s="17"/>
      <c r="F271" s="17"/>
      <c r="G271" s="17"/>
    </row>
    <row r="272" spans="1:7" x14ac:dyDescent="0.3">
      <c r="A272" s="17"/>
      <c r="B272" s="17"/>
      <c r="C272" s="17"/>
      <c r="D272" s="17"/>
      <c r="E272" s="17"/>
      <c r="F272" s="17"/>
      <c r="G272" s="17"/>
    </row>
    <row r="273" spans="1:7" x14ac:dyDescent="0.3">
      <c r="A273" s="17"/>
      <c r="B273" s="17"/>
      <c r="C273" s="17"/>
      <c r="D273" s="17"/>
      <c r="E273" s="17"/>
      <c r="F273" s="17"/>
      <c r="G273" s="17"/>
    </row>
    <row r="274" spans="1:7" x14ac:dyDescent="0.3">
      <c r="A274" s="17"/>
      <c r="B274" s="17"/>
      <c r="C274" s="17"/>
      <c r="D274" s="17"/>
      <c r="E274" s="17"/>
      <c r="F274" s="17"/>
      <c r="G274" s="17"/>
    </row>
    <row r="275" spans="1:7" x14ac:dyDescent="0.3">
      <c r="A275" s="17"/>
      <c r="B275" s="17"/>
      <c r="C275" s="17"/>
      <c r="D275" s="17"/>
      <c r="E275" s="17"/>
      <c r="F275" s="17"/>
      <c r="G275" s="17"/>
    </row>
    <row r="276" spans="1:7" x14ac:dyDescent="0.3">
      <c r="A276" s="17"/>
      <c r="B276" s="17"/>
      <c r="C276" s="17"/>
      <c r="D276" s="17"/>
      <c r="E276" s="17"/>
      <c r="F276" s="17"/>
      <c r="G276" s="17"/>
    </row>
    <row r="277" spans="1:7" x14ac:dyDescent="0.3">
      <c r="A277" s="17"/>
      <c r="B277" s="17"/>
      <c r="C277" s="17"/>
      <c r="D277" s="17"/>
      <c r="E277" s="17"/>
      <c r="F277" s="17"/>
      <c r="G277" s="17"/>
    </row>
    <row r="278" spans="1:7" x14ac:dyDescent="0.3">
      <c r="A278" s="17"/>
      <c r="B278" s="17"/>
      <c r="C278" s="17"/>
      <c r="D278" s="17"/>
      <c r="E278" s="17"/>
      <c r="F278" s="17"/>
      <c r="G278" s="17"/>
    </row>
    <row r="279" spans="1:7" x14ac:dyDescent="0.3">
      <c r="A279" s="17"/>
      <c r="B279" s="17"/>
      <c r="C279" s="17"/>
      <c r="D279" s="17"/>
      <c r="E279" s="17"/>
      <c r="F279" s="17"/>
      <c r="G279" s="17"/>
    </row>
    <row r="280" spans="1:7" x14ac:dyDescent="0.3">
      <c r="A280" s="17"/>
      <c r="B280" s="17"/>
      <c r="C280" s="17"/>
      <c r="D280" s="17"/>
      <c r="E280" s="17"/>
      <c r="F280" s="17"/>
      <c r="G280" s="17"/>
    </row>
    <row r="281" spans="1:7" x14ac:dyDescent="0.3">
      <c r="A281" s="17"/>
      <c r="B281" s="17"/>
      <c r="C281" s="17"/>
      <c r="D281" s="17"/>
      <c r="E281" s="17"/>
      <c r="F281" s="17"/>
      <c r="G281" s="17"/>
    </row>
    <row r="282" spans="1:7" x14ac:dyDescent="0.3">
      <c r="A282" s="17"/>
      <c r="B282" s="17"/>
      <c r="C282" s="17"/>
      <c r="D282" s="17"/>
      <c r="E282" s="17"/>
      <c r="F282" s="17"/>
      <c r="G282" s="17"/>
    </row>
    <row r="283" spans="1:7" x14ac:dyDescent="0.3">
      <c r="A283" s="17"/>
      <c r="B283" s="17"/>
      <c r="C283" s="17"/>
      <c r="D283" s="17"/>
      <c r="E283" s="17"/>
      <c r="F283" s="17"/>
      <c r="G283" s="17"/>
    </row>
    <row r="284" spans="1:7" x14ac:dyDescent="0.3">
      <c r="A284" s="17"/>
      <c r="B284" s="17"/>
      <c r="C284" s="17"/>
      <c r="D284" s="17"/>
      <c r="E284" s="17"/>
      <c r="F284" s="17"/>
      <c r="G284" s="17"/>
    </row>
    <row r="285" spans="1:7" x14ac:dyDescent="0.3">
      <c r="A285" s="17"/>
      <c r="B285" s="17"/>
      <c r="C285" s="17"/>
      <c r="D285" s="17"/>
      <c r="E285" s="17"/>
      <c r="F285" s="17"/>
      <c r="G285" s="17"/>
    </row>
    <row r="286" spans="1:7" x14ac:dyDescent="0.3">
      <c r="A286" s="17"/>
      <c r="B286" s="17"/>
      <c r="C286" s="17"/>
      <c r="D286" s="17"/>
      <c r="E286" s="17"/>
      <c r="F286" s="17"/>
      <c r="G286" s="17"/>
    </row>
    <row r="287" spans="1:7" x14ac:dyDescent="0.3">
      <c r="A287" s="17"/>
      <c r="B287" s="17"/>
      <c r="C287" s="17"/>
      <c r="D287" s="17"/>
      <c r="E287" s="17"/>
      <c r="F287" s="17"/>
      <c r="G287" s="17"/>
    </row>
    <row r="288" spans="1:7" x14ac:dyDescent="0.3">
      <c r="A288" s="17"/>
      <c r="B288" s="17"/>
      <c r="C288" s="17"/>
      <c r="D288" s="17"/>
      <c r="E288" s="17"/>
      <c r="F288" s="17"/>
      <c r="G288" s="17"/>
    </row>
    <row r="289" spans="1:7" x14ac:dyDescent="0.3">
      <c r="A289" s="17"/>
      <c r="B289" s="17"/>
      <c r="C289" s="17"/>
      <c r="D289" s="17"/>
      <c r="E289" s="17"/>
      <c r="F289" s="17"/>
      <c r="G289" s="17"/>
    </row>
    <row r="290" spans="1:7" x14ac:dyDescent="0.3">
      <c r="A290" s="17"/>
      <c r="B290" s="17"/>
      <c r="C290" s="17"/>
      <c r="D290" s="17"/>
      <c r="E290" s="17"/>
      <c r="F290" s="17"/>
      <c r="G290" s="17"/>
    </row>
    <row r="291" spans="1:7" x14ac:dyDescent="0.3">
      <c r="A291" s="17"/>
      <c r="B291" s="17"/>
      <c r="C291" s="17"/>
      <c r="D291" s="17"/>
      <c r="E291" s="17"/>
      <c r="F291" s="17"/>
      <c r="G291" s="17"/>
    </row>
    <row r="292" spans="1:7" x14ac:dyDescent="0.3">
      <c r="A292" s="17"/>
      <c r="B292" s="17"/>
      <c r="C292" s="17"/>
      <c r="D292" s="17"/>
      <c r="E292" s="17"/>
      <c r="F292" s="17"/>
      <c r="G292" s="17"/>
    </row>
    <row r="293" spans="1:7" x14ac:dyDescent="0.3">
      <c r="A293" s="17"/>
      <c r="B293" s="17"/>
      <c r="C293" s="17"/>
      <c r="D293" s="17"/>
      <c r="E293" s="17"/>
      <c r="F293" s="17"/>
      <c r="G293" s="17"/>
    </row>
    <row r="294" spans="1:7" x14ac:dyDescent="0.3">
      <c r="A294" s="17"/>
      <c r="B294" s="17"/>
      <c r="C294" s="17"/>
      <c r="D294" s="17"/>
      <c r="E294" s="17"/>
      <c r="F294" s="17"/>
      <c r="G294" s="17"/>
    </row>
    <row r="295" spans="1:7" x14ac:dyDescent="0.3">
      <c r="A295" s="17"/>
      <c r="B295" s="17"/>
      <c r="C295" s="17"/>
      <c r="D295" s="17"/>
      <c r="E295" s="17"/>
      <c r="F295" s="17"/>
      <c r="G295" s="17"/>
    </row>
    <row r="296" spans="1:7" x14ac:dyDescent="0.3">
      <c r="A296" s="17"/>
      <c r="B296" s="17"/>
      <c r="C296" s="17"/>
      <c r="D296" s="17"/>
      <c r="E296" s="17"/>
      <c r="F296" s="17"/>
      <c r="G296" s="17"/>
    </row>
    <row r="297" spans="1:7" x14ac:dyDescent="0.3">
      <c r="A297" s="17"/>
      <c r="B297" s="17"/>
      <c r="C297" s="17"/>
      <c r="D297" s="17"/>
      <c r="E297" s="17"/>
      <c r="F297" s="17"/>
      <c r="G297" s="17"/>
    </row>
    <row r="298" spans="1:7" x14ac:dyDescent="0.3">
      <c r="A298" s="17"/>
      <c r="B298" s="17"/>
      <c r="C298" s="17"/>
      <c r="D298" s="17"/>
      <c r="E298" s="17"/>
      <c r="F298" s="17"/>
      <c r="G298" s="17"/>
    </row>
    <row r="299" spans="1:7" x14ac:dyDescent="0.3">
      <c r="A299" s="17"/>
      <c r="B299" s="17"/>
      <c r="C299" s="17"/>
      <c r="D299" s="17"/>
      <c r="E299" s="17"/>
      <c r="F299" s="17"/>
      <c r="G299" s="17"/>
    </row>
    <row r="300" spans="1:7" x14ac:dyDescent="0.3">
      <c r="A300" s="17"/>
      <c r="B300" s="17"/>
      <c r="C300" s="17"/>
      <c r="D300" s="17"/>
      <c r="E300" s="17"/>
      <c r="F300" s="17"/>
      <c r="G300" s="17"/>
    </row>
    <row r="301" spans="1:7" x14ac:dyDescent="0.3">
      <c r="A301" s="17"/>
      <c r="B301" s="17"/>
      <c r="C301" s="17"/>
      <c r="D301" s="17"/>
      <c r="E301" s="17"/>
      <c r="F301" s="17"/>
      <c r="G301" s="17"/>
    </row>
    <row r="302" spans="1:7" x14ac:dyDescent="0.3">
      <c r="A302" s="17"/>
      <c r="B302" s="17"/>
      <c r="C302" s="17"/>
      <c r="D302" s="17"/>
      <c r="E302" s="17"/>
      <c r="F302" s="17"/>
      <c r="G302" s="17"/>
    </row>
    <row r="303" spans="1:7" x14ac:dyDescent="0.3">
      <c r="A303" s="17"/>
      <c r="B303" s="17"/>
      <c r="C303" s="17"/>
      <c r="D303" s="17"/>
      <c r="E303" s="17"/>
      <c r="F303" s="17"/>
      <c r="G303" s="17"/>
    </row>
    <row r="304" spans="1:7" x14ac:dyDescent="0.3">
      <c r="A304" s="17"/>
      <c r="B304" s="17"/>
      <c r="C304" s="17"/>
      <c r="D304" s="17"/>
      <c r="E304" s="17"/>
      <c r="F304" s="17"/>
      <c r="G304" s="17"/>
    </row>
    <row r="305" spans="1:7" x14ac:dyDescent="0.3">
      <c r="A305" s="17"/>
      <c r="B305" s="17"/>
      <c r="C305" s="17"/>
      <c r="D305" s="17"/>
      <c r="E305" s="17"/>
      <c r="F305" s="17"/>
      <c r="G305" s="17"/>
    </row>
    <row r="306" spans="1:7" x14ac:dyDescent="0.3">
      <c r="A306" s="17"/>
      <c r="B306" s="17"/>
      <c r="C306" s="17"/>
      <c r="D306" s="17"/>
      <c r="E306" s="17"/>
      <c r="F306" s="17"/>
      <c r="G306" s="17"/>
    </row>
    <row r="307" spans="1:7" x14ac:dyDescent="0.3">
      <c r="A307" s="17"/>
      <c r="B307" s="17"/>
      <c r="C307" s="17"/>
      <c r="D307" s="17"/>
      <c r="E307" s="17"/>
      <c r="F307" s="17"/>
      <c r="G307" s="17"/>
    </row>
    <row r="308" spans="1:7" x14ac:dyDescent="0.3">
      <c r="A308" s="17"/>
      <c r="B308" s="17"/>
      <c r="C308" s="17"/>
      <c r="D308" s="17"/>
      <c r="E308" s="17"/>
      <c r="F308" s="17"/>
      <c r="G308" s="17"/>
    </row>
    <row r="309" spans="1:7" x14ac:dyDescent="0.3">
      <c r="A309" s="17"/>
      <c r="B309" s="17"/>
      <c r="C309" s="17"/>
      <c r="D309" s="17"/>
      <c r="E309" s="17"/>
      <c r="F309" s="17"/>
      <c r="G309" s="17"/>
    </row>
    <row r="310" spans="1:7" x14ac:dyDescent="0.3">
      <c r="A310" s="17"/>
      <c r="B310" s="17"/>
      <c r="C310" s="17"/>
      <c r="D310" s="17"/>
      <c r="E310" s="17"/>
      <c r="F310" s="17"/>
      <c r="G310" s="17"/>
    </row>
    <row r="311" spans="1:7" x14ac:dyDescent="0.3">
      <c r="A311" s="17"/>
      <c r="B311" s="17"/>
      <c r="C311" s="17"/>
      <c r="D311" s="17"/>
      <c r="E311" s="17"/>
      <c r="F311" s="17"/>
      <c r="G311" s="17"/>
    </row>
    <row r="312" spans="1:7" x14ac:dyDescent="0.3">
      <c r="A312" s="17"/>
      <c r="B312" s="17"/>
      <c r="C312" s="17"/>
      <c r="D312" s="17"/>
      <c r="E312" s="17"/>
      <c r="F312" s="17"/>
      <c r="G312" s="17"/>
    </row>
    <row r="313" spans="1:7" x14ac:dyDescent="0.3">
      <c r="A313" s="17"/>
      <c r="B313" s="17"/>
      <c r="C313" s="17"/>
      <c r="D313" s="17"/>
      <c r="E313" s="17"/>
      <c r="F313" s="17"/>
      <c r="G313" s="17"/>
    </row>
    <row r="314" spans="1:7" x14ac:dyDescent="0.3">
      <c r="A314" s="17"/>
      <c r="B314" s="17"/>
      <c r="C314" s="17"/>
      <c r="D314" s="17"/>
      <c r="E314" s="17"/>
      <c r="F314" s="17"/>
      <c r="G314" s="17"/>
    </row>
    <row r="315" spans="1:7" x14ac:dyDescent="0.3">
      <c r="A315" s="17"/>
      <c r="B315" s="17"/>
      <c r="C315" s="17"/>
      <c r="D315" s="17"/>
      <c r="E315" s="17"/>
      <c r="F315" s="17"/>
      <c r="G315" s="17"/>
    </row>
    <row r="316" spans="1:7" x14ac:dyDescent="0.3">
      <c r="A316" s="17"/>
      <c r="B316" s="17"/>
      <c r="C316" s="17"/>
      <c r="D316" s="17"/>
      <c r="E316" s="17"/>
      <c r="F316" s="17"/>
      <c r="G316" s="17"/>
    </row>
    <row r="317" spans="1:7" x14ac:dyDescent="0.3">
      <c r="A317" s="17"/>
      <c r="B317" s="17"/>
      <c r="C317" s="17"/>
      <c r="D317" s="17"/>
      <c r="E317" s="17"/>
      <c r="F317" s="17"/>
      <c r="G317" s="17"/>
    </row>
    <row r="318" spans="1:7" x14ac:dyDescent="0.3">
      <c r="A318" s="17"/>
      <c r="B318" s="17"/>
      <c r="C318" s="17"/>
      <c r="D318" s="17"/>
      <c r="E318" s="17"/>
      <c r="F318" s="17"/>
      <c r="G318" s="17"/>
    </row>
    <row r="319" spans="1:7" x14ac:dyDescent="0.3">
      <c r="A319" s="17"/>
      <c r="B319" s="17"/>
      <c r="C319" s="17"/>
      <c r="D319" s="17"/>
      <c r="E319" s="17"/>
      <c r="F319" s="17"/>
      <c r="G319" s="17"/>
    </row>
    <row r="320" spans="1:7" x14ac:dyDescent="0.3">
      <c r="A320" s="17"/>
      <c r="B320" s="17"/>
      <c r="C320" s="17"/>
      <c r="D320" s="17"/>
      <c r="E320" s="17"/>
      <c r="F320" s="17"/>
      <c r="G320" s="17"/>
    </row>
    <row r="321" spans="1:7" x14ac:dyDescent="0.3">
      <c r="A321" s="17"/>
      <c r="B321" s="17"/>
      <c r="C321" s="17"/>
      <c r="D321" s="17"/>
      <c r="E321" s="17"/>
      <c r="F321" s="17"/>
      <c r="G321" s="17"/>
    </row>
    <row r="322" spans="1:7" x14ac:dyDescent="0.3">
      <c r="A322" s="17"/>
      <c r="B322" s="17"/>
      <c r="C322" s="17"/>
      <c r="D322" s="17"/>
      <c r="E322" s="17"/>
      <c r="F322" s="17"/>
      <c r="G322" s="17"/>
    </row>
    <row r="323" spans="1:7" x14ac:dyDescent="0.3">
      <c r="A323" s="17"/>
      <c r="B323" s="17"/>
      <c r="C323" s="17"/>
      <c r="D323" s="17"/>
      <c r="E323" s="17"/>
      <c r="F323" s="17"/>
      <c r="G323" s="17"/>
    </row>
    <row r="324" spans="1:7" x14ac:dyDescent="0.3">
      <c r="A324" s="17"/>
      <c r="B324" s="17"/>
      <c r="C324" s="17"/>
      <c r="D324" s="17"/>
      <c r="E324" s="17"/>
      <c r="F324" s="17"/>
      <c r="G324" s="17"/>
    </row>
    <row r="325" spans="1:7" x14ac:dyDescent="0.3">
      <c r="A325" s="17"/>
      <c r="B325" s="17"/>
      <c r="C325" s="17"/>
      <c r="D325" s="17"/>
      <c r="E325" s="17"/>
      <c r="F325" s="17"/>
      <c r="G325" s="17"/>
    </row>
    <row r="326" spans="1:7" x14ac:dyDescent="0.3">
      <c r="A326" s="17"/>
      <c r="B326" s="17"/>
      <c r="C326" s="17"/>
      <c r="D326" s="17"/>
      <c r="E326" s="17"/>
      <c r="F326" s="17"/>
      <c r="G326" s="17"/>
    </row>
    <row r="327" spans="1:7" x14ac:dyDescent="0.3">
      <c r="A327" s="17"/>
      <c r="B327" s="17"/>
      <c r="C327" s="17"/>
      <c r="D327" s="17"/>
      <c r="E327" s="17"/>
      <c r="F327" s="17"/>
      <c r="G327" s="17"/>
    </row>
    <row r="328" spans="1:7" x14ac:dyDescent="0.3">
      <c r="A328" s="17"/>
      <c r="B328" s="17"/>
      <c r="C328" s="17"/>
      <c r="D328" s="17"/>
      <c r="E328" s="17"/>
      <c r="F328" s="17"/>
      <c r="G328" s="17"/>
    </row>
    <row r="329" spans="1:7" x14ac:dyDescent="0.3">
      <c r="A329" s="17"/>
      <c r="B329" s="17"/>
      <c r="C329" s="17"/>
      <c r="D329" s="17"/>
      <c r="E329" s="17"/>
      <c r="F329" s="17"/>
      <c r="G329" s="17"/>
    </row>
    <row r="330" spans="1:7" x14ac:dyDescent="0.3">
      <c r="A330" s="17"/>
      <c r="B330" s="17"/>
      <c r="C330" s="17"/>
      <c r="D330" s="17"/>
      <c r="E330" s="17"/>
      <c r="F330" s="17"/>
      <c r="G330" s="17"/>
    </row>
    <row r="331" spans="1:7" x14ac:dyDescent="0.3">
      <c r="A331" s="17"/>
      <c r="B331" s="17"/>
      <c r="C331" s="17"/>
      <c r="D331" s="17"/>
      <c r="E331" s="17"/>
      <c r="F331" s="17"/>
      <c r="G331" s="17"/>
    </row>
    <row r="332" spans="1:7" x14ac:dyDescent="0.3">
      <c r="A332" s="17"/>
      <c r="B332" s="17"/>
      <c r="C332" s="17"/>
      <c r="D332" s="17"/>
      <c r="E332" s="17"/>
      <c r="F332" s="17"/>
      <c r="G332" s="17"/>
    </row>
    <row r="333" spans="1:7" x14ac:dyDescent="0.3">
      <c r="A333" s="17"/>
      <c r="B333" s="17"/>
      <c r="C333" s="17"/>
      <c r="D333" s="17"/>
      <c r="E333" s="17"/>
      <c r="F333" s="17"/>
      <c r="G333" s="17"/>
    </row>
    <row r="334" spans="1:7" x14ac:dyDescent="0.3">
      <c r="A334" s="17"/>
      <c r="B334" s="17"/>
      <c r="C334" s="17"/>
      <c r="D334" s="17"/>
      <c r="E334" s="17"/>
      <c r="F334" s="17"/>
      <c r="G334" s="17"/>
    </row>
    <row r="335" spans="1:7" x14ac:dyDescent="0.3">
      <c r="A335" s="17"/>
      <c r="B335" s="17"/>
      <c r="C335" s="17"/>
      <c r="D335" s="17"/>
      <c r="E335" s="17"/>
      <c r="F335" s="17"/>
      <c r="G335" s="17"/>
    </row>
    <row r="336" spans="1:7" x14ac:dyDescent="0.3">
      <c r="A336" s="17"/>
      <c r="B336" s="17"/>
      <c r="C336" s="17"/>
      <c r="D336" s="17"/>
      <c r="E336" s="17"/>
      <c r="F336" s="17"/>
      <c r="G336" s="17"/>
    </row>
    <row r="337" spans="1:7" x14ac:dyDescent="0.3">
      <c r="A337" s="17"/>
      <c r="B337" s="17"/>
      <c r="C337" s="17"/>
      <c r="D337" s="17"/>
      <c r="E337" s="17"/>
      <c r="F337" s="17"/>
      <c r="G337" s="17"/>
    </row>
    <row r="338" spans="1:7" x14ac:dyDescent="0.3">
      <c r="A338" s="17"/>
      <c r="B338" s="17"/>
      <c r="C338" s="17"/>
      <c r="D338" s="17"/>
      <c r="E338" s="17"/>
      <c r="F338" s="17"/>
      <c r="G338" s="17"/>
    </row>
    <row r="339" spans="1:7" x14ac:dyDescent="0.3">
      <c r="A339" s="17"/>
      <c r="B339" s="17"/>
      <c r="C339" s="17"/>
      <c r="D339" s="17"/>
      <c r="E339" s="17"/>
      <c r="F339" s="17"/>
      <c r="G339" s="17"/>
    </row>
    <row r="340" spans="1:7" x14ac:dyDescent="0.3">
      <c r="A340" s="17"/>
      <c r="B340" s="17"/>
      <c r="C340" s="17"/>
      <c r="D340" s="17"/>
      <c r="E340" s="17"/>
      <c r="F340" s="17"/>
      <c r="G340" s="17"/>
    </row>
    <row r="341" spans="1:7" x14ac:dyDescent="0.3">
      <c r="A341" s="17"/>
      <c r="B341" s="17"/>
      <c r="C341" s="17"/>
      <c r="D341" s="17"/>
      <c r="E341" s="17"/>
      <c r="F341" s="17"/>
      <c r="G341" s="17"/>
    </row>
    <row r="342" spans="1:7" x14ac:dyDescent="0.3">
      <c r="A342" s="17"/>
      <c r="B342" s="17"/>
      <c r="C342" s="17"/>
      <c r="D342" s="17"/>
      <c r="E342" s="17"/>
      <c r="F342" s="17"/>
      <c r="G342" s="17"/>
    </row>
    <row r="343" spans="1:7" x14ac:dyDescent="0.3">
      <c r="A343" s="17"/>
      <c r="B343" s="17"/>
      <c r="C343" s="17"/>
      <c r="D343" s="17"/>
      <c r="E343" s="17"/>
      <c r="F343" s="17"/>
      <c r="G343" s="17"/>
    </row>
    <row r="344" spans="1:7" x14ac:dyDescent="0.3">
      <c r="A344" s="17"/>
      <c r="B344" s="17"/>
      <c r="C344" s="17"/>
      <c r="D344" s="17"/>
      <c r="E344" s="17"/>
      <c r="F344" s="17"/>
      <c r="G344" s="17"/>
    </row>
    <row r="345" spans="1:7" x14ac:dyDescent="0.3">
      <c r="A345" s="17"/>
      <c r="B345" s="17"/>
      <c r="C345" s="17"/>
      <c r="D345" s="17"/>
      <c r="E345" s="17"/>
      <c r="F345" s="17"/>
      <c r="G345" s="17"/>
    </row>
    <row r="346" spans="1:7" x14ac:dyDescent="0.3">
      <c r="A346" s="17"/>
      <c r="B346" s="17"/>
      <c r="C346" s="17"/>
      <c r="D346" s="17"/>
      <c r="E346" s="17"/>
      <c r="F346" s="17"/>
      <c r="G346" s="17"/>
    </row>
    <row r="347" spans="1:7" x14ac:dyDescent="0.3">
      <c r="A347" s="17"/>
      <c r="B347" s="17"/>
      <c r="C347" s="17"/>
      <c r="D347" s="17"/>
      <c r="E347" s="17"/>
      <c r="F347" s="17"/>
      <c r="G347" s="17"/>
    </row>
    <row r="348" spans="1:7" x14ac:dyDescent="0.3">
      <c r="A348" s="17"/>
      <c r="B348" s="17"/>
      <c r="C348" s="17"/>
      <c r="D348" s="17"/>
      <c r="E348" s="17"/>
      <c r="F348" s="17"/>
      <c r="G348" s="17"/>
    </row>
    <row r="349" spans="1:7" x14ac:dyDescent="0.3">
      <c r="A349" s="17"/>
      <c r="B349" s="17"/>
      <c r="C349" s="17"/>
      <c r="D349" s="17"/>
      <c r="E349" s="17"/>
      <c r="F349" s="17"/>
      <c r="G349" s="17"/>
    </row>
    <row r="350" spans="1:7" x14ac:dyDescent="0.3">
      <c r="A350" s="17"/>
      <c r="B350" s="17"/>
      <c r="C350" s="17"/>
      <c r="D350" s="17"/>
      <c r="E350" s="17"/>
      <c r="F350" s="17"/>
      <c r="G350" s="17"/>
    </row>
    <row r="351" spans="1:7" x14ac:dyDescent="0.3">
      <c r="A351" s="17"/>
      <c r="B351" s="17"/>
      <c r="C351" s="17"/>
      <c r="D351" s="17"/>
      <c r="E351" s="17"/>
      <c r="F351" s="17"/>
      <c r="G351" s="17"/>
    </row>
    <row r="352" spans="1:7" x14ac:dyDescent="0.3">
      <c r="A352" s="17"/>
      <c r="B352" s="17"/>
      <c r="C352" s="17"/>
      <c r="D352" s="17"/>
      <c r="E352" s="17"/>
      <c r="F352" s="17"/>
      <c r="G352" s="17"/>
    </row>
    <row r="353" spans="1:7" x14ac:dyDescent="0.3">
      <c r="A353" s="17"/>
      <c r="B353" s="17"/>
      <c r="C353" s="17"/>
      <c r="D353" s="17"/>
      <c r="E353" s="17"/>
      <c r="F353" s="17"/>
      <c r="G353" s="17"/>
    </row>
    <row r="354" spans="1:7" x14ac:dyDescent="0.3">
      <c r="A354" s="17"/>
      <c r="B354" s="17"/>
      <c r="C354" s="17"/>
      <c r="D354" s="17"/>
      <c r="E354" s="17"/>
      <c r="F354" s="17"/>
      <c r="G354" s="17"/>
    </row>
    <row r="355" spans="1:7" x14ac:dyDescent="0.3">
      <c r="A355" s="17"/>
      <c r="B355" s="17"/>
      <c r="C355" s="17"/>
      <c r="D355" s="17"/>
      <c r="E355" s="17"/>
      <c r="F355" s="17"/>
      <c r="G355" s="17"/>
    </row>
    <row r="356" spans="1:7" x14ac:dyDescent="0.3">
      <c r="A356" s="17"/>
      <c r="B356" s="17"/>
      <c r="C356" s="17"/>
      <c r="D356" s="17"/>
      <c r="E356" s="17"/>
      <c r="F356" s="17"/>
      <c r="G356" s="17"/>
    </row>
    <row r="357" spans="1:7" x14ac:dyDescent="0.3">
      <c r="A357" s="17"/>
      <c r="B357" s="17"/>
      <c r="C357" s="17"/>
      <c r="D357" s="17"/>
      <c r="E357" s="17"/>
      <c r="F357" s="17"/>
      <c r="G357" s="17"/>
    </row>
    <row r="358" spans="1:7" x14ac:dyDescent="0.3">
      <c r="A358" s="17"/>
      <c r="B358" s="17"/>
      <c r="C358" s="17"/>
      <c r="D358" s="17"/>
      <c r="E358" s="17"/>
      <c r="F358" s="17"/>
      <c r="G358" s="17"/>
    </row>
    <row r="359" spans="1:7" x14ac:dyDescent="0.3">
      <c r="A359" s="17"/>
      <c r="B359" s="17"/>
      <c r="C359" s="17"/>
      <c r="D359" s="17"/>
      <c r="E359" s="17"/>
      <c r="F359" s="17"/>
      <c r="G359" s="17"/>
    </row>
    <row r="360" spans="1:7" x14ac:dyDescent="0.3">
      <c r="A360" s="17"/>
      <c r="B360" s="17"/>
      <c r="C360" s="17"/>
      <c r="D360" s="17"/>
      <c r="E360" s="17"/>
      <c r="F360" s="17"/>
      <c r="G360" s="17"/>
    </row>
    <row r="361" spans="1:7" x14ac:dyDescent="0.3">
      <c r="A361" s="17"/>
      <c r="B361" s="17"/>
      <c r="C361" s="17"/>
      <c r="D361" s="17"/>
      <c r="E361" s="17"/>
      <c r="F361" s="17"/>
      <c r="G361" s="17"/>
    </row>
    <row r="362" spans="1:7" x14ac:dyDescent="0.3">
      <c r="A362" s="17"/>
      <c r="B362" s="17"/>
      <c r="C362" s="17"/>
      <c r="D362" s="17"/>
      <c r="E362" s="17"/>
      <c r="F362" s="17"/>
      <c r="G362" s="17"/>
    </row>
    <row r="363" spans="1:7" x14ac:dyDescent="0.3">
      <c r="A363" s="17"/>
      <c r="B363" s="17"/>
      <c r="C363" s="17"/>
      <c r="D363" s="17"/>
      <c r="E363" s="17"/>
      <c r="F363" s="17"/>
      <c r="G363" s="17"/>
    </row>
    <row r="364" spans="1:7" x14ac:dyDescent="0.3">
      <c r="A364" s="17"/>
      <c r="B364" s="17"/>
      <c r="C364" s="17"/>
      <c r="D364" s="17"/>
      <c r="E364" s="17"/>
      <c r="F364" s="17"/>
      <c r="G364" s="17"/>
    </row>
    <row r="365" spans="1:7" x14ac:dyDescent="0.3">
      <c r="A365" s="17"/>
      <c r="B365" s="17"/>
      <c r="C365" s="17"/>
      <c r="D365" s="17"/>
      <c r="E365" s="17"/>
      <c r="F365" s="17"/>
      <c r="G365" s="17"/>
    </row>
    <row r="366" spans="1:7" x14ac:dyDescent="0.3">
      <c r="A366" s="17"/>
      <c r="B366" s="17"/>
      <c r="C366" s="17"/>
      <c r="D366" s="17"/>
      <c r="E366" s="17"/>
      <c r="F366" s="17"/>
      <c r="G366" s="17"/>
    </row>
    <row r="367" spans="1:7" x14ac:dyDescent="0.3">
      <c r="A367" s="17"/>
      <c r="B367" s="17"/>
      <c r="C367" s="17"/>
      <c r="D367" s="17"/>
      <c r="E367" s="17"/>
      <c r="F367" s="17"/>
      <c r="G367" s="17"/>
    </row>
    <row r="368" spans="1:7" x14ac:dyDescent="0.3">
      <c r="A368" s="17"/>
      <c r="B368" s="17"/>
      <c r="C368" s="17"/>
      <c r="D368" s="17"/>
      <c r="E368" s="17"/>
      <c r="F368" s="17"/>
      <c r="G368" s="17"/>
    </row>
    <row r="369" spans="1:7" x14ac:dyDescent="0.3">
      <c r="A369" s="17"/>
      <c r="B369" s="17"/>
      <c r="C369" s="17"/>
      <c r="D369" s="17"/>
      <c r="E369" s="17"/>
      <c r="F369" s="17"/>
      <c r="G369" s="17"/>
    </row>
    <row r="370" spans="1:7" x14ac:dyDescent="0.3">
      <c r="A370" s="17"/>
      <c r="B370" s="17"/>
      <c r="C370" s="17"/>
      <c r="D370" s="17"/>
      <c r="E370" s="17"/>
      <c r="F370" s="17"/>
      <c r="G370" s="17"/>
    </row>
    <row r="371" spans="1:7" x14ac:dyDescent="0.3">
      <c r="A371" s="17"/>
      <c r="B371" s="17"/>
      <c r="C371" s="17"/>
      <c r="D371" s="17"/>
      <c r="E371" s="17"/>
      <c r="F371" s="17"/>
      <c r="G371" s="17"/>
    </row>
    <row r="372" spans="1:7" x14ac:dyDescent="0.3">
      <c r="A372" s="17"/>
      <c r="B372" s="17"/>
      <c r="C372" s="17"/>
      <c r="D372" s="17"/>
      <c r="E372" s="17"/>
      <c r="F372" s="17"/>
      <c r="G372" s="17"/>
    </row>
    <row r="373" spans="1:7" x14ac:dyDescent="0.3">
      <c r="A373" s="17"/>
      <c r="B373" s="17"/>
      <c r="C373" s="17"/>
      <c r="D373" s="17"/>
      <c r="E373" s="17"/>
      <c r="F373" s="17"/>
      <c r="G373" s="17"/>
    </row>
    <row r="374" spans="1:7" x14ac:dyDescent="0.3">
      <c r="A374" s="17"/>
      <c r="B374" s="17"/>
      <c r="C374" s="17"/>
      <c r="D374" s="17"/>
      <c r="E374" s="17"/>
      <c r="F374" s="17"/>
      <c r="G374" s="17"/>
    </row>
    <row r="375" spans="1:7" x14ac:dyDescent="0.3">
      <c r="A375" s="17"/>
      <c r="B375" s="17"/>
      <c r="C375" s="17"/>
      <c r="D375" s="17"/>
      <c r="E375" s="17"/>
      <c r="F375" s="17"/>
      <c r="G375" s="17"/>
    </row>
    <row r="376" spans="1:7" x14ac:dyDescent="0.3">
      <c r="A376" s="17"/>
      <c r="B376" s="17"/>
      <c r="C376" s="17"/>
      <c r="D376" s="17"/>
      <c r="E376" s="17"/>
      <c r="F376" s="17"/>
      <c r="G376" s="17"/>
    </row>
    <row r="377" spans="1:7" x14ac:dyDescent="0.3">
      <c r="A377" s="17"/>
      <c r="B377" s="17"/>
      <c r="C377" s="17"/>
      <c r="D377" s="17"/>
      <c r="E377" s="17"/>
      <c r="F377" s="17"/>
      <c r="G377" s="17"/>
    </row>
    <row r="378" spans="1:7" x14ac:dyDescent="0.3">
      <c r="A378" s="17"/>
      <c r="B378" s="17"/>
      <c r="C378" s="17"/>
      <c r="D378" s="17"/>
      <c r="E378" s="17"/>
      <c r="F378" s="17"/>
      <c r="G378" s="17"/>
    </row>
    <row r="379" spans="1:7" x14ac:dyDescent="0.3">
      <c r="A379" s="17"/>
      <c r="B379" s="17"/>
      <c r="C379" s="17"/>
      <c r="D379" s="17"/>
      <c r="E379" s="17"/>
      <c r="F379" s="17"/>
      <c r="G379" s="17"/>
    </row>
    <row r="380" spans="1:7" x14ac:dyDescent="0.3">
      <c r="A380" s="17"/>
      <c r="B380" s="17"/>
      <c r="C380" s="17"/>
      <c r="D380" s="17"/>
      <c r="E380" s="17"/>
      <c r="F380" s="17"/>
      <c r="G380" s="17"/>
    </row>
    <row r="381" spans="1:7" x14ac:dyDescent="0.3">
      <c r="A381" s="17"/>
      <c r="B381" s="17"/>
      <c r="C381" s="17"/>
      <c r="D381" s="17"/>
      <c r="E381" s="17"/>
      <c r="F381" s="17"/>
      <c r="G381" s="17"/>
    </row>
    <row r="382" spans="1:7" x14ac:dyDescent="0.3">
      <c r="A382" s="17"/>
      <c r="B382" s="17"/>
      <c r="C382" s="17"/>
      <c r="D382" s="17"/>
      <c r="E382" s="17"/>
      <c r="F382" s="17"/>
      <c r="G382" s="17"/>
    </row>
    <row r="383" spans="1:7" x14ac:dyDescent="0.3">
      <c r="A383" s="17"/>
      <c r="B383" s="17"/>
      <c r="C383" s="17"/>
      <c r="D383" s="17"/>
      <c r="E383" s="17"/>
      <c r="F383" s="17"/>
      <c r="G383" s="17"/>
    </row>
    <row r="384" spans="1:7" x14ac:dyDescent="0.3">
      <c r="A384" s="17"/>
      <c r="B384" s="17"/>
      <c r="C384" s="17"/>
      <c r="D384" s="17"/>
      <c r="E384" s="17"/>
      <c r="F384" s="17"/>
      <c r="G384" s="17"/>
    </row>
    <row r="385" spans="1:7" x14ac:dyDescent="0.3">
      <c r="A385" s="17"/>
      <c r="B385" s="17"/>
      <c r="C385" s="17"/>
      <c r="D385" s="17"/>
      <c r="E385" s="17"/>
      <c r="F385" s="17"/>
      <c r="G385" s="17"/>
    </row>
    <row r="386" spans="1:7" x14ac:dyDescent="0.3">
      <c r="A386" s="17"/>
      <c r="B386" s="17"/>
      <c r="C386" s="17"/>
      <c r="D386" s="17"/>
      <c r="E386" s="17"/>
      <c r="F386" s="17"/>
      <c r="G386" s="17"/>
    </row>
    <row r="387" spans="1:7" x14ac:dyDescent="0.3">
      <c r="A387" s="17"/>
      <c r="B387" s="17"/>
      <c r="C387" s="17"/>
      <c r="D387" s="17"/>
      <c r="E387" s="17"/>
      <c r="F387" s="17"/>
      <c r="G387" s="17"/>
    </row>
    <row r="388" spans="1:7" x14ac:dyDescent="0.3">
      <c r="A388" s="17"/>
      <c r="B388" s="17"/>
      <c r="C388" s="17"/>
      <c r="D388" s="17"/>
      <c r="E388" s="17"/>
      <c r="F388" s="17"/>
      <c r="G388" s="17"/>
    </row>
    <row r="389" spans="1:7" x14ac:dyDescent="0.3">
      <c r="A389" s="17"/>
      <c r="B389" s="17"/>
      <c r="C389" s="17"/>
      <c r="D389" s="17"/>
      <c r="E389" s="17"/>
      <c r="F389" s="17"/>
      <c r="G389" s="17"/>
    </row>
    <row r="390" spans="1:7" x14ac:dyDescent="0.3">
      <c r="A390" s="17"/>
      <c r="B390" s="17"/>
      <c r="C390" s="17"/>
      <c r="D390" s="17"/>
      <c r="E390" s="17"/>
      <c r="F390" s="17"/>
      <c r="G390" s="17"/>
    </row>
    <row r="391" spans="1:7" x14ac:dyDescent="0.3">
      <c r="A391" s="17"/>
      <c r="B391" s="17"/>
      <c r="C391" s="17"/>
      <c r="D391" s="17"/>
      <c r="E391" s="17"/>
      <c r="F391" s="17"/>
      <c r="G391" s="17"/>
    </row>
    <row r="392" spans="1:7" x14ac:dyDescent="0.3">
      <c r="A392" s="17"/>
      <c r="B392" s="17"/>
      <c r="C392" s="17"/>
      <c r="D392" s="17"/>
      <c r="E392" s="17"/>
      <c r="F392" s="17"/>
      <c r="G392" s="17"/>
    </row>
    <row r="393" spans="1:7" x14ac:dyDescent="0.3">
      <c r="A393" s="17"/>
      <c r="B393" s="17"/>
      <c r="C393" s="17"/>
      <c r="D393" s="17"/>
      <c r="E393" s="17"/>
      <c r="F393" s="17"/>
      <c r="G393" s="17"/>
    </row>
    <row r="394" spans="1:7" x14ac:dyDescent="0.3">
      <c r="A394" s="17"/>
      <c r="B394" s="17"/>
      <c r="C394" s="17"/>
      <c r="D394" s="17"/>
      <c r="E394" s="17"/>
      <c r="F394" s="17"/>
      <c r="G394" s="17"/>
    </row>
    <row r="395" spans="1:7" x14ac:dyDescent="0.3">
      <c r="A395" s="17"/>
      <c r="B395" s="17"/>
      <c r="C395" s="17"/>
      <c r="D395" s="17"/>
      <c r="E395" s="17"/>
      <c r="F395" s="17"/>
      <c r="G395" s="17"/>
    </row>
    <row r="396" spans="1:7" x14ac:dyDescent="0.3">
      <c r="A396" s="17"/>
      <c r="B396" s="17"/>
      <c r="C396" s="17"/>
      <c r="D396" s="17"/>
      <c r="E396" s="17"/>
      <c r="F396" s="17"/>
      <c r="G396" s="17"/>
    </row>
    <row r="397" spans="1:7" x14ac:dyDescent="0.3">
      <c r="A397" s="17"/>
      <c r="B397" s="17"/>
      <c r="C397" s="17"/>
      <c r="D397" s="17"/>
      <c r="E397" s="17"/>
      <c r="F397" s="17"/>
      <c r="G397" s="17"/>
    </row>
    <row r="398" spans="1:7" x14ac:dyDescent="0.3">
      <c r="A398" s="17"/>
      <c r="B398" s="17"/>
      <c r="C398" s="17"/>
      <c r="D398" s="17"/>
      <c r="E398" s="17"/>
      <c r="F398" s="17"/>
      <c r="G398" s="17"/>
    </row>
    <row r="399" spans="1:7" x14ac:dyDescent="0.3">
      <c r="A399" s="17"/>
      <c r="B399" s="17"/>
      <c r="C399" s="17"/>
      <c r="D399" s="17"/>
      <c r="E399" s="17"/>
      <c r="F399" s="17"/>
      <c r="G399" s="17"/>
    </row>
    <row r="400" spans="1:7" x14ac:dyDescent="0.3">
      <c r="A400" s="17"/>
      <c r="B400" s="17"/>
      <c r="C400" s="17"/>
      <c r="D400" s="17"/>
      <c r="E400" s="17"/>
      <c r="F400" s="17"/>
      <c r="G400" s="17"/>
    </row>
    <row r="401" spans="1:7" x14ac:dyDescent="0.3">
      <c r="A401" s="17"/>
      <c r="B401" s="17"/>
      <c r="C401" s="17"/>
      <c r="D401" s="17"/>
      <c r="E401" s="17"/>
      <c r="F401" s="17"/>
      <c r="G401" s="17"/>
    </row>
    <row r="402" spans="1:7" x14ac:dyDescent="0.3">
      <c r="A402" s="17"/>
      <c r="B402" s="17"/>
      <c r="C402" s="17"/>
      <c r="D402" s="17"/>
      <c r="E402" s="17"/>
      <c r="F402" s="17"/>
      <c r="G402" s="17"/>
    </row>
    <row r="403" spans="1:7" x14ac:dyDescent="0.3">
      <c r="A403" s="17"/>
      <c r="B403" s="17"/>
      <c r="C403" s="17"/>
      <c r="D403" s="17"/>
      <c r="E403" s="17"/>
      <c r="F403" s="17"/>
      <c r="G403" s="17"/>
    </row>
    <row r="404" spans="1:7" x14ac:dyDescent="0.3">
      <c r="A404" s="17"/>
      <c r="B404" s="17"/>
      <c r="C404" s="17"/>
      <c r="D404" s="17"/>
      <c r="E404" s="17"/>
      <c r="F404" s="17"/>
      <c r="G404" s="17"/>
    </row>
    <row r="405" spans="1:7" x14ac:dyDescent="0.3">
      <c r="A405" s="17"/>
      <c r="B405" s="17"/>
      <c r="C405" s="17"/>
      <c r="D405" s="17"/>
      <c r="E405" s="17"/>
      <c r="F405" s="17"/>
      <c r="G405" s="17"/>
    </row>
    <row r="406" spans="1:7" x14ac:dyDescent="0.3">
      <c r="A406" s="17"/>
      <c r="B406" s="17"/>
      <c r="C406" s="17"/>
      <c r="D406" s="17"/>
      <c r="E406" s="17"/>
      <c r="F406" s="17"/>
      <c r="G406" s="17"/>
    </row>
    <row r="407" spans="1:7" x14ac:dyDescent="0.3">
      <c r="A407" s="17"/>
      <c r="B407" s="17"/>
      <c r="C407" s="17"/>
      <c r="D407" s="17"/>
      <c r="E407" s="17"/>
      <c r="F407" s="17"/>
      <c r="G407" s="17"/>
    </row>
    <row r="408" spans="1:7" x14ac:dyDescent="0.3">
      <c r="A408" s="17"/>
      <c r="B408" s="17"/>
      <c r="C408" s="17"/>
      <c r="D408" s="17"/>
      <c r="E408" s="17"/>
      <c r="F408" s="17"/>
      <c r="G408" s="17"/>
    </row>
    <row r="409" spans="1:7" x14ac:dyDescent="0.3">
      <c r="A409" s="17"/>
      <c r="B409" s="17"/>
      <c r="C409" s="17"/>
      <c r="D409" s="17"/>
      <c r="E409" s="17"/>
      <c r="F409" s="17"/>
      <c r="G409" s="17"/>
    </row>
    <row r="410" spans="1:7" x14ac:dyDescent="0.3">
      <c r="A410" s="17"/>
      <c r="B410" s="17"/>
      <c r="C410" s="17"/>
      <c r="D410" s="17"/>
      <c r="E410" s="17"/>
      <c r="F410" s="17"/>
      <c r="G410" s="17"/>
    </row>
    <row r="411" spans="1:7" x14ac:dyDescent="0.3">
      <c r="A411" s="17"/>
      <c r="B411" s="17"/>
      <c r="C411" s="17"/>
      <c r="D411" s="17"/>
      <c r="E411" s="17"/>
      <c r="F411" s="17"/>
      <c r="G411" s="17"/>
    </row>
    <row r="412" spans="1:7" x14ac:dyDescent="0.3">
      <c r="A412" s="17"/>
      <c r="B412" s="17"/>
      <c r="C412" s="17"/>
      <c r="D412" s="17"/>
      <c r="E412" s="17"/>
      <c r="F412" s="17"/>
      <c r="G412" s="17"/>
    </row>
    <row r="413" spans="1:7" x14ac:dyDescent="0.3">
      <c r="A413" s="17"/>
      <c r="B413" s="17"/>
      <c r="C413" s="17"/>
      <c r="D413" s="17"/>
      <c r="E413" s="17"/>
      <c r="F413" s="17"/>
      <c r="G413" s="17"/>
    </row>
    <row r="414" spans="1:7" x14ac:dyDescent="0.3">
      <c r="A414" s="17"/>
      <c r="B414" s="17"/>
      <c r="C414" s="17"/>
      <c r="D414" s="17"/>
      <c r="E414" s="17"/>
      <c r="F414" s="17"/>
      <c r="G414" s="17"/>
    </row>
    <row r="415" spans="1:7" x14ac:dyDescent="0.3">
      <c r="A415" s="17"/>
      <c r="B415" s="17"/>
      <c r="C415" s="17"/>
      <c r="D415" s="17"/>
      <c r="E415" s="17"/>
      <c r="F415" s="17"/>
      <c r="G415" s="17"/>
    </row>
    <row r="416" spans="1:7" x14ac:dyDescent="0.3">
      <c r="A416" s="17"/>
      <c r="B416" s="17"/>
      <c r="C416" s="17"/>
      <c r="D416" s="17"/>
      <c r="E416" s="17"/>
      <c r="F416" s="17"/>
      <c r="G416" s="17"/>
    </row>
    <row r="417" spans="1:7" x14ac:dyDescent="0.3">
      <c r="A417" s="17"/>
      <c r="B417" s="17"/>
      <c r="C417" s="17"/>
      <c r="D417" s="17"/>
      <c r="E417" s="17"/>
      <c r="F417" s="17"/>
      <c r="G417" s="17"/>
    </row>
    <row r="418" spans="1:7" x14ac:dyDescent="0.3">
      <c r="A418" s="17"/>
      <c r="B418" s="17"/>
      <c r="C418" s="17"/>
      <c r="D418" s="17"/>
      <c r="E418" s="17"/>
      <c r="F418" s="17"/>
      <c r="G418" s="17"/>
    </row>
    <row r="419" spans="1:7" x14ac:dyDescent="0.3">
      <c r="A419" s="17"/>
      <c r="B419" s="17"/>
      <c r="C419" s="17"/>
      <c r="D419" s="17"/>
      <c r="E419" s="17"/>
      <c r="F419" s="17"/>
      <c r="G419" s="17"/>
    </row>
    <row r="420" spans="1:7" x14ac:dyDescent="0.3">
      <c r="A420" s="17"/>
      <c r="B420" s="17"/>
      <c r="C420" s="17"/>
      <c r="D420" s="17"/>
      <c r="E420" s="17"/>
      <c r="F420" s="17"/>
      <c r="G420" s="17"/>
    </row>
    <row r="421" spans="1:7" x14ac:dyDescent="0.3">
      <c r="A421" s="17"/>
      <c r="B421" s="17"/>
      <c r="C421" s="17"/>
      <c r="D421" s="17"/>
      <c r="E421" s="17"/>
      <c r="F421" s="17"/>
      <c r="G421" s="17"/>
    </row>
    <row r="422" spans="1:7" x14ac:dyDescent="0.3">
      <c r="A422" s="17"/>
      <c r="B422" s="17"/>
      <c r="C422" s="17"/>
      <c r="D422" s="17"/>
      <c r="E422" s="17"/>
      <c r="F422" s="17"/>
      <c r="G422" s="17"/>
    </row>
    <row r="423" spans="1:7" x14ac:dyDescent="0.3">
      <c r="A423" s="17"/>
      <c r="B423" s="17"/>
      <c r="C423" s="17"/>
      <c r="D423" s="17"/>
      <c r="E423" s="17"/>
      <c r="F423" s="17"/>
      <c r="G423" s="17"/>
    </row>
    <row r="424" spans="1:7" x14ac:dyDescent="0.3">
      <c r="A424" s="17"/>
      <c r="B424" s="17"/>
      <c r="C424" s="17"/>
      <c r="D424" s="17"/>
      <c r="E424" s="17"/>
      <c r="F424" s="17"/>
      <c r="G424" s="17"/>
    </row>
    <row r="425" spans="1:7" x14ac:dyDescent="0.3">
      <c r="A425" s="17"/>
      <c r="B425" s="17"/>
      <c r="C425" s="17"/>
      <c r="D425" s="17"/>
      <c r="E425" s="17"/>
      <c r="F425" s="17"/>
      <c r="G425" s="17"/>
    </row>
    <row r="426" spans="1:7" x14ac:dyDescent="0.3">
      <c r="A426" s="17"/>
      <c r="B426" s="17"/>
      <c r="C426" s="17"/>
      <c r="D426" s="17"/>
      <c r="E426" s="17"/>
      <c r="F426" s="17"/>
      <c r="G426" s="17"/>
    </row>
    <row r="427" spans="1:7" x14ac:dyDescent="0.3">
      <c r="A427" s="17"/>
      <c r="B427" s="17"/>
      <c r="C427" s="17"/>
      <c r="D427" s="17"/>
      <c r="E427" s="17"/>
      <c r="F427" s="17"/>
      <c r="G427" s="17"/>
    </row>
    <row r="428" spans="1:7" x14ac:dyDescent="0.3">
      <c r="A428" s="17"/>
      <c r="B428" s="17"/>
      <c r="C428" s="17"/>
      <c r="D428" s="17"/>
      <c r="E428" s="17"/>
      <c r="F428" s="17"/>
      <c r="G428" s="17"/>
    </row>
    <row r="429" spans="1:7" x14ac:dyDescent="0.3">
      <c r="A429" s="17"/>
      <c r="B429" s="17"/>
      <c r="C429" s="17"/>
      <c r="D429" s="17"/>
      <c r="E429" s="17"/>
      <c r="F429" s="17"/>
      <c r="G429" s="17"/>
    </row>
    <row r="430" spans="1:7" x14ac:dyDescent="0.3">
      <c r="A430" s="17"/>
      <c r="B430" s="17"/>
      <c r="C430" s="17"/>
      <c r="D430" s="17"/>
      <c r="E430" s="17"/>
      <c r="F430" s="17"/>
      <c r="G430" s="17"/>
    </row>
    <row r="431" spans="1:7" x14ac:dyDescent="0.3">
      <c r="A431" s="17"/>
      <c r="B431" s="17"/>
      <c r="C431" s="17"/>
      <c r="D431" s="17"/>
      <c r="E431" s="17"/>
      <c r="F431" s="17"/>
      <c r="G431" s="17"/>
    </row>
    <row r="432" spans="1:7" x14ac:dyDescent="0.3">
      <c r="A432" s="17"/>
      <c r="B432" s="17"/>
      <c r="C432" s="17"/>
      <c r="D432" s="17"/>
      <c r="E432" s="17"/>
      <c r="F432" s="17"/>
      <c r="G432" s="17"/>
    </row>
    <row r="433" spans="1:7" x14ac:dyDescent="0.3">
      <c r="A433" s="17"/>
      <c r="B433" s="17"/>
      <c r="C433" s="17"/>
      <c r="D433" s="17"/>
      <c r="E433" s="17"/>
      <c r="F433" s="17"/>
      <c r="G433" s="17"/>
    </row>
    <row r="434" spans="1:7" x14ac:dyDescent="0.3">
      <c r="A434" s="17"/>
      <c r="B434" s="17"/>
      <c r="C434" s="17"/>
      <c r="D434" s="17"/>
      <c r="E434" s="17"/>
      <c r="F434" s="17"/>
      <c r="G434" s="17"/>
    </row>
    <row r="435" spans="1:7" x14ac:dyDescent="0.3">
      <c r="A435" s="17"/>
      <c r="B435" s="17"/>
      <c r="C435" s="17"/>
      <c r="D435" s="17"/>
      <c r="E435" s="17"/>
      <c r="F435" s="17"/>
      <c r="G435" s="17"/>
    </row>
    <row r="436" spans="1:7" x14ac:dyDescent="0.3">
      <c r="A436" s="17"/>
      <c r="B436" s="17"/>
      <c r="C436" s="17"/>
      <c r="D436" s="17"/>
      <c r="E436" s="17"/>
      <c r="F436" s="17"/>
      <c r="G436" s="17"/>
    </row>
    <row r="437" spans="1:7" x14ac:dyDescent="0.3">
      <c r="A437" s="17"/>
      <c r="B437" s="17"/>
      <c r="C437" s="17"/>
      <c r="D437" s="17"/>
      <c r="E437" s="17"/>
      <c r="F437" s="17"/>
      <c r="G437" s="17"/>
    </row>
    <row r="438" spans="1:7" x14ac:dyDescent="0.3">
      <c r="A438" s="17"/>
      <c r="B438" s="17"/>
      <c r="C438" s="17"/>
      <c r="D438" s="17"/>
      <c r="E438" s="17"/>
      <c r="F438" s="17"/>
      <c r="G438" s="17"/>
    </row>
    <row r="439" spans="1:7" x14ac:dyDescent="0.3">
      <c r="A439" s="17"/>
      <c r="B439" s="17"/>
      <c r="C439" s="17"/>
      <c r="D439" s="17"/>
      <c r="E439" s="17"/>
      <c r="F439" s="17"/>
      <c r="G439" s="17"/>
    </row>
    <row r="440" spans="1:7" x14ac:dyDescent="0.3">
      <c r="A440" s="17"/>
      <c r="B440" s="17"/>
      <c r="C440" s="17"/>
      <c r="D440" s="17"/>
      <c r="E440" s="17"/>
      <c r="F440" s="17"/>
      <c r="G440" s="17"/>
    </row>
    <row r="441" spans="1:7" x14ac:dyDescent="0.3">
      <c r="A441" s="17"/>
      <c r="B441" s="17"/>
      <c r="C441" s="17"/>
      <c r="D441" s="17"/>
      <c r="E441" s="17"/>
      <c r="F441" s="17"/>
      <c r="G441" s="17"/>
    </row>
    <row r="442" spans="1:7" x14ac:dyDescent="0.3">
      <c r="A442" s="17"/>
      <c r="B442" s="17"/>
      <c r="C442" s="17"/>
      <c r="D442" s="17"/>
      <c r="E442" s="17"/>
      <c r="F442" s="17"/>
      <c r="G442" s="17"/>
    </row>
    <row r="443" spans="1:7" x14ac:dyDescent="0.3">
      <c r="A443" s="17"/>
      <c r="B443" s="17"/>
      <c r="C443" s="17"/>
      <c r="D443" s="17"/>
      <c r="E443" s="17"/>
      <c r="F443" s="17"/>
      <c r="G443" s="17"/>
    </row>
    <row r="444" spans="1:7" x14ac:dyDescent="0.3">
      <c r="A444" s="17"/>
      <c r="B444" s="17"/>
      <c r="C444" s="17"/>
      <c r="D444" s="17"/>
      <c r="E444" s="17"/>
      <c r="F444" s="17"/>
      <c r="G444" s="17"/>
    </row>
    <row r="445" spans="1:7" x14ac:dyDescent="0.3">
      <c r="A445" s="17"/>
      <c r="B445" s="17"/>
      <c r="C445" s="17"/>
      <c r="D445" s="17"/>
      <c r="E445" s="17"/>
      <c r="F445" s="17"/>
      <c r="G445" s="17"/>
    </row>
    <row r="446" spans="1:7" x14ac:dyDescent="0.3">
      <c r="A446" s="17"/>
      <c r="B446" s="17"/>
      <c r="C446" s="17"/>
      <c r="D446" s="17"/>
      <c r="E446" s="17"/>
      <c r="F446" s="17"/>
      <c r="G446" s="17"/>
    </row>
    <row r="447" spans="1:7" x14ac:dyDescent="0.3">
      <c r="A447" s="17"/>
      <c r="B447" s="17"/>
      <c r="C447" s="17"/>
      <c r="D447" s="17"/>
      <c r="E447" s="17"/>
      <c r="F447" s="17"/>
      <c r="G447" s="17"/>
    </row>
    <row r="448" spans="1:7" x14ac:dyDescent="0.3">
      <c r="A448" s="17"/>
      <c r="B448" s="17"/>
      <c r="C448" s="17"/>
      <c r="D448" s="17"/>
      <c r="E448" s="17"/>
      <c r="F448" s="17"/>
      <c r="G448" s="17"/>
    </row>
    <row r="449" spans="1:7" x14ac:dyDescent="0.3">
      <c r="A449" s="17"/>
      <c r="B449" s="17"/>
      <c r="C449" s="17"/>
      <c r="D449" s="17"/>
      <c r="E449" s="17"/>
      <c r="F449" s="17"/>
      <c r="G449" s="17"/>
    </row>
    <row r="450" spans="1:7" x14ac:dyDescent="0.3">
      <c r="A450" s="17"/>
      <c r="B450" s="17"/>
      <c r="C450" s="17"/>
      <c r="D450" s="17"/>
      <c r="E450" s="17"/>
      <c r="F450" s="17"/>
      <c r="G450" s="17"/>
    </row>
    <row r="451" spans="1:7" x14ac:dyDescent="0.3">
      <c r="A451" s="17"/>
      <c r="B451" s="17"/>
      <c r="C451" s="17"/>
      <c r="D451" s="17"/>
      <c r="E451" s="17"/>
      <c r="F451" s="17"/>
      <c r="G451" s="17"/>
    </row>
    <row r="452" spans="1:7" x14ac:dyDescent="0.3">
      <c r="A452" s="17"/>
      <c r="B452" s="17"/>
      <c r="C452" s="17"/>
      <c r="D452" s="17"/>
      <c r="E452" s="17"/>
      <c r="F452" s="17"/>
      <c r="G452" s="17"/>
    </row>
    <row r="453" spans="1:7" x14ac:dyDescent="0.3">
      <c r="A453" s="17"/>
      <c r="B453" s="17"/>
      <c r="C453" s="17"/>
      <c r="D453" s="17"/>
      <c r="E453" s="17"/>
      <c r="F453" s="17"/>
      <c r="G453" s="17"/>
    </row>
    <row r="454" spans="1:7" x14ac:dyDescent="0.3">
      <c r="A454" s="17"/>
      <c r="B454" s="17"/>
      <c r="C454" s="17"/>
      <c r="D454" s="17"/>
      <c r="E454" s="17"/>
      <c r="F454" s="17"/>
      <c r="G454" s="17"/>
    </row>
    <row r="455" spans="1:7" x14ac:dyDescent="0.3">
      <c r="A455" s="17"/>
      <c r="B455" s="17"/>
      <c r="C455" s="17"/>
      <c r="D455" s="17"/>
      <c r="E455" s="17"/>
      <c r="F455" s="17"/>
      <c r="G455" s="17"/>
    </row>
    <row r="456" spans="1:7" x14ac:dyDescent="0.3">
      <c r="A456" s="17"/>
      <c r="B456" s="17"/>
      <c r="C456" s="17"/>
      <c r="D456" s="17"/>
      <c r="E456" s="17"/>
      <c r="F456" s="17"/>
      <c r="G456" s="17"/>
    </row>
    <row r="457" spans="1:7" x14ac:dyDescent="0.3">
      <c r="A457" s="17"/>
      <c r="B457" s="17"/>
      <c r="C457" s="17"/>
      <c r="D457" s="17"/>
      <c r="E457" s="17"/>
      <c r="F457" s="17"/>
      <c r="G457" s="17"/>
    </row>
    <row r="458" spans="1:7" x14ac:dyDescent="0.3">
      <c r="A458" s="17"/>
      <c r="B458" s="17"/>
      <c r="C458" s="17"/>
      <c r="D458" s="17"/>
      <c r="E458" s="17"/>
      <c r="F458" s="17"/>
      <c r="G458" s="17"/>
    </row>
    <row r="459" spans="1:7" x14ac:dyDescent="0.3">
      <c r="A459" s="17"/>
      <c r="B459" s="17"/>
      <c r="C459" s="17"/>
      <c r="D459" s="17"/>
      <c r="E459" s="17"/>
      <c r="F459" s="17"/>
      <c r="G459" s="17"/>
    </row>
    <row r="460" spans="1:7" x14ac:dyDescent="0.3">
      <c r="A460" s="17"/>
      <c r="B460" s="17"/>
      <c r="C460" s="17"/>
      <c r="D460" s="17"/>
      <c r="E460" s="17"/>
      <c r="F460" s="17"/>
      <c r="G460" s="17"/>
    </row>
    <row r="461" spans="1:7" x14ac:dyDescent="0.3">
      <c r="A461" s="17"/>
      <c r="B461" s="17"/>
      <c r="C461" s="17"/>
      <c r="D461" s="17"/>
      <c r="E461" s="17"/>
      <c r="F461" s="17"/>
      <c r="G461" s="17"/>
    </row>
    <row r="462" spans="1:7" x14ac:dyDescent="0.3">
      <c r="A462" s="17"/>
      <c r="B462" s="17"/>
      <c r="C462" s="17"/>
      <c r="D462" s="17"/>
      <c r="E462" s="17"/>
      <c r="F462" s="17"/>
      <c r="G462" s="17"/>
    </row>
    <row r="463" spans="1:7" x14ac:dyDescent="0.3">
      <c r="A463" s="17"/>
      <c r="B463" s="17"/>
      <c r="C463" s="17"/>
      <c r="D463" s="17"/>
      <c r="E463" s="17"/>
      <c r="F463" s="17"/>
      <c r="G463" s="17"/>
    </row>
    <row r="464" spans="1:7" x14ac:dyDescent="0.3">
      <c r="A464" s="17"/>
      <c r="B464" s="17"/>
      <c r="C464" s="17"/>
      <c r="D464" s="17"/>
      <c r="E464" s="17"/>
      <c r="F464" s="17"/>
      <c r="G464" s="17"/>
    </row>
    <row r="465" spans="1:7" x14ac:dyDescent="0.3">
      <c r="A465" s="17"/>
      <c r="B465" s="17"/>
      <c r="C465" s="17"/>
      <c r="D465" s="17"/>
      <c r="E465" s="17"/>
      <c r="F465" s="17"/>
      <c r="G465" s="17"/>
    </row>
    <row r="466" spans="1:7" x14ac:dyDescent="0.3">
      <c r="A466" s="17"/>
      <c r="B466" s="17"/>
      <c r="C466" s="17"/>
      <c r="D466" s="17"/>
      <c r="E466" s="17"/>
      <c r="F466" s="17"/>
      <c r="G466" s="17"/>
    </row>
    <row r="467" spans="1:7" x14ac:dyDescent="0.3">
      <c r="A467" s="17"/>
      <c r="B467" s="17"/>
      <c r="C467" s="17"/>
      <c r="D467" s="17"/>
      <c r="E467" s="17"/>
      <c r="F467" s="17"/>
      <c r="G467" s="17"/>
    </row>
    <row r="468" spans="1:7" x14ac:dyDescent="0.3">
      <c r="A468" s="17"/>
      <c r="B468" s="17"/>
      <c r="C468" s="17"/>
      <c r="D468" s="17"/>
      <c r="E468" s="17"/>
      <c r="F468" s="17"/>
      <c r="G468" s="17"/>
    </row>
    <row r="469" spans="1:7" x14ac:dyDescent="0.3">
      <c r="A469" s="17"/>
      <c r="B469" s="17"/>
      <c r="C469" s="17"/>
      <c r="D469" s="17"/>
      <c r="E469" s="17"/>
      <c r="F469" s="17"/>
      <c r="G469" s="17"/>
    </row>
    <row r="470" spans="1:7" x14ac:dyDescent="0.3">
      <c r="A470" s="17"/>
      <c r="B470" s="17"/>
      <c r="C470" s="17"/>
      <c r="D470" s="17"/>
      <c r="E470" s="17"/>
      <c r="F470" s="17"/>
      <c r="G470" s="17"/>
    </row>
    <row r="471" spans="1:7" x14ac:dyDescent="0.3">
      <c r="A471" s="17"/>
      <c r="B471" s="17"/>
      <c r="C471" s="17"/>
      <c r="D471" s="17"/>
      <c r="E471" s="17"/>
      <c r="F471" s="17"/>
      <c r="G471" s="17"/>
    </row>
    <row r="472" spans="1:7" x14ac:dyDescent="0.3">
      <c r="A472" s="17"/>
      <c r="B472" s="17"/>
      <c r="C472" s="17"/>
      <c r="D472" s="17"/>
      <c r="E472" s="17"/>
      <c r="F472" s="17"/>
      <c r="G472" s="17"/>
    </row>
    <row r="473" spans="1:7" x14ac:dyDescent="0.3">
      <c r="A473" s="17"/>
      <c r="B473" s="17"/>
      <c r="C473" s="17"/>
      <c r="D473" s="17"/>
      <c r="E473" s="17"/>
      <c r="F473" s="17"/>
      <c r="G473" s="17"/>
    </row>
    <row r="474" spans="1:7" x14ac:dyDescent="0.3">
      <c r="A474" s="17"/>
      <c r="B474" s="17"/>
      <c r="C474" s="17"/>
      <c r="D474" s="17"/>
      <c r="E474" s="17"/>
      <c r="F474" s="17"/>
      <c r="G474" s="17"/>
    </row>
    <row r="475" spans="1:7" x14ac:dyDescent="0.3">
      <c r="A475" s="17"/>
      <c r="B475" s="17"/>
      <c r="C475" s="17"/>
      <c r="D475" s="17"/>
      <c r="E475" s="17"/>
      <c r="F475" s="17"/>
      <c r="G475" s="17"/>
    </row>
    <row r="476" spans="1:7" x14ac:dyDescent="0.3">
      <c r="A476" s="17"/>
      <c r="B476" s="17"/>
      <c r="C476" s="17"/>
      <c r="D476" s="17"/>
      <c r="E476" s="17"/>
      <c r="F476" s="17"/>
      <c r="G476" s="17"/>
    </row>
    <row r="477" spans="1:7" x14ac:dyDescent="0.3">
      <c r="A477" s="17"/>
      <c r="B477" s="17"/>
      <c r="C477" s="17"/>
      <c r="D477" s="17"/>
      <c r="E477" s="17"/>
      <c r="F477" s="17"/>
      <c r="G477" s="17"/>
    </row>
    <row r="478" spans="1:7" x14ac:dyDescent="0.3">
      <c r="A478" s="17"/>
      <c r="B478" s="17"/>
      <c r="C478" s="17"/>
      <c r="D478" s="17"/>
      <c r="E478" s="17"/>
      <c r="F478" s="17"/>
      <c r="G478" s="17"/>
    </row>
    <row r="479" spans="1:7" x14ac:dyDescent="0.3">
      <c r="A479" s="17"/>
      <c r="B479" s="17"/>
      <c r="C479" s="17"/>
      <c r="D479" s="17"/>
      <c r="E479" s="17"/>
      <c r="F479" s="17"/>
      <c r="G479" s="17"/>
    </row>
    <row r="480" spans="1:7" x14ac:dyDescent="0.3">
      <c r="A480" s="17"/>
      <c r="B480" s="17"/>
      <c r="C480" s="17"/>
      <c r="D480" s="17"/>
      <c r="E480" s="17"/>
      <c r="F480" s="17"/>
      <c r="G480" s="17"/>
    </row>
    <row r="481" spans="1:7" x14ac:dyDescent="0.3">
      <c r="A481" s="17"/>
      <c r="B481" s="17"/>
      <c r="C481" s="17"/>
      <c r="D481" s="17"/>
      <c r="E481" s="17"/>
      <c r="F481" s="17"/>
      <c r="G481" s="17"/>
    </row>
    <row r="482" spans="1:7" x14ac:dyDescent="0.3">
      <c r="A482" s="17"/>
      <c r="B482" s="17"/>
      <c r="C482" s="17"/>
      <c r="D482" s="17"/>
      <c r="E482" s="17"/>
      <c r="F482" s="17"/>
      <c r="G482" s="17"/>
    </row>
    <row r="483" spans="1:7" x14ac:dyDescent="0.3">
      <c r="A483" s="17"/>
      <c r="B483" s="17"/>
      <c r="C483" s="17"/>
      <c r="D483" s="17"/>
      <c r="E483" s="17"/>
      <c r="F483" s="17"/>
      <c r="G483" s="17"/>
    </row>
    <row r="484" spans="1:7" x14ac:dyDescent="0.3">
      <c r="A484" s="17"/>
      <c r="B484" s="17"/>
      <c r="C484" s="17"/>
      <c r="D484" s="17"/>
      <c r="E484" s="17"/>
      <c r="F484" s="17"/>
      <c r="G484" s="17"/>
    </row>
    <row r="485" spans="1:7" x14ac:dyDescent="0.3">
      <c r="A485" s="17"/>
      <c r="B485" s="17"/>
      <c r="C485" s="17"/>
      <c r="D485" s="17"/>
      <c r="E485" s="17"/>
      <c r="F485" s="17"/>
      <c r="G485" s="17"/>
    </row>
    <row r="486" spans="1:7" x14ac:dyDescent="0.3">
      <c r="A486" s="17"/>
      <c r="B486" s="17"/>
      <c r="C486" s="17"/>
      <c r="D486" s="17"/>
      <c r="E486" s="17"/>
      <c r="F486" s="17"/>
      <c r="G486" s="17"/>
    </row>
    <row r="487" spans="1:7" x14ac:dyDescent="0.3">
      <c r="A487" s="17"/>
      <c r="B487" s="17"/>
      <c r="C487" s="17"/>
      <c r="D487" s="17"/>
      <c r="E487" s="17"/>
      <c r="F487" s="17"/>
      <c r="G487" s="17"/>
    </row>
    <row r="488" spans="1:7" x14ac:dyDescent="0.3">
      <c r="A488" s="17"/>
      <c r="B488" s="17"/>
      <c r="C488" s="17"/>
      <c r="D488" s="17"/>
      <c r="E488" s="17"/>
      <c r="F488" s="17"/>
      <c r="G488" s="17"/>
    </row>
    <row r="489" spans="1:7" x14ac:dyDescent="0.3">
      <c r="A489" s="17"/>
      <c r="B489" s="17"/>
      <c r="C489" s="17"/>
      <c r="D489" s="17"/>
      <c r="E489" s="17"/>
      <c r="F489" s="17"/>
      <c r="G489" s="17"/>
    </row>
    <row r="490" spans="1:7" x14ac:dyDescent="0.3">
      <c r="A490" s="17"/>
      <c r="B490" s="17"/>
      <c r="C490" s="17"/>
      <c r="D490" s="17"/>
      <c r="E490" s="17"/>
      <c r="F490" s="17"/>
      <c r="G490" s="17"/>
    </row>
    <row r="491" spans="1:7" x14ac:dyDescent="0.3">
      <c r="A491" s="17"/>
      <c r="B491" s="17"/>
      <c r="C491" s="17"/>
      <c r="D491" s="17"/>
      <c r="E491" s="17"/>
      <c r="F491" s="17"/>
      <c r="G491" s="17"/>
    </row>
    <row r="492" spans="1:7" x14ac:dyDescent="0.3">
      <c r="A492" s="17"/>
      <c r="B492" s="17"/>
      <c r="C492" s="17"/>
      <c r="D492" s="17"/>
      <c r="E492" s="17"/>
      <c r="F492" s="17"/>
      <c r="G492" s="17"/>
    </row>
    <row r="493" spans="1:7" x14ac:dyDescent="0.3">
      <c r="A493" s="17"/>
      <c r="B493" s="17"/>
      <c r="C493" s="17"/>
      <c r="D493" s="17"/>
      <c r="E493" s="17"/>
      <c r="F493" s="17"/>
      <c r="G493" s="17"/>
    </row>
    <row r="494" spans="1:7" x14ac:dyDescent="0.3">
      <c r="A494" s="17"/>
      <c r="B494" s="17"/>
      <c r="C494" s="17"/>
      <c r="D494" s="17"/>
      <c r="E494" s="17"/>
      <c r="F494" s="17"/>
      <c r="G494" s="17"/>
    </row>
    <row r="495" spans="1:7" x14ac:dyDescent="0.3">
      <c r="A495" s="17"/>
      <c r="B495" s="17"/>
      <c r="C495" s="17"/>
      <c r="D495" s="17"/>
      <c r="E495" s="17"/>
      <c r="F495" s="17"/>
      <c r="G495" s="17"/>
    </row>
    <row r="496" spans="1:7" x14ac:dyDescent="0.3">
      <c r="A496" s="17"/>
      <c r="B496" s="17"/>
      <c r="C496" s="17"/>
      <c r="D496" s="17"/>
      <c r="E496" s="17"/>
      <c r="F496" s="17"/>
      <c r="G496" s="17"/>
    </row>
    <row r="497" spans="1:7" x14ac:dyDescent="0.3">
      <c r="A497" s="17"/>
      <c r="B497" s="17"/>
      <c r="C497" s="17"/>
      <c r="D497" s="17"/>
      <c r="E497" s="17"/>
      <c r="F497" s="17"/>
      <c r="G497" s="17"/>
    </row>
    <row r="498" spans="1:7" x14ac:dyDescent="0.3">
      <c r="A498" s="17"/>
      <c r="B498" s="17"/>
      <c r="C498" s="17"/>
      <c r="D498" s="17"/>
      <c r="E498" s="17"/>
      <c r="F498" s="17"/>
      <c r="G498" s="17"/>
    </row>
    <row r="499" spans="1:7" x14ac:dyDescent="0.3">
      <c r="A499" s="17"/>
      <c r="B499" s="17"/>
      <c r="C499" s="17"/>
      <c r="D499" s="17"/>
      <c r="E499" s="17"/>
      <c r="F499" s="17"/>
      <c r="G499" s="17"/>
    </row>
    <row r="500" spans="1:7" x14ac:dyDescent="0.3">
      <c r="A500" s="17"/>
      <c r="B500" s="17"/>
      <c r="C500" s="17"/>
      <c r="D500" s="17"/>
      <c r="E500" s="17"/>
      <c r="F500" s="17"/>
      <c r="G500" s="17"/>
    </row>
    <row r="501" spans="1:7" x14ac:dyDescent="0.3">
      <c r="A501" s="17"/>
      <c r="B501" s="17"/>
      <c r="C501" s="17"/>
      <c r="D501" s="17"/>
      <c r="E501" s="17"/>
      <c r="F501" s="17"/>
      <c r="G501" s="17"/>
    </row>
    <row r="502" spans="1:7" x14ac:dyDescent="0.3">
      <c r="A502" s="17"/>
      <c r="B502" s="17"/>
      <c r="C502" s="17"/>
      <c r="D502" s="17"/>
      <c r="E502" s="17"/>
      <c r="F502" s="17"/>
      <c r="G502" s="17"/>
    </row>
    <row r="503" spans="1:7" x14ac:dyDescent="0.3">
      <c r="A503" s="17"/>
      <c r="B503" s="17"/>
      <c r="C503" s="17"/>
      <c r="D503" s="17"/>
      <c r="E503" s="17"/>
      <c r="F503" s="17"/>
      <c r="G503" s="17"/>
    </row>
    <row r="504" spans="1:7" x14ac:dyDescent="0.3">
      <c r="A504" s="17"/>
      <c r="B504" s="17"/>
      <c r="C504" s="17"/>
      <c r="D504" s="17"/>
      <c r="E504" s="17"/>
      <c r="F504" s="17"/>
      <c r="G504" s="17"/>
    </row>
    <row r="505" spans="1:7" x14ac:dyDescent="0.3">
      <c r="A505" s="17"/>
      <c r="B505" s="17"/>
      <c r="C505" s="17"/>
      <c r="D505" s="17"/>
      <c r="E505" s="17"/>
      <c r="F505" s="17"/>
      <c r="G505" s="17"/>
    </row>
    <row r="506" spans="1:7" x14ac:dyDescent="0.3">
      <c r="A506" s="17"/>
      <c r="B506" s="17"/>
      <c r="C506" s="17"/>
      <c r="D506" s="17"/>
      <c r="E506" s="17"/>
      <c r="F506" s="17"/>
      <c r="G506" s="17"/>
    </row>
    <row r="507" spans="1:7" x14ac:dyDescent="0.3">
      <c r="A507" s="17"/>
      <c r="B507" s="17"/>
      <c r="C507" s="17"/>
      <c r="D507" s="17"/>
      <c r="E507" s="17"/>
      <c r="F507" s="17"/>
      <c r="G507" s="17"/>
    </row>
    <row r="508" spans="1:7" x14ac:dyDescent="0.3">
      <c r="A508" s="17"/>
      <c r="B508" s="17"/>
      <c r="C508" s="17"/>
      <c r="D508" s="17"/>
      <c r="E508" s="17"/>
      <c r="F508" s="17"/>
      <c r="G508" s="17"/>
    </row>
    <row r="509" spans="1:7" x14ac:dyDescent="0.3">
      <c r="A509" s="17"/>
      <c r="B509" s="17"/>
      <c r="C509" s="17"/>
      <c r="D509" s="17"/>
      <c r="E509" s="17"/>
      <c r="F509" s="17"/>
      <c r="G509" s="17"/>
    </row>
    <row r="510" spans="1:7" x14ac:dyDescent="0.3">
      <c r="A510" s="17"/>
      <c r="B510" s="17"/>
      <c r="C510" s="17"/>
      <c r="D510" s="17"/>
      <c r="E510" s="17"/>
      <c r="F510" s="17"/>
      <c r="G510" s="17"/>
    </row>
    <row r="511" spans="1:7" x14ac:dyDescent="0.3">
      <c r="A511" s="17"/>
      <c r="B511" s="17"/>
      <c r="C511" s="17"/>
      <c r="D511" s="17"/>
      <c r="E511" s="17"/>
      <c r="F511" s="17"/>
      <c r="G511" s="17"/>
    </row>
    <row r="512" spans="1:7" x14ac:dyDescent="0.3">
      <c r="A512" s="17"/>
      <c r="B512" s="17"/>
      <c r="C512" s="17"/>
      <c r="D512" s="17"/>
      <c r="E512" s="17"/>
      <c r="F512" s="17"/>
      <c r="G512" s="17"/>
    </row>
    <row r="513" spans="1:7" x14ac:dyDescent="0.3">
      <c r="A513" s="17"/>
      <c r="B513" s="17"/>
      <c r="C513" s="17"/>
      <c r="D513" s="17"/>
      <c r="E513" s="17"/>
      <c r="F513" s="17"/>
      <c r="G513" s="17"/>
    </row>
    <row r="514" spans="1:7" x14ac:dyDescent="0.3">
      <c r="A514" s="17"/>
      <c r="B514" s="17"/>
      <c r="C514" s="17"/>
      <c r="D514" s="17"/>
      <c r="E514" s="17"/>
      <c r="F514" s="17"/>
      <c r="G514" s="17"/>
    </row>
    <row r="515" spans="1:7" x14ac:dyDescent="0.3">
      <c r="A515" s="17"/>
      <c r="B515" s="17"/>
      <c r="C515" s="17"/>
      <c r="D515" s="17"/>
      <c r="E515" s="17"/>
      <c r="F515" s="17"/>
      <c r="G515" s="17"/>
    </row>
    <row r="516" spans="1:7" x14ac:dyDescent="0.3">
      <c r="A516" s="17"/>
      <c r="B516" s="17"/>
      <c r="C516" s="17"/>
      <c r="D516" s="17"/>
      <c r="E516" s="17"/>
      <c r="F516" s="17"/>
      <c r="G516" s="17"/>
    </row>
    <row r="517" spans="1:7" x14ac:dyDescent="0.3">
      <c r="A517" s="17"/>
      <c r="B517" s="17"/>
      <c r="C517" s="17"/>
      <c r="D517" s="17"/>
      <c r="E517" s="17"/>
      <c r="F517" s="17"/>
      <c r="G517" s="17"/>
    </row>
    <row r="518" spans="1:7" x14ac:dyDescent="0.3">
      <c r="A518" s="17"/>
      <c r="B518" s="17"/>
      <c r="C518" s="17"/>
      <c r="D518" s="17"/>
      <c r="E518" s="17"/>
      <c r="F518" s="17"/>
      <c r="G518" s="17"/>
    </row>
    <row r="519" spans="1:7" x14ac:dyDescent="0.3">
      <c r="A519" s="17"/>
      <c r="B519" s="17"/>
      <c r="C519" s="17"/>
      <c r="D519" s="17"/>
      <c r="E519" s="17"/>
      <c r="F519" s="17"/>
      <c r="G519" s="17"/>
    </row>
    <row r="520" spans="1:7" x14ac:dyDescent="0.3">
      <c r="A520" s="17"/>
      <c r="B520" s="17"/>
      <c r="C520" s="17"/>
      <c r="D520" s="17"/>
      <c r="E520" s="17"/>
      <c r="F520" s="17"/>
      <c r="G520" s="17"/>
    </row>
    <row r="521" spans="1:7" x14ac:dyDescent="0.3">
      <c r="A521" s="17"/>
      <c r="B521" s="17"/>
      <c r="C521" s="17"/>
      <c r="D521" s="17"/>
      <c r="E521" s="17"/>
      <c r="F521" s="17"/>
      <c r="G521" s="17"/>
    </row>
    <row r="522" spans="1:7" x14ac:dyDescent="0.3">
      <c r="A522" s="17"/>
      <c r="B522" s="17"/>
      <c r="C522" s="17"/>
      <c r="D522" s="17"/>
      <c r="E522" s="17"/>
      <c r="F522" s="17"/>
      <c r="G522" s="17"/>
    </row>
    <row r="523" spans="1:7" x14ac:dyDescent="0.3">
      <c r="A523" s="17"/>
      <c r="B523" s="17"/>
      <c r="C523" s="17"/>
      <c r="D523" s="17"/>
      <c r="E523" s="17"/>
      <c r="F523" s="17"/>
      <c r="G523" s="17"/>
    </row>
    <row r="524" spans="1:7" x14ac:dyDescent="0.3">
      <c r="A524" s="17"/>
      <c r="B524" s="17"/>
      <c r="C524" s="17"/>
      <c r="D524" s="17"/>
      <c r="E524" s="17"/>
      <c r="F524" s="17"/>
      <c r="G524" s="17"/>
    </row>
    <row r="525" spans="1:7" x14ac:dyDescent="0.3">
      <c r="A525" s="17"/>
      <c r="B525" s="17"/>
      <c r="C525" s="17"/>
      <c r="D525" s="17"/>
      <c r="E525" s="17"/>
      <c r="F525" s="17"/>
      <c r="G525" s="17"/>
    </row>
    <row r="526" spans="1:7" x14ac:dyDescent="0.3">
      <c r="A526" s="17"/>
      <c r="B526" s="17"/>
      <c r="C526" s="17"/>
      <c r="D526" s="17"/>
      <c r="E526" s="17"/>
      <c r="F526" s="17"/>
      <c r="G526" s="17"/>
    </row>
    <row r="527" spans="1:7" x14ac:dyDescent="0.3">
      <c r="A527" s="17"/>
      <c r="B527" s="17"/>
      <c r="C527" s="17"/>
      <c r="D527" s="17"/>
      <c r="E527" s="17"/>
      <c r="F527" s="17"/>
      <c r="G527" s="17"/>
    </row>
    <row r="528" spans="1:7" s="6" customFormat="1" x14ac:dyDescent="0.3">
      <c r="A528" s="18"/>
      <c r="B528" s="18"/>
      <c r="C528" s="18"/>
      <c r="D528" s="18"/>
      <c r="E528" s="18"/>
      <c r="F528" s="18"/>
      <c r="G528" s="18"/>
    </row>
    <row r="529" spans="1:7" x14ac:dyDescent="0.3">
      <c r="A529" s="17"/>
      <c r="B529" s="17"/>
      <c r="C529" s="17"/>
      <c r="D529" s="17"/>
      <c r="E529" s="17"/>
      <c r="F529" s="17"/>
      <c r="G529" s="17"/>
    </row>
    <row r="530" spans="1:7" x14ac:dyDescent="0.3">
      <c r="A530" s="17"/>
      <c r="B530" s="17"/>
      <c r="C530" s="17"/>
      <c r="D530" s="17"/>
      <c r="E530" s="17"/>
      <c r="F530" s="17"/>
      <c r="G530" s="17"/>
    </row>
    <row r="531" spans="1:7" x14ac:dyDescent="0.3">
      <c r="A531" s="17"/>
      <c r="B531" s="17"/>
      <c r="C531" s="17"/>
      <c r="D531" s="17"/>
      <c r="E531" s="17"/>
      <c r="F531" s="17"/>
      <c r="G531" s="17"/>
    </row>
    <row r="532" spans="1:7" x14ac:dyDescent="0.3">
      <c r="A532" s="17"/>
      <c r="B532" s="17"/>
      <c r="C532" s="17"/>
      <c r="D532" s="17"/>
      <c r="E532" s="17"/>
      <c r="F532" s="17"/>
      <c r="G532" s="17"/>
    </row>
    <row r="533" spans="1:7" x14ac:dyDescent="0.3">
      <c r="A533" s="17"/>
      <c r="B533" s="17"/>
      <c r="C533" s="17"/>
      <c r="D533" s="17"/>
      <c r="E533" s="17"/>
      <c r="F533" s="17"/>
      <c r="G533" s="17"/>
    </row>
    <row r="534" spans="1:7" x14ac:dyDescent="0.3">
      <c r="A534" s="17"/>
      <c r="B534" s="17"/>
      <c r="C534" s="17"/>
      <c r="D534" s="17"/>
      <c r="E534" s="17"/>
      <c r="F534" s="17"/>
      <c r="G534" s="17"/>
    </row>
    <row r="535" spans="1:7" x14ac:dyDescent="0.3">
      <c r="A535" s="17"/>
      <c r="B535" s="17"/>
      <c r="C535" s="17"/>
      <c r="D535" s="17"/>
      <c r="E535" s="17"/>
      <c r="F535" s="17"/>
      <c r="G535" s="17"/>
    </row>
    <row r="536" spans="1:7" x14ac:dyDescent="0.3">
      <c r="A536" s="17"/>
      <c r="B536" s="17"/>
      <c r="C536" s="17"/>
      <c r="D536" s="17"/>
      <c r="E536" s="17"/>
      <c r="F536" s="17"/>
      <c r="G536" s="17"/>
    </row>
    <row r="537" spans="1:7" x14ac:dyDescent="0.3">
      <c r="A537" s="17"/>
      <c r="B537" s="17"/>
      <c r="C537" s="17"/>
      <c r="D537" s="17"/>
      <c r="E537" s="17"/>
      <c r="F537" s="17"/>
      <c r="G537" s="17"/>
    </row>
    <row r="538" spans="1:7" x14ac:dyDescent="0.3">
      <c r="A538" s="17"/>
      <c r="B538" s="17"/>
      <c r="C538" s="17"/>
      <c r="D538" s="17"/>
      <c r="E538" s="17"/>
      <c r="F538" s="17"/>
      <c r="G538" s="17"/>
    </row>
    <row r="539" spans="1:7" x14ac:dyDescent="0.3">
      <c r="A539" s="17"/>
      <c r="B539" s="17"/>
      <c r="C539" s="17"/>
      <c r="D539" s="17"/>
      <c r="E539" s="17"/>
      <c r="F539" s="17"/>
      <c r="G539" s="17"/>
    </row>
    <row r="540" spans="1:7" x14ac:dyDescent="0.3">
      <c r="A540" s="17"/>
      <c r="B540" s="17"/>
      <c r="C540" s="17"/>
      <c r="D540" s="17"/>
      <c r="E540" s="17"/>
      <c r="F540" s="17"/>
      <c r="G540" s="17"/>
    </row>
    <row r="541" spans="1:7" x14ac:dyDescent="0.3">
      <c r="A541" s="17"/>
      <c r="B541" s="17"/>
      <c r="C541" s="17"/>
      <c r="D541" s="17"/>
      <c r="E541" s="17"/>
      <c r="F541" s="17"/>
      <c r="G541" s="17"/>
    </row>
    <row r="542" spans="1:7" x14ac:dyDescent="0.3">
      <c r="A542" s="17"/>
      <c r="B542" s="17"/>
      <c r="C542" s="17"/>
      <c r="D542" s="17"/>
      <c r="E542" s="17"/>
      <c r="F542" s="17"/>
      <c r="G542" s="17"/>
    </row>
    <row r="543" spans="1:7" x14ac:dyDescent="0.3">
      <c r="A543" s="17"/>
      <c r="B543" s="17"/>
      <c r="C543" s="17"/>
      <c r="D543" s="17"/>
      <c r="E543" s="17"/>
      <c r="F543" s="17"/>
      <c r="G543" s="17"/>
    </row>
    <row r="544" spans="1:7" x14ac:dyDescent="0.3">
      <c r="A544" s="17"/>
      <c r="B544" s="17"/>
      <c r="C544" s="17"/>
      <c r="D544" s="17"/>
      <c r="E544" s="17"/>
      <c r="F544" s="17"/>
      <c r="G544" s="17"/>
    </row>
    <row r="545" spans="1:7" x14ac:dyDescent="0.3">
      <c r="A545" s="17"/>
      <c r="B545" s="17"/>
      <c r="C545" s="17"/>
      <c r="D545" s="17"/>
      <c r="E545" s="17"/>
      <c r="F545" s="17"/>
      <c r="G545" s="17"/>
    </row>
    <row r="546" spans="1:7" x14ac:dyDescent="0.3">
      <c r="A546" s="17"/>
      <c r="B546" s="17"/>
      <c r="C546" s="17"/>
      <c r="D546" s="17"/>
      <c r="E546" s="17"/>
      <c r="F546" s="17"/>
      <c r="G546" s="17"/>
    </row>
    <row r="547" spans="1:7" x14ac:dyDescent="0.3">
      <c r="A547" s="17"/>
      <c r="B547" s="17"/>
      <c r="C547" s="17"/>
      <c r="D547" s="17"/>
      <c r="E547" s="17"/>
      <c r="F547" s="17"/>
      <c r="G547" s="17"/>
    </row>
    <row r="548" spans="1:7" x14ac:dyDescent="0.3">
      <c r="A548" s="17"/>
      <c r="B548" s="17"/>
      <c r="C548" s="17"/>
      <c r="D548" s="17"/>
      <c r="E548" s="17"/>
      <c r="F548" s="17"/>
      <c r="G548" s="17"/>
    </row>
    <row r="549" spans="1:7" x14ac:dyDescent="0.3">
      <c r="A549" s="17"/>
      <c r="B549" s="17"/>
      <c r="C549" s="17"/>
      <c r="D549" s="17"/>
      <c r="E549" s="17"/>
      <c r="F549" s="17"/>
      <c r="G549" s="17"/>
    </row>
    <row r="550" spans="1:7" x14ac:dyDescent="0.3">
      <c r="A550" s="17"/>
      <c r="B550" s="17"/>
      <c r="C550" s="17"/>
      <c r="D550" s="17"/>
      <c r="E550" s="17"/>
      <c r="F550" s="17"/>
      <c r="G550" s="17"/>
    </row>
    <row r="551" spans="1:7" x14ac:dyDescent="0.3">
      <c r="A551" s="17"/>
      <c r="B551" s="17"/>
      <c r="C551" s="17"/>
      <c r="D551" s="17"/>
      <c r="E551" s="17"/>
      <c r="F551" s="17"/>
      <c r="G551" s="17"/>
    </row>
    <row r="552" spans="1:7" x14ac:dyDescent="0.3">
      <c r="A552" s="17"/>
      <c r="B552" s="17"/>
      <c r="C552" s="17"/>
      <c r="D552" s="17"/>
      <c r="E552" s="17"/>
      <c r="F552" s="17"/>
      <c r="G552" s="17"/>
    </row>
    <row r="553" spans="1:7" x14ac:dyDescent="0.3">
      <c r="A553" s="17"/>
      <c r="B553" s="17"/>
      <c r="C553" s="17"/>
      <c r="D553" s="17"/>
      <c r="E553" s="17"/>
      <c r="F553" s="17"/>
      <c r="G553" s="17"/>
    </row>
    <row r="554" spans="1:7" x14ac:dyDescent="0.3">
      <c r="A554" s="17"/>
      <c r="B554" s="17"/>
      <c r="C554" s="17"/>
      <c r="D554" s="17"/>
      <c r="E554" s="17"/>
      <c r="F554" s="17"/>
      <c r="G554" s="17"/>
    </row>
    <row r="555" spans="1:7" x14ac:dyDescent="0.3">
      <c r="A555" s="17"/>
      <c r="B555" s="17"/>
      <c r="C555" s="17"/>
      <c r="D555" s="17"/>
      <c r="E555" s="17"/>
      <c r="F555" s="17"/>
      <c r="G555" s="17"/>
    </row>
    <row r="556" spans="1:7" x14ac:dyDescent="0.3">
      <c r="A556" s="17"/>
      <c r="B556" s="17"/>
      <c r="C556" s="17"/>
      <c r="D556" s="17"/>
      <c r="E556" s="17"/>
      <c r="F556" s="17"/>
      <c r="G556" s="17"/>
    </row>
    <row r="557" spans="1:7" x14ac:dyDescent="0.3">
      <c r="A557" s="17"/>
      <c r="B557" s="17"/>
      <c r="C557" s="17"/>
      <c r="D557" s="17"/>
      <c r="E557" s="17"/>
      <c r="F557" s="17"/>
      <c r="G557" s="17"/>
    </row>
    <row r="558" spans="1:7" x14ac:dyDescent="0.3">
      <c r="A558" s="17"/>
      <c r="B558" s="17"/>
      <c r="C558" s="17"/>
      <c r="D558" s="17"/>
      <c r="E558" s="17"/>
      <c r="F558" s="17"/>
      <c r="G558" s="17"/>
    </row>
    <row r="559" spans="1:7" x14ac:dyDescent="0.3">
      <c r="A559" s="17"/>
      <c r="B559" s="17"/>
      <c r="C559" s="17"/>
      <c r="D559" s="17"/>
      <c r="E559" s="17"/>
      <c r="F559" s="17"/>
      <c r="G559" s="17"/>
    </row>
    <row r="560" spans="1:7" x14ac:dyDescent="0.3">
      <c r="A560" s="17"/>
      <c r="B560" s="17"/>
      <c r="C560" s="17"/>
      <c r="D560" s="17"/>
      <c r="E560" s="17"/>
      <c r="F560" s="17"/>
      <c r="G560" s="17"/>
    </row>
    <row r="561" spans="1:7" x14ac:dyDescent="0.3">
      <c r="A561" s="17"/>
      <c r="B561" s="17"/>
      <c r="C561" s="17"/>
      <c r="D561" s="17"/>
      <c r="E561" s="17"/>
      <c r="F561" s="17"/>
      <c r="G561" s="17"/>
    </row>
    <row r="562" spans="1:7" x14ac:dyDescent="0.3">
      <c r="A562" s="17"/>
      <c r="B562" s="17"/>
      <c r="C562" s="17"/>
      <c r="D562" s="17"/>
      <c r="E562" s="17"/>
      <c r="F562" s="17"/>
      <c r="G562" s="17"/>
    </row>
    <row r="563" spans="1:7" x14ac:dyDescent="0.3">
      <c r="A563" s="17"/>
      <c r="B563" s="17"/>
      <c r="C563" s="17"/>
      <c r="D563" s="17"/>
      <c r="E563" s="17"/>
      <c r="F563" s="17"/>
      <c r="G563" s="17"/>
    </row>
    <row r="564" spans="1:7" x14ac:dyDescent="0.3">
      <c r="A564" s="17"/>
      <c r="B564" s="17"/>
      <c r="C564" s="17"/>
      <c r="D564" s="17"/>
      <c r="E564" s="17"/>
      <c r="F564" s="17"/>
      <c r="G564" s="17"/>
    </row>
    <row r="565" spans="1:7" x14ac:dyDescent="0.3">
      <c r="A565" s="17"/>
      <c r="B565" s="17"/>
      <c r="C565" s="17"/>
      <c r="D565" s="17"/>
      <c r="E565" s="17"/>
      <c r="F565" s="17"/>
      <c r="G565" s="17"/>
    </row>
    <row r="566" spans="1:7" x14ac:dyDescent="0.3">
      <c r="A566" s="17"/>
      <c r="B566" s="17"/>
      <c r="C566" s="17"/>
      <c r="D566" s="17"/>
      <c r="E566" s="17"/>
      <c r="F566" s="17"/>
      <c r="G566" s="17"/>
    </row>
    <row r="567" spans="1:7" x14ac:dyDescent="0.3">
      <c r="A567" s="17"/>
      <c r="B567" s="17"/>
      <c r="C567" s="17"/>
      <c r="D567" s="17"/>
      <c r="E567" s="17"/>
      <c r="F567" s="17"/>
      <c r="G567" s="17"/>
    </row>
    <row r="568" spans="1:7" x14ac:dyDescent="0.3">
      <c r="A568" s="17"/>
      <c r="B568" s="17"/>
      <c r="C568" s="17"/>
      <c r="D568" s="17"/>
      <c r="E568" s="17"/>
      <c r="F568" s="17"/>
      <c r="G568" s="17"/>
    </row>
    <row r="569" spans="1:7" x14ac:dyDescent="0.3">
      <c r="A569" s="17"/>
      <c r="B569" s="17"/>
      <c r="C569" s="17"/>
      <c r="D569" s="17"/>
      <c r="E569" s="17"/>
      <c r="F569" s="17"/>
      <c r="G569" s="17"/>
    </row>
    <row r="570" spans="1:7" x14ac:dyDescent="0.3">
      <c r="A570" s="17"/>
      <c r="B570" s="17"/>
      <c r="C570" s="17"/>
      <c r="D570" s="17"/>
      <c r="E570" s="17"/>
      <c r="F570" s="17"/>
      <c r="G570" s="17"/>
    </row>
    <row r="571" spans="1:7" x14ac:dyDescent="0.3">
      <c r="A571" s="17"/>
      <c r="B571" s="17"/>
      <c r="C571" s="17"/>
      <c r="D571" s="17"/>
      <c r="E571" s="17"/>
      <c r="F571" s="17"/>
      <c r="G571" s="17"/>
    </row>
    <row r="572" spans="1:7" x14ac:dyDescent="0.3">
      <c r="A572" s="17"/>
      <c r="B572" s="17"/>
      <c r="C572" s="17"/>
      <c r="D572" s="17"/>
      <c r="E572" s="17"/>
      <c r="F572" s="17"/>
      <c r="G572" s="17"/>
    </row>
    <row r="573" spans="1:7" x14ac:dyDescent="0.3">
      <c r="A573" s="17"/>
      <c r="B573" s="17"/>
      <c r="C573" s="17"/>
      <c r="D573" s="17"/>
      <c r="E573" s="17"/>
      <c r="F573" s="17"/>
      <c r="G573" s="17"/>
    </row>
    <row r="574" spans="1:7" x14ac:dyDescent="0.3">
      <c r="A574" s="17"/>
      <c r="B574" s="17"/>
      <c r="C574" s="17"/>
      <c r="D574" s="17"/>
      <c r="E574" s="17"/>
      <c r="F574" s="17"/>
      <c r="G574" s="17"/>
    </row>
    <row r="575" spans="1:7" x14ac:dyDescent="0.3">
      <c r="A575" s="17"/>
      <c r="B575" s="17"/>
      <c r="C575" s="17"/>
      <c r="D575" s="17"/>
      <c r="E575" s="17"/>
      <c r="F575" s="17"/>
      <c r="G575" s="17"/>
    </row>
    <row r="576" spans="1:7" x14ac:dyDescent="0.3">
      <c r="A576" s="17"/>
      <c r="B576" s="17"/>
      <c r="C576" s="17"/>
      <c r="D576" s="17"/>
      <c r="E576" s="17"/>
      <c r="F576" s="17"/>
      <c r="G576" s="17"/>
    </row>
    <row r="577" spans="1:7" x14ac:dyDescent="0.3">
      <c r="A577" s="17"/>
      <c r="B577" s="17"/>
      <c r="C577" s="17"/>
      <c r="D577" s="17"/>
      <c r="E577" s="17"/>
      <c r="F577" s="17"/>
      <c r="G577" s="17"/>
    </row>
    <row r="578" spans="1:7" x14ac:dyDescent="0.3">
      <c r="A578" s="17"/>
      <c r="B578" s="17"/>
      <c r="C578" s="17"/>
      <c r="D578" s="17"/>
      <c r="E578" s="17"/>
      <c r="F578" s="17"/>
      <c r="G578" s="17"/>
    </row>
    <row r="579" spans="1:7" x14ac:dyDescent="0.3">
      <c r="A579" s="17"/>
      <c r="B579" s="17"/>
      <c r="C579" s="17"/>
      <c r="D579" s="17"/>
      <c r="E579" s="17"/>
      <c r="F579" s="17"/>
      <c r="G579" s="17"/>
    </row>
    <row r="580" spans="1:7" x14ac:dyDescent="0.3">
      <c r="A580" s="17"/>
      <c r="B580" s="17"/>
      <c r="C580" s="17"/>
      <c r="D580" s="17"/>
      <c r="E580" s="17"/>
      <c r="F580" s="17"/>
      <c r="G580" s="17"/>
    </row>
    <row r="581" spans="1:7" x14ac:dyDescent="0.3">
      <c r="A581" s="17"/>
      <c r="B581" s="17"/>
      <c r="C581" s="17"/>
      <c r="D581" s="17"/>
      <c r="E581" s="17"/>
      <c r="F581" s="17"/>
      <c r="G581" s="17"/>
    </row>
    <row r="582" spans="1:7" x14ac:dyDescent="0.3">
      <c r="A582" s="17"/>
      <c r="B582" s="17"/>
      <c r="C582" s="17"/>
      <c r="D582" s="17"/>
      <c r="E582" s="17"/>
      <c r="F582" s="17"/>
      <c r="G582" s="17"/>
    </row>
    <row r="583" spans="1:7" x14ac:dyDescent="0.3">
      <c r="A583" s="17"/>
      <c r="B583" s="17"/>
      <c r="C583" s="17"/>
      <c r="D583" s="17"/>
      <c r="E583" s="17"/>
      <c r="F583" s="17"/>
      <c r="G583" s="17"/>
    </row>
    <row r="584" spans="1:7" x14ac:dyDescent="0.3">
      <c r="A584" s="17"/>
      <c r="B584" s="17"/>
      <c r="C584" s="17"/>
      <c r="D584" s="17"/>
      <c r="E584" s="17"/>
      <c r="F584" s="17"/>
      <c r="G584" s="17"/>
    </row>
    <row r="585" spans="1:7" x14ac:dyDescent="0.3">
      <c r="A585" s="17"/>
      <c r="B585" s="17"/>
      <c r="C585" s="17"/>
      <c r="D585" s="17"/>
      <c r="E585" s="17"/>
      <c r="F585" s="17"/>
      <c r="G585" s="17"/>
    </row>
    <row r="586" spans="1:7" x14ac:dyDescent="0.3">
      <c r="A586" s="17"/>
      <c r="B586" s="17"/>
      <c r="C586" s="17"/>
      <c r="D586" s="17"/>
      <c r="E586" s="17"/>
      <c r="F586" s="17"/>
      <c r="G586" s="17"/>
    </row>
    <row r="587" spans="1:7" x14ac:dyDescent="0.3">
      <c r="A587" s="17"/>
      <c r="B587" s="17"/>
      <c r="C587" s="17"/>
      <c r="D587" s="17"/>
      <c r="E587" s="17"/>
      <c r="F587" s="17"/>
      <c r="G587" s="17"/>
    </row>
    <row r="588" spans="1:7" x14ac:dyDescent="0.3">
      <c r="A588" s="17"/>
      <c r="B588" s="17"/>
      <c r="C588" s="17"/>
      <c r="D588" s="17"/>
      <c r="E588" s="17"/>
      <c r="F588" s="17"/>
      <c r="G588" s="17"/>
    </row>
    <row r="589" spans="1:7" x14ac:dyDescent="0.3">
      <c r="A589" s="17"/>
      <c r="B589" s="17"/>
      <c r="C589" s="17"/>
      <c r="D589" s="17"/>
      <c r="E589" s="17"/>
      <c r="F589" s="17"/>
      <c r="G589" s="17"/>
    </row>
    <row r="590" spans="1:7" x14ac:dyDescent="0.3">
      <c r="A590" s="17"/>
      <c r="B590" s="17"/>
      <c r="C590" s="17"/>
      <c r="D590" s="17"/>
      <c r="E590" s="17"/>
      <c r="F590" s="17"/>
      <c r="G590" s="17"/>
    </row>
    <row r="591" spans="1:7" x14ac:dyDescent="0.3">
      <c r="A591" s="17"/>
      <c r="B591" s="17"/>
      <c r="C591" s="17"/>
      <c r="D591" s="17"/>
      <c r="E591" s="17"/>
      <c r="F591" s="17"/>
      <c r="G591" s="17"/>
    </row>
    <row r="592" spans="1:7" x14ac:dyDescent="0.3">
      <c r="A592" s="17"/>
      <c r="B592" s="17"/>
      <c r="C592" s="17"/>
      <c r="D592" s="17"/>
      <c r="E592" s="17"/>
      <c r="F592" s="17"/>
      <c r="G592" s="17"/>
    </row>
    <row r="593" spans="1:7" x14ac:dyDescent="0.3">
      <c r="A593" s="17"/>
      <c r="B593" s="17"/>
      <c r="C593" s="17"/>
      <c r="D593" s="17"/>
      <c r="E593" s="17"/>
      <c r="F593" s="17"/>
      <c r="G593" s="17"/>
    </row>
    <row r="594" spans="1:7" x14ac:dyDescent="0.3">
      <c r="A594" s="17"/>
      <c r="B594" s="17"/>
      <c r="C594" s="17"/>
      <c r="D594" s="17"/>
      <c r="E594" s="17"/>
      <c r="F594" s="17"/>
      <c r="G594" s="17"/>
    </row>
    <row r="595" spans="1:7" x14ac:dyDescent="0.3">
      <c r="A595" s="17"/>
      <c r="B595" s="17"/>
      <c r="C595" s="17"/>
      <c r="D595" s="17"/>
      <c r="E595" s="17"/>
      <c r="F595" s="17"/>
      <c r="G595" s="17"/>
    </row>
    <row r="596" spans="1:7" x14ac:dyDescent="0.3">
      <c r="A596" s="17"/>
      <c r="B596" s="17"/>
      <c r="C596" s="17"/>
      <c r="D596" s="17"/>
      <c r="E596" s="17"/>
      <c r="F596" s="17"/>
      <c r="G596" s="17"/>
    </row>
    <row r="597" spans="1:7" x14ac:dyDescent="0.3">
      <c r="A597" s="17"/>
      <c r="B597" s="17"/>
      <c r="C597" s="17"/>
      <c r="D597" s="17"/>
      <c r="E597" s="17"/>
      <c r="F597" s="17"/>
      <c r="G597" s="17"/>
    </row>
    <row r="598" spans="1:7" x14ac:dyDescent="0.3">
      <c r="A598" s="17"/>
      <c r="B598" s="17"/>
      <c r="C598" s="17"/>
      <c r="D598" s="17"/>
      <c r="E598" s="17"/>
      <c r="F598" s="17"/>
      <c r="G598" s="17"/>
    </row>
    <row r="599" spans="1:7" x14ac:dyDescent="0.3">
      <c r="A599" s="17"/>
      <c r="B599" s="17"/>
      <c r="C599" s="17"/>
      <c r="D599" s="17"/>
      <c r="E599" s="17"/>
      <c r="F599" s="17"/>
      <c r="G599" s="17"/>
    </row>
    <row r="600" spans="1:7" x14ac:dyDescent="0.3">
      <c r="A600" s="17"/>
      <c r="B600" s="17"/>
      <c r="C600" s="17"/>
      <c r="D600" s="17"/>
      <c r="E600" s="17"/>
      <c r="F600" s="17"/>
      <c r="G600" s="17"/>
    </row>
    <row r="601" spans="1:7" x14ac:dyDescent="0.3">
      <c r="A601" s="17"/>
      <c r="B601" s="17"/>
      <c r="C601" s="17"/>
      <c r="D601" s="17"/>
      <c r="E601" s="17"/>
      <c r="F601" s="17"/>
      <c r="G601" s="17"/>
    </row>
    <row r="602" spans="1:7" x14ac:dyDescent="0.3">
      <c r="A602" s="17"/>
      <c r="B602" s="17"/>
      <c r="C602" s="17"/>
      <c r="D602" s="17"/>
      <c r="E602" s="17"/>
      <c r="F602" s="17"/>
      <c r="G602" s="17"/>
    </row>
    <row r="603" spans="1:7" x14ac:dyDescent="0.3">
      <c r="A603" s="17"/>
      <c r="B603" s="17"/>
      <c r="C603" s="17"/>
      <c r="D603" s="17"/>
      <c r="E603" s="17"/>
      <c r="F603" s="17"/>
      <c r="G603" s="17"/>
    </row>
    <row r="604" spans="1:7" x14ac:dyDescent="0.3">
      <c r="A604" s="17"/>
      <c r="B604" s="17"/>
      <c r="C604" s="17"/>
      <c r="D604" s="17"/>
      <c r="E604" s="17"/>
      <c r="F604" s="17"/>
      <c r="G604" s="17"/>
    </row>
    <row r="605" spans="1:7" x14ac:dyDescent="0.3">
      <c r="A605" s="17"/>
      <c r="B605" s="17"/>
      <c r="C605" s="17"/>
      <c r="D605" s="17"/>
      <c r="E605" s="17"/>
      <c r="F605" s="17"/>
      <c r="G605" s="17"/>
    </row>
    <row r="606" spans="1:7" x14ac:dyDescent="0.3">
      <c r="A606" s="17"/>
      <c r="B606" s="17"/>
      <c r="C606" s="17"/>
      <c r="D606" s="17"/>
      <c r="E606" s="17"/>
      <c r="F606" s="17"/>
      <c r="G606" s="17"/>
    </row>
    <row r="607" spans="1:7" x14ac:dyDescent="0.3">
      <c r="A607" s="17"/>
      <c r="B607" s="17"/>
      <c r="C607" s="17"/>
      <c r="D607" s="17"/>
      <c r="E607" s="17"/>
      <c r="F607" s="17"/>
      <c r="G607" s="17"/>
    </row>
    <row r="608" spans="1:7" x14ac:dyDescent="0.3">
      <c r="A608" s="17"/>
      <c r="B608" s="17"/>
      <c r="C608" s="17"/>
      <c r="D608" s="17"/>
      <c r="E608" s="17"/>
      <c r="F608" s="17"/>
      <c r="G608" s="17"/>
    </row>
    <row r="609" spans="1:7" x14ac:dyDescent="0.3">
      <c r="A609" s="17"/>
      <c r="B609" s="17"/>
      <c r="C609" s="17"/>
      <c r="D609" s="17"/>
      <c r="E609" s="17"/>
      <c r="F609" s="17"/>
      <c r="G609" s="17"/>
    </row>
    <row r="610" spans="1:7" x14ac:dyDescent="0.3">
      <c r="A610" s="17"/>
      <c r="B610" s="17"/>
      <c r="C610" s="17"/>
      <c r="D610" s="17"/>
      <c r="E610" s="17"/>
      <c r="F610" s="17"/>
      <c r="G610" s="17"/>
    </row>
    <row r="611" spans="1:7" x14ac:dyDescent="0.3">
      <c r="A611" s="17"/>
      <c r="B611" s="17"/>
      <c r="C611" s="17"/>
      <c r="D611" s="17"/>
      <c r="E611" s="17"/>
      <c r="F611" s="17"/>
      <c r="G611" s="17"/>
    </row>
    <row r="612" spans="1:7" x14ac:dyDescent="0.3">
      <c r="A612" s="17"/>
      <c r="B612" s="17"/>
      <c r="C612" s="17"/>
      <c r="D612" s="17"/>
      <c r="E612" s="17"/>
      <c r="F612" s="17"/>
      <c r="G612" s="17"/>
    </row>
    <row r="613" spans="1:7" x14ac:dyDescent="0.3">
      <c r="A613" s="17"/>
      <c r="B613" s="17"/>
      <c r="C613" s="17"/>
      <c r="D613" s="17"/>
      <c r="E613" s="17"/>
      <c r="F613" s="17"/>
      <c r="G613" s="17"/>
    </row>
    <row r="614" spans="1:7" x14ac:dyDescent="0.3">
      <c r="A614" s="17"/>
      <c r="B614" s="17"/>
      <c r="C614" s="17"/>
      <c r="D614" s="17"/>
      <c r="E614" s="17"/>
      <c r="F614" s="17"/>
      <c r="G614" s="17"/>
    </row>
    <row r="615" spans="1:7" x14ac:dyDescent="0.3">
      <c r="A615" s="17"/>
      <c r="B615" s="17"/>
      <c r="C615" s="17"/>
      <c r="D615" s="17"/>
      <c r="E615" s="17"/>
      <c r="F615" s="17"/>
      <c r="G615" s="17"/>
    </row>
    <row r="616" spans="1:7" x14ac:dyDescent="0.3">
      <c r="A616" s="17"/>
      <c r="B616" s="17"/>
      <c r="C616" s="17"/>
      <c r="D616" s="17"/>
      <c r="E616" s="17"/>
      <c r="F616" s="17"/>
      <c r="G616" s="17"/>
    </row>
    <row r="617" spans="1:7" x14ac:dyDescent="0.3">
      <c r="A617" s="17"/>
      <c r="B617" s="17"/>
      <c r="C617" s="17"/>
      <c r="D617" s="17"/>
      <c r="E617" s="17"/>
      <c r="F617" s="17"/>
      <c r="G617" s="17"/>
    </row>
    <row r="618" spans="1:7" x14ac:dyDescent="0.3">
      <c r="A618" s="17"/>
      <c r="B618" s="17"/>
      <c r="C618" s="17"/>
      <c r="D618" s="17"/>
      <c r="E618" s="17"/>
      <c r="F618" s="17"/>
      <c r="G618" s="17"/>
    </row>
    <row r="619" spans="1:7" x14ac:dyDescent="0.3">
      <c r="A619" s="17"/>
      <c r="B619" s="17"/>
      <c r="C619" s="17"/>
      <c r="D619" s="17"/>
      <c r="E619" s="17"/>
      <c r="F619" s="17"/>
      <c r="G619" s="17"/>
    </row>
    <row r="620" spans="1:7" x14ac:dyDescent="0.3">
      <c r="A620" s="17"/>
      <c r="B620" s="17"/>
      <c r="C620" s="17"/>
      <c r="D620" s="17"/>
      <c r="E620" s="17"/>
      <c r="F620" s="17"/>
      <c r="G620" s="17"/>
    </row>
    <row r="621" spans="1:7" x14ac:dyDescent="0.3">
      <c r="A621" s="17"/>
      <c r="B621" s="17"/>
      <c r="C621" s="17"/>
      <c r="D621" s="17"/>
      <c r="E621" s="17"/>
      <c r="F621" s="17"/>
      <c r="G621" s="17"/>
    </row>
    <row r="622" spans="1:7" x14ac:dyDescent="0.3">
      <c r="A622" s="17"/>
      <c r="B622" s="17"/>
      <c r="C622" s="17"/>
      <c r="D622" s="17"/>
      <c r="E622" s="17"/>
      <c r="F622" s="17"/>
      <c r="G622" s="17"/>
    </row>
    <row r="623" spans="1:7" x14ac:dyDescent="0.3">
      <c r="A623" s="17"/>
      <c r="B623" s="17"/>
      <c r="C623" s="17"/>
      <c r="D623" s="17"/>
      <c r="E623" s="17"/>
      <c r="F623" s="17"/>
      <c r="G623" s="17"/>
    </row>
    <row r="624" spans="1:7" x14ac:dyDescent="0.3">
      <c r="A624" s="17"/>
      <c r="B624" s="17"/>
      <c r="C624" s="17"/>
      <c r="D624" s="17"/>
      <c r="E624" s="17"/>
      <c r="F624" s="17"/>
      <c r="G624" s="17"/>
    </row>
    <row r="625" spans="1:7" x14ac:dyDescent="0.3">
      <c r="A625" s="17"/>
      <c r="B625" s="17"/>
      <c r="C625" s="17"/>
      <c r="D625" s="17"/>
      <c r="E625" s="17"/>
      <c r="F625" s="17"/>
      <c r="G625" s="17"/>
    </row>
    <row r="626" spans="1:7" x14ac:dyDescent="0.3">
      <c r="A626" s="17"/>
      <c r="B626" s="17"/>
      <c r="C626" s="17"/>
      <c r="D626" s="17"/>
      <c r="E626" s="17"/>
      <c r="F626" s="17"/>
      <c r="G626" s="17"/>
    </row>
    <row r="627" spans="1:7" x14ac:dyDescent="0.3">
      <c r="A627" s="17"/>
      <c r="B627" s="17"/>
      <c r="C627" s="17"/>
      <c r="D627" s="17"/>
      <c r="E627" s="17"/>
      <c r="F627" s="17"/>
      <c r="G627" s="17"/>
    </row>
    <row r="628" spans="1:7" x14ac:dyDescent="0.3">
      <c r="A628" s="17"/>
      <c r="B628" s="17"/>
      <c r="C628" s="17"/>
      <c r="D628" s="17"/>
      <c r="E628" s="17"/>
      <c r="F628" s="17"/>
      <c r="G628" s="17"/>
    </row>
    <row r="629" spans="1:7" x14ac:dyDescent="0.3">
      <c r="A629" s="17"/>
      <c r="B629" s="17"/>
      <c r="C629" s="17"/>
      <c r="D629" s="17"/>
      <c r="E629" s="17"/>
      <c r="F629" s="17"/>
      <c r="G629" s="17"/>
    </row>
    <row r="630" spans="1:7" x14ac:dyDescent="0.3">
      <c r="A630" s="17"/>
      <c r="B630" s="17"/>
      <c r="C630" s="17"/>
      <c r="D630" s="17"/>
      <c r="E630" s="17"/>
      <c r="F630" s="17"/>
      <c r="G630" s="17"/>
    </row>
    <row r="631" spans="1:7" x14ac:dyDescent="0.3">
      <c r="A631" s="17"/>
      <c r="B631" s="17"/>
      <c r="C631" s="17"/>
      <c r="D631" s="17"/>
      <c r="E631" s="17"/>
      <c r="F631" s="17"/>
      <c r="G631" s="17"/>
    </row>
    <row r="632" spans="1:7" x14ac:dyDescent="0.3">
      <c r="A632" s="17"/>
      <c r="B632" s="17"/>
      <c r="C632" s="17"/>
      <c r="D632" s="17"/>
      <c r="E632" s="17"/>
      <c r="F632" s="17"/>
      <c r="G632" s="17"/>
    </row>
    <row r="633" spans="1:7" x14ac:dyDescent="0.3">
      <c r="A633" s="17"/>
      <c r="B633" s="17"/>
      <c r="C633" s="17"/>
      <c r="D633" s="17"/>
      <c r="E633" s="17"/>
      <c r="F633" s="17"/>
      <c r="G633" s="17"/>
    </row>
    <row r="634" spans="1:7" x14ac:dyDescent="0.3">
      <c r="A634" s="17"/>
      <c r="B634" s="17"/>
      <c r="C634" s="17"/>
      <c r="D634" s="17"/>
      <c r="E634" s="17"/>
      <c r="F634" s="17"/>
      <c r="G634" s="17"/>
    </row>
    <row r="635" spans="1:7" x14ac:dyDescent="0.3">
      <c r="A635" s="17"/>
      <c r="B635" s="17"/>
      <c r="C635" s="17"/>
      <c r="D635" s="17"/>
      <c r="E635" s="17"/>
      <c r="F635" s="17"/>
      <c r="G635" s="17"/>
    </row>
    <row r="636" spans="1:7" x14ac:dyDescent="0.3">
      <c r="A636" s="17"/>
      <c r="B636" s="17"/>
      <c r="C636" s="17"/>
      <c r="D636" s="17"/>
      <c r="E636" s="17"/>
      <c r="F636" s="17"/>
      <c r="G636" s="17"/>
    </row>
    <row r="637" spans="1:7" x14ac:dyDescent="0.3">
      <c r="A637" s="17"/>
      <c r="B637" s="17"/>
      <c r="C637" s="17"/>
      <c r="D637" s="17"/>
      <c r="E637" s="17"/>
      <c r="F637" s="17"/>
      <c r="G637" s="17"/>
    </row>
    <row r="638" spans="1:7" x14ac:dyDescent="0.3">
      <c r="A638" s="17"/>
      <c r="B638" s="17"/>
      <c r="C638" s="17"/>
      <c r="D638" s="17"/>
      <c r="E638" s="17"/>
      <c r="F638" s="17"/>
      <c r="G638" s="17"/>
    </row>
    <row r="639" spans="1:7" x14ac:dyDescent="0.3">
      <c r="A639" s="17"/>
      <c r="B639" s="17"/>
      <c r="C639" s="17"/>
      <c r="D639" s="17"/>
      <c r="E639" s="17"/>
      <c r="F639" s="17"/>
      <c r="G639" s="17"/>
    </row>
    <row r="640" spans="1:7" x14ac:dyDescent="0.3">
      <c r="A640" s="17"/>
      <c r="B640" s="17"/>
      <c r="C640" s="17"/>
      <c r="D640" s="17"/>
      <c r="E640" s="17"/>
      <c r="F640" s="17"/>
      <c r="G640" s="17"/>
    </row>
    <row r="641" spans="1:7" x14ac:dyDescent="0.3">
      <c r="A641" s="17"/>
      <c r="B641" s="17"/>
      <c r="C641" s="17"/>
      <c r="D641" s="17"/>
      <c r="E641" s="17"/>
      <c r="F641" s="17"/>
      <c r="G641" s="17"/>
    </row>
    <row r="642" spans="1:7" x14ac:dyDescent="0.3">
      <c r="A642" s="17"/>
      <c r="B642" s="17"/>
      <c r="C642" s="17"/>
      <c r="D642" s="17"/>
      <c r="E642" s="17"/>
      <c r="F642" s="17"/>
      <c r="G642" s="17"/>
    </row>
    <row r="643" spans="1:7" x14ac:dyDescent="0.3">
      <c r="A643" s="17"/>
      <c r="B643" s="17"/>
      <c r="C643" s="17"/>
      <c r="D643" s="17"/>
      <c r="E643" s="17"/>
      <c r="F643" s="17"/>
      <c r="G643" s="17"/>
    </row>
    <row r="644" spans="1:7" x14ac:dyDescent="0.3">
      <c r="A644" s="17"/>
      <c r="B644" s="17"/>
      <c r="C644" s="17"/>
      <c r="D644" s="17"/>
      <c r="E644" s="17"/>
      <c r="F644" s="17"/>
      <c r="G644" s="17"/>
    </row>
    <row r="645" spans="1:7" x14ac:dyDescent="0.3">
      <c r="A645" s="17"/>
      <c r="B645" s="17"/>
      <c r="C645" s="17"/>
      <c r="D645" s="17"/>
      <c r="E645" s="17"/>
      <c r="F645" s="17"/>
      <c r="G645" s="17"/>
    </row>
    <row r="646" spans="1:7" x14ac:dyDescent="0.3">
      <c r="A646" s="17"/>
      <c r="B646" s="17"/>
      <c r="C646" s="17"/>
      <c r="D646" s="17"/>
      <c r="E646" s="17"/>
      <c r="F646" s="17"/>
      <c r="G646" s="17"/>
    </row>
    <row r="647" spans="1:7" x14ac:dyDescent="0.3">
      <c r="A647" s="17"/>
      <c r="B647" s="17"/>
      <c r="C647" s="17"/>
      <c r="D647" s="17"/>
      <c r="E647" s="17"/>
      <c r="F647" s="17"/>
      <c r="G647" s="17"/>
    </row>
    <row r="648" spans="1:7" x14ac:dyDescent="0.3">
      <c r="A648" s="17"/>
      <c r="B648" s="17"/>
      <c r="C648" s="17"/>
      <c r="D648" s="17"/>
      <c r="E648" s="17"/>
      <c r="F648" s="17"/>
      <c r="G648" s="17"/>
    </row>
    <row r="649" spans="1:7" x14ac:dyDescent="0.3">
      <c r="A649" s="17"/>
      <c r="B649" s="17"/>
      <c r="C649" s="17"/>
      <c r="D649" s="17"/>
      <c r="E649" s="17"/>
      <c r="F649" s="17"/>
      <c r="G649" s="17"/>
    </row>
    <row r="650" spans="1:7" x14ac:dyDescent="0.3">
      <c r="A650" s="17"/>
      <c r="B650" s="17"/>
      <c r="C650" s="17"/>
      <c r="D650" s="17"/>
      <c r="E650" s="17"/>
      <c r="F650" s="17"/>
      <c r="G650" s="17"/>
    </row>
    <row r="651" spans="1:7" x14ac:dyDescent="0.3">
      <c r="A651" s="17"/>
      <c r="B651" s="17"/>
      <c r="C651" s="17"/>
      <c r="D651" s="17"/>
      <c r="E651" s="17"/>
      <c r="F651" s="17"/>
      <c r="G651" s="17"/>
    </row>
    <row r="652" spans="1:7" x14ac:dyDescent="0.3">
      <c r="A652" s="17"/>
      <c r="B652" s="17"/>
      <c r="C652" s="17"/>
      <c r="D652" s="17"/>
      <c r="E652" s="17"/>
      <c r="F652" s="17"/>
      <c r="G652" s="17"/>
    </row>
    <row r="653" spans="1:7" x14ac:dyDescent="0.3">
      <c r="A653" s="17"/>
      <c r="B653" s="17"/>
      <c r="C653" s="17"/>
      <c r="D653" s="17"/>
      <c r="E653" s="17"/>
      <c r="F653" s="17"/>
      <c r="G653" s="17"/>
    </row>
    <row r="654" spans="1:7" x14ac:dyDescent="0.3">
      <c r="A654" s="17"/>
      <c r="B654" s="17"/>
      <c r="C654" s="17"/>
      <c r="D654" s="17"/>
      <c r="E654" s="17"/>
      <c r="F654" s="17"/>
      <c r="G654" s="17"/>
    </row>
    <row r="655" spans="1:7" x14ac:dyDescent="0.3">
      <c r="A655" s="17"/>
      <c r="B655" s="17"/>
      <c r="C655" s="17"/>
      <c r="D655" s="17"/>
      <c r="E655" s="17"/>
      <c r="F655" s="17"/>
      <c r="G655" s="17"/>
    </row>
    <row r="656" spans="1:7" x14ac:dyDescent="0.3">
      <c r="A656" s="17"/>
      <c r="B656" s="17"/>
      <c r="C656" s="17"/>
      <c r="D656" s="17"/>
      <c r="E656" s="17"/>
      <c r="F656" s="17"/>
      <c r="G656" s="17"/>
    </row>
    <row r="657" spans="1:7" x14ac:dyDescent="0.3">
      <c r="A657" s="17"/>
      <c r="B657" s="17"/>
      <c r="C657" s="17"/>
      <c r="D657" s="17"/>
      <c r="E657" s="17"/>
      <c r="F657" s="17"/>
      <c r="G657" s="17"/>
    </row>
    <row r="658" spans="1:7" x14ac:dyDescent="0.3">
      <c r="A658" s="17"/>
      <c r="B658" s="17"/>
      <c r="C658" s="17"/>
      <c r="D658" s="17"/>
      <c r="E658" s="17"/>
      <c r="F658" s="17"/>
      <c r="G658" s="17"/>
    </row>
    <row r="659" spans="1:7" x14ac:dyDescent="0.3">
      <c r="A659" s="17"/>
      <c r="B659" s="17"/>
      <c r="C659" s="17"/>
      <c r="D659" s="17"/>
      <c r="E659" s="17"/>
      <c r="F659" s="17"/>
      <c r="G659" s="17"/>
    </row>
    <row r="660" spans="1:7" x14ac:dyDescent="0.3">
      <c r="A660" s="17"/>
      <c r="B660" s="17"/>
      <c r="C660" s="17"/>
      <c r="D660" s="17"/>
      <c r="E660" s="17"/>
      <c r="F660" s="17"/>
      <c r="G660" s="17"/>
    </row>
    <row r="661" spans="1:7" x14ac:dyDescent="0.3">
      <c r="A661" s="17"/>
      <c r="B661" s="17"/>
      <c r="C661" s="17"/>
      <c r="D661" s="17"/>
      <c r="E661" s="17"/>
      <c r="F661" s="17"/>
      <c r="G661" s="17"/>
    </row>
    <row r="662" spans="1:7" x14ac:dyDescent="0.3">
      <c r="A662" s="17"/>
      <c r="B662" s="17"/>
      <c r="C662" s="17"/>
      <c r="D662" s="17"/>
      <c r="E662" s="17"/>
      <c r="F662" s="17"/>
      <c r="G662" s="17"/>
    </row>
    <row r="663" spans="1:7" x14ac:dyDescent="0.3">
      <c r="A663" s="17"/>
      <c r="B663" s="17"/>
      <c r="C663" s="17"/>
      <c r="D663" s="17"/>
      <c r="E663" s="17"/>
      <c r="F663" s="17"/>
      <c r="G663" s="17"/>
    </row>
    <row r="664" spans="1:7" x14ac:dyDescent="0.3">
      <c r="A664" s="17"/>
      <c r="B664" s="17"/>
      <c r="C664" s="17"/>
      <c r="D664" s="17"/>
      <c r="E664" s="17"/>
      <c r="F664" s="17"/>
      <c r="G664" s="17"/>
    </row>
    <row r="665" spans="1:7" x14ac:dyDescent="0.3">
      <c r="A665" s="17"/>
      <c r="B665" s="17"/>
      <c r="C665" s="17"/>
      <c r="D665" s="17"/>
      <c r="E665" s="17"/>
      <c r="F665" s="17"/>
      <c r="G665" s="17"/>
    </row>
    <row r="666" spans="1:7" x14ac:dyDescent="0.3">
      <c r="A666" s="17"/>
      <c r="B666" s="17"/>
      <c r="C666" s="17"/>
      <c r="D666" s="17"/>
      <c r="E666" s="17"/>
      <c r="F666" s="17"/>
      <c r="G666" s="17"/>
    </row>
    <row r="667" spans="1:7" x14ac:dyDescent="0.3">
      <c r="A667" s="17"/>
      <c r="B667" s="17"/>
      <c r="C667" s="17"/>
      <c r="D667" s="17"/>
      <c r="E667" s="17"/>
      <c r="F667" s="17"/>
      <c r="G667" s="17"/>
    </row>
    <row r="668" spans="1:7" x14ac:dyDescent="0.3">
      <c r="A668" s="17"/>
      <c r="B668" s="17"/>
      <c r="C668" s="17"/>
      <c r="D668" s="17"/>
      <c r="E668" s="17"/>
      <c r="F668" s="17"/>
      <c r="G668" s="17"/>
    </row>
    <row r="669" spans="1:7" x14ac:dyDescent="0.3">
      <c r="A669" s="17"/>
      <c r="B669" s="17"/>
      <c r="C669" s="17"/>
      <c r="D669" s="17"/>
      <c r="E669" s="17"/>
      <c r="F669" s="17"/>
      <c r="G669" s="17"/>
    </row>
    <row r="670" spans="1:7" x14ac:dyDescent="0.3">
      <c r="A670" s="17"/>
      <c r="B670" s="17"/>
      <c r="C670" s="17"/>
      <c r="D670" s="17"/>
      <c r="E670" s="17"/>
      <c r="F670" s="17"/>
      <c r="G670" s="17"/>
    </row>
    <row r="671" spans="1:7" x14ac:dyDescent="0.3">
      <c r="A671" s="17"/>
      <c r="B671" s="17"/>
      <c r="C671" s="17"/>
      <c r="D671" s="17"/>
      <c r="E671" s="17"/>
      <c r="F671" s="17"/>
      <c r="G671" s="17"/>
    </row>
    <row r="672" spans="1:7" x14ac:dyDescent="0.3">
      <c r="A672" s="17"/>
      <c r="B672" s="17"/>
      <c r="C672" s="17"/>
      <c r="D672" s="17"/>
      <c r="E672" s="17"/>
      <c r="F672" s="17"/>
      <c r="G672" s="17"/>
    </row>
    <row r="673" spans="1:7" x14ac:dyDescent="0.3">
      <c r="A673" s="17"/>
      <c r="B673" s="17"/>
      <c r="C673" s="17"/>
      <c r="D673" s="17"/>
      <c r="E673" s="17"/>
      <c r="F673" s="17"/>
      <c r="G673" s="17"/>
    </row>
    <row r="674" spans="1:7" x14ac:dyDescent="0.3">
      <c r="A674" s="17"/>
      <c r="B674" s="17"/>
      <c r="C674" s="17"/>
      <c r="D674" s="17"/>
      <c r="E674" s="17"/>
      <c r="F674" s="17"/>
      <c r="G674" s="17"/>
    </row>
    <row r="675" spans="1:7" x14ac:dyDescent="0.3">
      <c r="A675" s="17"/>
      <c r="B675" s="17"/>
      <c r="C675" s="17"/>
      <c r="D675" s="17"/>
      <c r="E675" s="17"/>
      <c r="F675" s="17"/>
      <c r="G675" s="17"/>
    </row>
    <row r="676" spans="1:7" x14ac:dyDescent="0.3">
      <c r="A676" s="17"/>
      <c r="B676" s="17"/>
      <c r="C676" s="17"/>
      <c r="D676" s="17"/>
      <c r="E676" s="17"/>
      <c r="F676" s="17"/>
      <c r="G676" s="17"/>
    </row>
    <row r="677" spans="1:7" x14ac:dyDescent="0.3">
      <c r="A677" s="17"/>
      <c r="B677" s="17"/>
      <c r="C677" s="17"/>
      <c r="D677" s="17"/>
      <c r="E677" s="17"/>
      <c r="F677" s="17"/>
      <c r="G677" s="17"/>
    </row>
    <row r="678" spans="1:7" x14ac:dyDescent="0.3">
      <c r="A678" s="17"/>
      <c r="B678" s="17"/>
      <c r="C678" s="17"/>
      <c r="D678" s="17"/>
      <c r="E678" s="17"/>
      <c r="F678" s="17"/>
      <c r="G678" s="17"/>
    </row>
    <row r="679" spans="1:7" x14ac:dyDescent="0.3">
      <c r="A679" s="17"/>
      <c r="B679" s="17"/>
      <c r="C679" s="17"/>
      <c r="D679" s="17"/>
      <c r="E679" s="17"/>
      <c r="F679" s="17"/>
      <c r="G679" s="17"/>
    </row>
    <row r="680" spans="1:7" x14ac:dyDescent="0.3">
      <c r="A680" s="17"/>
      <c r="B680" s="17"/>
      <c r="C680" s="17"/>
      <c r="D680" s="17"/>
      <c r="E680" s="17"/>
      <c r="F680" s="17"/>
      <c r="G680" s="17"/>
    </row>
    <row r="681" spans="1:7" x14ac:dyDescent="0.3">
      <c r="A681" s="17"/>
      <c r="B681" s="17"/>
      <c r="C681" s="17"/>
      <c r="D681" s="17"/>
      <c r="E681" s="17"/>
      <c r="F681" s="17"/>
      <c r="G681" s="17"/>
    </row>
    <row r="682" spans="1:7" x14ac:dyDescent="0.3">
      <c r="A682" s="17"/>
      <c r="B682" s="17"/>
      <c r="C682" s="17"/>
      <c r="D682" s="17"/>
      <c r="E682" s="17"/>
      <c r="F682" s="17"/>
      <c r="G682" s="17"/>
    </row>
    <row r="683" spans="1:7" x14ac:dyDescent="0.3">
      <c r="A683" s="17"/>
      <c r="B683" s="17"/>
      <c r="C683" s="17"/>
      <c r="D683" s="17"/>
      <c r="E683" s="17"/>
      <c r="F683" s="17"/>
      <c r="G683" s="17"/>
    </row>
    <row r="684" spans="1:7" x14ac:dyDescent="0.3">
      <c r="A684" s="17"/>
      <c r="B684" s="17"/>
      <c r="C684" s="17"/>
      <c r="D684" s="17"/>
      <c r="E684" s="17"/>
      <c r="F684" s="17"/>
      <c r="G684" s="17"/>
    </row>
    <row r="685" spans="1:7" x14ac:dyDescent="0.3">
      <c r="A685" s="17"/>
      <c r="B685" s="17"/>
      <c r="C685" s="17"/>
      <c r="D685" s="17"/>
      <c r="E685" s="17"/>
      <c r="F685" s="17"/>
      <c r="G685" s="17"/>
    </row>
    <row r="686" spans="1:7" x14ac:dyDescent="0.3">
      <c r="A686" s="17"/>
      <c r="B686" s="17"/>
      <c r="C686" s="17"/>
      <c r="D686" s="17"/>
      <c r="E686" s="17"/>
      <c r="F686" s="17"/>
      <c r="G686" s="17"/>
    </row>
    <row r="687" spans="1:7" x14ac:dyDescent="0.3">
      <c r="A687" s="17"/>
      <c r="B687" s="17"/>
      <c r="C687" s="17"/>
      <c r="D687" s="17"/>
      <c r="E687" s="17"/>
      <c r="F687" s="17"/>
      <c r="G687" s="17"/>
    </row>
    <row r="688" spans="1:7" x14ac:dyDescent="0.3">
      <c r="A688" s="17"/>
      <c r="B688" s="17"/>
      <c r="C688" s="17"/>
      <c r="D688" s="17"/>
      <c r="E688" s="17"/>
      <c r="F688" s="17"/>
      <c r="G688" s="17"/>
    </row>
    <row r="689" spans="1:7" x14ac:dyDescent="0.3">
      <c r="A689" s="17"/>
      <c r="B689" s="17"/>
      <c r="C689" s="17"/>
      <c r="D689" s="17"/>
      <c r="E689" s="17"/>
      <c r="F689" s="17"/>
      <c r="G689" s="17"/>
    </row>
    <row r="690" spans="1:7" x14ac:dyDescent="0.3">
      <c r="A690" s="17"/>
      <c r="B690" s="17"/>
      <c r="C690" s="17"/>
      <c r="D690" s="17"/>
      <c r="E690" s="17"/>
      <c r="F690" s="17"/>
      <c r="G690" s="17"/>
    </row>
    <row r="691" spans="1:7" x14ac:dyDescent="0.3">
      <c r="A691" s="17"/>
      <c r="B691" s="17"/>
      <c r="C691" s="17"/>
      <c r="D691" s="17"/>
      <c r="E691" s="17"/>
      <c r="F691" s="17"/>
      <c r="G691" s="17"/>
    </row>
    <row r="692" spans="1:7" x14ac:dyDescent="0.3">
      <c r="A692" s="17"/>
      <c r="B692" s="17"/>
      <c r="C692" s="17"/>
      <c r="D692" s="17"/>
      <c r="E692" s="17"/>
      <c r="F692" s="17"/>
      <c r="G692" s="17"/>
    </row>
    <row r="693" spans="1:7" x14ac:dyDescent="0.3">
      <c r="A693" s="17"/>
      <c r="B693" s="17"/>
      <c r="C693" s="17"/>
      <c r="D693" s="17"/>
      <c r="E693" s="17"/>
      <c r="F693" s="17"/>
      <c r="G693" s="17"/>
    </row>
    <row r="694" spans="1:7" x14ac:dyDescent="0.3">
      <c r="A694" s="17"/>
      <c r="B694" s="17"/>
      <c r="C694" s="17"/>
      <c r="D694" s="17"/>
      <c r="E694" s="17"/>
      <c r="F694" s="17"/>
      <c r="G694" s="17"/>
    </row>
    <row r="695" spans="1:7" x14ac:dyDescent="0.3">
      <c r="A695" s="17"/>
      <c r="B695" s="17"/>
      <c r="C695" s="17"/>
      <c r="D695" s="17"/>
      <c r="E695" s="17"/>
      <c r="F695" s="17"/>
      <c r="G695" s="17"/>
    </row>
    <row r="696" spans="1:7" x14ac:dyDescent="0.3">
      <c r="A696" s="17"/>
      <c r="B696" s="17"/>
      <c r="C696" s="17"/>
      <c r="D696" s="17"/>
      <c r="E696" s="17"/>
      <c r="F696" s="17"/>
      <c r="G696" s="17"/>
    </row>
    <row r="697" spans="1:7" x14ac:dyDescent="0.3">
      <c r="A697" s="17"/>
      <c r="B697" s="17"/>
      <c r="C697" s="17"/>
      <c r="D697" s="17"/>
      <c r="E697" s="17"/>
      <c r="F697" s="17"/>
      <c r="G697" s="17"/>
    </row>
    <row r="698" spans="1:7" x14ac:dyDescent="0.3">
      <c r="A698" s="17"/>
      <c r="B698" s="17"/>
      <c r="C698" s="17"/>
      <c r="D698" s="17"/>
      <c r="E698" s="17"/>
      <c r="F698" s="17"/>
      <c r="G698" s="17"/>
    </row>
    <row r="699" spans="1:7" x14ac:dyDescent="0.3">
      <c r="A699" s="17"/>
      <c r="B699" s="17"/>
      <c r="C699" s="17"/>
      <c r="D699" s="17"/>
      <c r="E699" s="17"/>
      <c r="F699" s="17"/>
      <c r="G699" s="17"/>
    </row>
    <row r="700" spans="1:7" x14ac:dyDescent="0.3">
      <c r="A700" s="17"/>
      <c r="B700" s="17"/>
      <c r="C700" s="17"/>
      <c r="D700" s="17"/>
      <c r="E700" s="17"/>
      <c r="F700" s="17"/>
      <c r="G700" s="17"/>
    </row>
    <row r="701" spans="1:7" x14ac:dyDescent="0.3">
      <c r="A701" s="17"/>
      <c r="B701" s="17"/>
      <c r="C701" s="17"/>
      <c r="D701" s="17"/>
      <c r="E701" s="17"/>
      <c r="F701" s="17"/>
      <c r="G701" s="17"/>
    </row>
    <row r="702" spans="1:7" x14ac:dyDescent="0.3">
      <c r="A702" s="17"/>
      <c r="B702" s="17"/>
      <c r="C702" s="17"/>
      <c r="D702" s="17"/>
      <c r="E702" s="17"/>
      <c r="F702" s="17"/>
      <c r="G702" s="17"/>
    </row>
    <row r="703" spans="1:7" x14ac:dyDescent="0.3">
      <c r="A703" s="17"/>
      <c r="B703" s="17"/>
      <c r="C703" s="17"/>
      <c r="D703" s="17"/>
      <c r="E703" s="17"/>
      <c r="F703" s="17"/>
      <c r="G703" s="17"/>
    </row>
    <row r="704" spans="1:7" x14ac:dyDescent="0.3">
      <c r="A704" s="17"/>
      <c r="B704" s="17"/>
      <c r="C704" s="17"/>
      <c r="D704" s="17"/>
      <c r="E704" s="17"/>
      <c r="F704" s="17"/>
      <c r="G704" s="17"/>
    </row>
    <row r="705" spans="1:7" x14ac:dyDescent="0.3">
      <c r="A705" s="17"/>
      <c r="B705" s="17"/>
      <c r="C705" s="17"/>
      <c r="D705" s="17"/>
      <c r="E705" s="17"/>
      <c r="F705" s="17"/>
      <c r="G705" s="17"/>
    </row>
    <row r="706" spans="1:7" x14ac:dyDescent="0.3">
      <c r="A706" s="17"/>
      <c r="B706" s="17"/>
      <c r="C706" s="17"/>
      <c r="D706" s="17"/>
      <c r="E706" s="17"/>
      <c r="F706" s="17"/>
      <c r="G706" s="17"/>
    </row>
    <row r="707" spans="1:7" x14ac:dyDescent="0.3">
      <c r="A707" s="17"/>
      <c r="B707" s="17"/>
      <c r="C707" s="17"/>
      <c r="D707" s="17"/>
      <c r="E707" s="17"/>
      <c r="F707" s="17"/>
      <c r="G707" s="17"/>
    </row>
    <row r="708" spans="1:7" x14ac:dyDescent="0.3">
      <c r="A708" s="17"/>
      <c r="B708" s="17"/>
      <c r="C708" s="17"/>
      <c r="D708" s="17"/>
      <c r="E708" s="17"/>
      <c r="F708" s="17"/>
      <c r="G708" s="17"/>
    </row>
    <row r="709" spans="1:7" x14ac:dyDescent="0.3">
      <c r="A709" s="17"/>
      <c r="B709" s="17"/>
      <c r="C709" s="17"/>
      <c r="D709" s="17"/>
      <c r="E709" s="17"/>
      <c r="F709" s="17"/>
      <c r="G709" s="17"/>
    </row>
    <row r="710" spans="1:7" x14ac:dyDescent="0.3">
      <c r="A710" s="17"/>
      <c r="B710" s="17"/>
      <c r="C710" s="17"/>
      <c r="D710" s="17"/>
      <c r="E710" s="17"/>
      <c r="F710" s="17"/>
      <c r="G710" s="17"/>
    </row>
    <row r="711" spans="1:7" x14ac:dyDescent="0.3">
      <c r="A711" s="17"/>
      <c r="B711" s="17"/>
      <c r="C711" s="17"/>
      <c r="D711" s="17"/>
      <c r="E711" s="17"/>
      <c r="F711" s="17"/>
      <c r="G711" s="17"/>
    </row>
    <row r="712" spans="1:7" x14ac:dyDescent="0.3">
      <c r="A712" s="17"/>
      <c r="B712" s="17"/>
      <c r="C712" s="17"/>
      <c r="D712" s="17"/>
      <c r="E712" s="17"/>
      <c r="F712" s="17"/>
      <c r="G712" s="17"/>
    </row>
    <row r="713" spans="1:7" x14ac:dyDescent="0.3">
      <c r="A713" s="17"/>
      <c r="B713" s="17"/>
      <c r="C713" s="17"/>
      <c r="D713" s="17"/>
      <c r="E713" s="17"/>
      <c r="F713" s="17"/>
      <c r="G713" s="17"/>
    </row>
    <row r="714" spans="1:7" x14ac:dyDescent="0.3">
      <c r="A714" s="17"/>
      <c r="B714" s="17"/>
      <c r="C714" s="17"/>
      <c r="D714" s="17"/>
      <c r="E714" s="17"/>
      <c r="F714" s="17"/>
      <c r="G714" s="17"/>
    </row>
    <row r="715" spans="1:7" x14ac:dyDescent="0.3">
      <c r="A715" s="17"/>
      <c r="B715" s="17"/>
      <c r="C715" s="17"/>
      <c r="D715" s="17"/>
      <c r="E715" s="17"/>
      <c r="F715" s="17"/>
      <c r="G715" s="17"/>
    </row>
    <row r="716" spans="1:7" x14ac:dyDescent="0.3">
      <c r="A716" s="17"/>
      <c r="B716" s="17"/>
      <c r="C716" s="17"/>
      <c r="D716" s="17"/>
      <c r="E716" s="17"/>
      <c r="F716" s="17"/>
      <c r="G716" s="17"/>
    </row>
    <row r="717" spans="1:7" x14ac:dyDescent="0.3">
      <c r="A717" s="17"/>
      <c r="B717" s="17"/>
      <c r="C717" s="17"/>
      <c r="D717" s="17"/>
      <c r="E717" s="17"/>
      <c r="F717" s="17"/>
      <c r="G717" s="17"/>
    </row>
    <row r="718" spans="1:7" x14ac:dyDescent="0.3">
      <c r="A718" s="17"/>
      <c r="B718" s="17"/>
      <c r="C718" s="17"/>
      <c r="D718" s="17"/>
      <c r="E718" s="17"/>
      <c r="F718" s="17"/>
      <c r="G718" s="17"/>
    </row>
    <row r="719" spans="1:7" x14ac:dyDescent="0.3">
      <c r="A719" s="17"/>
      <c r="B719" s="17"/>
      <c r="C719" s="17"/>
      <c r="D719" s="17"/>
      <c r="E719" s="17"/>
      <c r="F719" s="17"/>
      <c r="G719" s="17"/>
    </row>
    <row r="720" spans="1:7" x14ac:dyDescent="0.3">
      <c r="A720" s="17"/>
      <c r="B720" s="17"/>
      <c r="C720" s="17"/>
      <c r="D720" s="17"/>
      <c r="E720" s="17"/>
      <c r="F720" s="17"/>
      <c r="G720" s="17"/>
    </row>
    <row r="721" spans="1:7" x14ac:dyDescent="0.3">
      <c r="A721" s="17"/>
      <c r="B721" s="17"/>
      <c r="C721" s="17"/>
      <c r="D721" s="17"/>
      <c r="E721" s="17"/>
      <c r="F721" s="17"/>
      <c r="G721" s="17"/>
    </row>
    <row r="722" spans="1:7" x14ac:dyDescent="0.3">
      <c r="A722" s="17"/>
      <c r="B722" s="17"/>
      <c r="C722" s="17"/>
      <c r="D722" s="17"/>
      <c r="E722" s="17"/>
      <c r="F722" s="17"/>
      <c r="G722" s="17"/>
    </row>
    <row r="723" spans="1:7" x14ac:dyDescent="0.3">
      <c r="A723" s="17"/>
      <c r="B723" s="17"/>
      <c r="C723" s="17"/>
      <c r="D723" s="17"/>
      <c r="E723" s="17"/>
      <c r="F723" s="17"/>
      <c r="G723" s="17"/>
    </row>
    <row r="724" spans="1:7" x14ac:dyDescent="0.3">
      <c r="A724" s="17"/>
      <c r="B724" s="17"/>
      <c r="C724" s="17"/>
      <c r="D724" s="17"/>
      <c r="E724" s="17"/>
      <c r="F724" s="17"/>
      <c r="G724" s="17"/>
    </row>
    <row r="725" spans="1:7" x14ac:dyDescent="0.3">
      <c r="A725" s="17"/>
      <c r="B725" s="17"/>
      <c r="C725" s="17"/>
      <c r="D725" s="17"/>
      <c r="E725" s="17"/>
      <c r="F725" s="17"/>
      <c r="G725" s="17"/>
    </row>
    <row r="726" spans="1:7" x14ac:dyDescent="0.3">
      <c r="A726" s="17"/>
      <c r="B726" s="17"/>
      <c r="C726" s="17"/>
      <c r="D726" s="17"/>
      <c r="E726" s="17"/>
      <c r="F726" s="17"/>
      <c r="G726" s="17"/>
    </row>
    <row r="727" spans="1:7" x14ac:dyDescent="0.3">
      <c r="A727" s="17"/>
      <c r="B727" s="17"/>
      <c r="C727" s="17"/>
      <c r="D727" s="17"/>
      <c r="E727" s="17"/>
      <c r="F727" s="17"/>
      <c r="G727" s="17"/>
    </row>
    <row r="728" spans="1:7" x14ac:dyDescent="0.3">
      <c r="A728" s="17"/>
      <c r="B728" s="17"/>
      <c r="C728" s="17"/>
      <c r="D728" s="17"/>
      <c r="E728" s="17"/>
      <c r="F728" s="17"/>
      <c r="G728" s="17"/>
    </row>
    <row r="729" spans="1:7" x14ac:dyDescent="0.3">
      <c r="A729" s="17"/>
      <c r="B729" s="17"/>
      <c r="C729" s="17"/>
      <c r="D729" s="17"/>
      <c r="E729" s="17"/>
      <c r="F729" s="17"/>
      <c r="G729" s="17"/>
    </row>
    <row r="730" spans="1:7" x14ac:dyDescent="0.3">
      <c r="A730" s="17"/>
      <c r="B730" s="17"/>
      <c r="C730" s="17"/>
      <c r="D730" s="17"/>
      <c r="E730" s="17"/>
      <c r="F730" s="17"/>
      <c r="G730" s="17"/>
    </row>
    <row r="731" spans="1:7" x14ac:dyDescent="0.3">
      <c r="A731" s="17"/>
      <c r="B731" s="17"/>
      <c r="C731" s="17"/>
      <c r="D731" s="17"/>
      <c r="E731" s="17"/>
      <c r="F731" s="17"/>
      <c r="G731" s="17"/>
    </row>
    <row r="732" spans="1:7" x14ac:dyDescent="0.3">
      <c r="A732" s="17"/>
      <c r="B732" s="17"/>
      <c r="C732" s="17"/>
      <c r="D732" s="17"/>
      <c r="E732" s="17"/>
      <c r="F732" s="17"/>
      <c r="G732" s="17"/>
    </row>
    <row r="733" spans="1:7" x14ac:dyDescent="0.3">
      <c r="A733" s="17"/>
      <c r="B733" s="17"/>
      <c r="C733" s="17"/>
      <c r="D733" s="17"/>
      <c r="E733" s="17"/>
      <c r="F733" s="17"/>
      <c r="G733" s="17"/>
    </row>
    <row r="734" spans="1:7" x14ac:dyDescent="0.3">
      <c r="A734" s="17"/>
      <c r="B734" s="17"/>
      <c r="C734" s="17"/>
      <c r="D734" s="17"/>
      <c r="E734" s="17"/>
      <c r="F734" s="17"/>
      <c r="G734" s="17"/>
    </row>
    <row r="735" spans="1:7" x14ac:dyDescent="0.3">
      <c r="A735" s="17"/>
      <c r="B735" s="17"/>
      <c r="C735" s="17"/>
      <c r="D735" s="17"/>
      <c r="E735" s="17"/>
      <c r="F735" s="17"/>
      <c r="G735" s="17"/>
    </row>
    <row r="736" spans="1:7" x14ac:dyDescent="0.3">
      <c r="A736" s="17"/>
      <c r="B736" s="17"/>
      <c r="C736" s="17"/>
      <c r="D736" s="17"/>
      <c r="E736" s="17"/>
      <c r="F736" s="17"/>
      <c r="G736" s="17"/>
    </row>
    <row r="737" spans="1:7" x14ac:dyDescent="0.3">
      <c r="A737" s="17"/>
      <c r="B737" s="17"/>
      <c r="C737" s="17"/>
      <c r="D737" s="17"/>
      <c r="E737" s="17"/>
      <c r="F737" s="17"/>
      <c r="G737" s="17"/>
    </row>
    <row r="738" spans="1:7" x14ac:dyDescent="0.3">
      <c r="A738" s="17"/>
      <c r="B738" s="17"/>
      <c r="C738" s="17"/>
      <c r="D738" s="17"/>
      <c r="E738" s="17"/>
      <c r="F738" s="17"/>
      <c r="G738" s="17"/>
    </row>
    <row r="739" spans="1:7" x14ac:dyDescent="0.3">
      <c r="A739" s="17"/>
      <c r="B739" s="17"/>
      <c r="C739" s="17"/>
      <c r="D739" s="17"/>
      <c r="E739" s="17"/>
      <c r="F739" s="17"/>
      <c r="G739" s="17"/>
    </row>
    <row r="740" spans="1:7" x14ac:dyDescent="0.3">
      <c r="A740" s="17"/>
      <c r="B740" s="17"/>
      <c r="C740" s="17"/>
      <c r="D740" s="17"/>
      <c r="E740" s="17"/>
      <c r="F740" s="17"/>
      <c r="G740" s="17"/>
    </row>
    <row r="741" spans="1:7" x14ac:dyDescent="0.3">
      <c r="A741" s="17"/>
      <c r="B741" s="17"/>
      <c r="C741" s="17"/>
      <c r="D741" s="17"/>
      <c r="E741" s="17"/>
      <c r="F741" s="17"/>
      <c r="G741" s="17"/>
    </row>
    <row r="742" spans="1:7" x14ac:dyDescent="0.3">
      <c r="A742" s="17"/>
      <c r="B742" s="17"/>
      <c r="C742" s="17"/>
      <c r="D742" s="17"/>
      <c r="E742" s="17"/>
      <c r="F742" s="17"/>
      <c r="G742" s="17"/>
    </row>
    <row r="743" spans="1:7" x14ac:dyDescent="0.3">
      <c r="A743" s="17"/>
      <c r="B743" s="17"/>
      <c r="C743" s="17"/>
      <c r="D743" s="17"/>
      <c r="E743" s="17"/>
      <c r="F743" s="17"/>
      <c r="G743" s="17"/>
    </row>
    <row r="744" spans="1:7" x14ac:dyDescent="0.3">
      <c r="A744" s="17"/>
      <c r="B744" s="17"/>
      <c r="C744" s="17"/>
      <c r="D744" s="17"/>
      <c r="E744" s="17"/>
      <c r="F744" s="17"/>
      <c r="G744" s="17"/>
    </row>
    <row r="745" spans="1:7" x14ac:dyDescent="0.3">
      <c r="A745" s="17"/>
      <c r="B745" s="17"/>
      <c r="C745" s="17"/>
      <c r="D745" s="17"/>
      <c r="E745" s="17"/>
      <c r="F745" s="17"/>
      <c r="G745" s="17"/>
    </row>
    <row r="746" spans="1:7" x14ac:dyDescent="0.3">
      <c r="A746" s="17"/>
      <c r="B746" s="17"/>
      <c r="C746" s="17"/>
      <c r="D746" s="17"/>
      <c r="E746" s="17"/>
      <c r="F746" s="17"/>
      <c r="G746" s="17"/>
    </row>
    <row r="747" spans="1:7" x14ac:dyDescent="0.3">
      <c r="A747" s="17"/>
      <c r="B747" s="17"/>
      <c r="C747" s="17"/>
      <c r="D747" s="17"/>
      <c r="E747" s="17"/>
      <c r="F747" s="17"/>
      <c r="G747" s="17"/>
    </row>
    <row r="748" spans="1:7" x14ac:dyDescent="0.3">
      <c r="A748" s="17"/>
      <c r="B748" s="17"/>
      <c r="C748" s="17"/>
      <c r="D748" s="17"/>
      <c r="E748" s="17"/>
      <c r="F748" s="17"/>
      <c r="G748" s="17"/>
    </row>
    <row r="749" spans="1:7" x14ac:dyDescent="0.3">
      <c r="A749" s="17"/>
      <c r="B749" s="17"/>
      <c r="C749" s="17"/>
      <c r="D749" s="17"/>
      <c r="E749" s="17"/>
      <c r="F749" s="17"/>
      <c r="G749" s="17"/>
    </row>
    <row r="750" spans="1:7" x14ac:dyDescent="0.3">
      <c r="A750" s="17"/>
      <c r="B750" s="17"/>
      <c r="C750" s="17"/>
      <c r="D750" s="17"/>
      <c r="E750" s="17"/>
      <c r="F750" s="17"/>
      <c r="G750" s="17"/>
    </row>
    <row r="751" spans="1:7" x14ac:dyDescent="0.3">
      <c r="A751" s="17"/>
      <c r="B751" s="17"/>
      <c r="C751" s="17"/>
      <c r="D751" s="17"/>
      <c r="E751" s="17"/>
      <c r="F751" s="17"/>
      <c r="G751" s="17"/>
    </row>
    <row r="752" spans="1:7" x14ac:dyDescent="0.3">
      <c r="A752" s="17"/>
      <c r="B752" s="17"/>
      <c r="C752" s="17"/>
      <c r="D752" s="17"/>
      <c r="E752" s="17"/>
      <c r="F752" s="17"/>
      <c r="G752" s="17"/>
    </row>
    <row r="753" spans="1:7" x14ac:dyDescent="0.3">
      <c r="A753" s="17"/>
      <c r="B753" s="17"/>
      <c r="C753" s="17"/>
      <c r="D753" s="17"/>
      <c r="E753" s="17"/>
      <c r="F753" s="17"/>
      <c r="G753" s="17"/>
    </row>
    <row r="754" spans="1:7" x14ac:dyDescent="0.3">
      <c r="A754" s="17"/>
      <c r="B754" s="17"/>
      <c r="C754" s="17"/>
      <c r="D754" s="17"/>
      <c r="E754" s="17"/>
      <c r="F754" s="17"/>
      <c r="G754" s="17"/>
    </row>
    <row r="755" spans="1:7" x14ac:dyDescent="0.3">
      <c r="A755" s="17"/>
      <c r="B755" s="17"/>
      <c r="C755" s="17"/>
      <c r="D755" s="17"/>
      <c r="E755" s="17"/>
      <c r="F755" s="17"/>
      <c r="G755" s="17"/>
    </row>
    <row r="756" spans="1:7" x14ac:dyDescent="0.3">
      <c r="A756" s="17"/>
      <c r="B756" s="17"/>
      <c r="C756" s="17"/>
      <c r="D756" s="17"/>
      <c r="E756" s="17"/>
      <c r="F756" s="17"/>
      <c r="G756" s="17"/>
    </row>
    <row r="757" spans="1:7" x14ac:dyDescent="0.3">
      <c r="A757" s="17"/>
      <c r="B757" s="17"/>
      <c r="C757" s="17"/>
      <c r="D757" s="17"/>
      <c r="E757" s="17"/>
      <c r="F757" s="17"/>
      <c r="G757" s="17"/>
    </row>
    <row r="758" spans="1:7" x14ac:dyDescent="0.3">
      <c r="A758" s="17"/>
      <c r="B758" s="17"/>
      <c r="C758" s="17"/>
      <c r="D758" s="17"/>
      <c r="E758" s="17"/>
      <c r="F758" s="17"/>
      <c r="G758" s="17"/>
    </row>
    <row r="759" spans="1:7" x14ac:dyDescent="0.3">
      <c r="A759" s="17"/>
      <c r="B759" s="17"/>
      <c r="C759" s="17"/>
      <c r="D759" s="17"/>
      <c r="E759" s="17"/>
      <c r="F759" s="17"/>
      <c r="G759" s="17"/>
    </row>
    <row r="760" spans="1:7" x14ac:dyDescent="0.3">
      <c r="A760" s="17"/>
      <c r="B760" s="17"/>
      <c r="C760" s="17"/>
      <c r="D760" s="17"/>
      <c r="E760" s="17"/>
      <c r="F760" s="17"/>
      <c r="G760" s="17"/>
    </row>
    <row r="761" spans="1:7" x14ac:dyDescent="0.3">
      <c r="A761" s="17"/>
      <c r="B761" s="17"/>
      <c r="C761" s="17"/>
      <c r="D761" s="17"/>
      <c r="E761" s="17"/>
      <c r="F761" s="17"/>
      <c r="G761" s="17"/>
    </row>
    <row r="762" spans="1:7" x14ac:dyDescent="0.3">
      <c r="A762" s="17"/>
      <c r="B762" s="17"/>
      <c r="C762" s="17"/>
      <c r="D762" s="17"/>
      <c r="E762" s="17"/>
      <c r="F762" s="17"/>
      <c r="G762" s="17"/>
    </row>
    <row r="763" spans="1:7" x14ac:dyDescent="0.3">
      <c r="A763" s="17"/>
      <c r="B763" s="17"/>
      <c r="C763" s="17"/>
      <c r="D763" s="17"/>
      <c r="E763" s="17"/>
      <c r="F763" s="17"/>
      <c r="G763" s="17"/>
    </row>
    <row r="764" spans="1:7" x14ac:dyDescent="0.3">
      <c r="A764" s="17"/>
      <c r="B764" s="17"/>
      <c r="C764" s="17"/>
      <c r="D764" s="17"/>
      <c r="E764" s="17"/>
      <c r="F764" s="17"/>
      <c r="G764" s="17"/>
    </row>
    <row r="765" spans="1:7" x14ac:dyDescent="0.3">
      <c r="A765" s="17"/>
      <c r="B765" s="17"/>
      <c r="C765" s="17"/>
      <c r="D765" s="17"/>
      <c r="E765" s="17"/>
      <c r="F765" s="17"/>
      <c r="G765" s="17"/>
    </row>
    <row r="766" spans="1:7" x14ac:dyDescent="0.3">
      <c r="A766" s="17"/>
      <c r="B766" s="17"/>
      <c r="C766" s="17"/>
      <c r="D766" s="17"/>
      <c r="E766" s="17"/>
      <c r="F766" s="17"/>
      <c r="G766" s="17"/>
    </row>
    <row r="767" spans="1:7" x14ac:dyDescent="0.3">
      <c r="A767" s="17"/>
      <c r="B767" s="17"/>
      <c r="C767" s="17"/>
      <c r="D767" s="17"/>
      <c r="E767" s="17"/>
      <c r="F767" s="17"/>
      <c r="G767" s="17"/>
    </row>
    <row r="768" spans="1:7" x14ac:dyDescent="0.3">
      <c r="A768" s="17"/>
      <c r="B768" s="17"/>
      <c r="C768" s="17"/>
      <c r="D768" s="17"/>
      <c r="E768" s="17"/>
      <c r="F768" s="17"/>
      <c r="G768" s="17"/>
    </row>
    <row r="769" spans="1:7" x14ac:dyDescent="0.3">
      <c r="A769" s="17"/>
      <c r="B769" s="17"/>
      <c r="C769" s="17"/>
      <c r="D769" s="17"/>
      <c r="E769" s="17"/>
      <c r="F769" s="17"/>
      <c r="G769" s="17"/>
    </row>
    <row r="770" spans="1:7" x14ac:dyDescent="0.3">
      <c r="A770" s="17"/>
      <c r="B770" s="17"/>
      <c r="C770" s="17"/>
      <c r="D770" s="17"/>
      <c r="E770" s="17"/>
      <c r="F770" s="17"/>
      <c r="G770" s="17"/>
    </row>
    <row r="771" spans="1:7" x14ac:dyDescent="0.3">
      <c r="A771" s="17"/>
      <c r="B771" s="17"/>
      <c r="C771" s="17"/>
      <c r="D771" s="17"/>
      <c r="E771" s="17"/>
      <c r="F771" s="17"/>
      <c r="G771" s="17"/>
    </row>
    <row r="772" spans="1:7" x14ac:dyDescent="0.3">
      <c r="A772" s="17"/>
      <c r="B772" s="17"/>
      <c r="C772" s="17"/>
      <c r="D772" s="17"/>
      <c r="E772" s="17"/>
      <c r="F772" s="17"/>
      <c r="G772" s="17"/>
    </row>
    <row r="773" spans="1:7" x14ac:dyDescent="0.3">
      <c r="A773" s="17"/>
      <c r="B773" s="17"/>
      <c r="C773" s="17"/>
      <c r="D773" s="17"/>
      <c r="E773" s="17"/>
      <c r="F773" s="17"/>
      <c r="G773" s="17"/>
    </row>
    <row r="774" spans="1:7" x14ac:dyDescent="0.3">
      <c r="A774" s="17"/>
      <c r="B774" s="17"/>
      <c r="C774" s="17"/>
      <c r="D774" s="17"/>
      <c r="E774" s="17"/>
      <c r="F774" s="17"/>
      <c r="G774" s="17"/>
    </row>
    <row r="775" spans="1:7" x14ac:dyDescent="0.3">
      <c r="A775" s="17"/>
      <c r="B775" s="17"/>
      <c r="C775" s="17"/>
      <c r="D775" s="17"/>
      <c r="E775" s="17"/>
      <c r="F775" s="17"/>
      <c r="G775" s="17"/>
    </row>
    <row r="776" spans="1:7" x14ac:dyDescent="0.3">
      <c r="A776" s="17"/>
      <c r="B776" s="17"/>
      <c r="C776" s="17"/>
      <c r="D776" s="17"/>
      <c r="E776" s="17"/>
      <c r="F776" s="17"/>
      <c r="G776" s="17"/>
    </row>
    <row r="777" spans="1:7" x14ac:dyDescent="0.3">
      <c r="A777" s="17"/>
      <c r="B777" s="17"/>
      <c r="C777" s="17"/>
      <c r="D777" s="17"/>
      <c r="E777" s="17"/>
      <c r="F777" s="17"/>
      <c r="G777" s="17"/>
    </row>
    <row r="778" spans="1:7" x14ac:dyDescent="0.3">
      <c r="A778" s="17"/>
      <c r="B778" s="17"/>
      <c r="C778" s="17"/>
      <c r="D778" s="17"/>
      <c r="E778" s="17"/>
      <c r="F778" s="17"/>
      <c r="G778" s="17"/>
    </row>
    <row r="779" spans="1:7" x14ac:dyDescent="0.3">
      <c r="A779" s="17"/>
      <c r="B779" s="17"/>
      <c r="C779" s="17"/>
      <c r="D779" s="17"/>
      <c r="E779" s="17"/>
      <c r="F779" s="17"/>
      <c r="G779" s="17"/>
    </row>
    <row r="780" spans="1:7" x14ac:dyDescent="0.3">
      <c r="A780" s="17"/>
      <c r="B780" s="17"/>
      <c r="C780" s="17"/>
      <c r="D780" s="17"/>
      <c r="E780" s="17"/>
      <c r="F780" s="17"/>
      <c r="G780" s="17"/>
    </row>
    <row r="781" spans="1:7" x14ac:dyDescent="0.3">
      <c r="A781" s="17"/>
      <c r="B781" s="17"/>
      <c r="C781" s="17"/>
      <c r="D781" s="17"/>
      <c r="E781" s="17"/>
      <c r="F781" s="17"/>
      <c r="G781" s="17"/>
    </row>
    <row r="782" spans="1:7" x14ac:dyDescent="0.3">
      <c r="A782" s="17"/>
      <c r="B782" s="17"/>
      <c r="C782" s="17"/>
      <c r="D782" s="17"/>
      <c r="E782" s="17"/>
      <c r="F782" s="17"/>
      <c r="G782" s="17"/>
    </row>
    <row r="783" spans="1:7" x14ac:dyDescent="0.3">
      <c r="A783" s="17"/>
      <c r="B783" s="17"/>
      <c r="C783" s="17"/>
      <c r="D783" s="17"/>
      <c r="E783" s="17"/>
      <c r="F783" s="17"/>
      <c r="G783" s="17"/>
    </row>
    <row r="784" spans="1:7" x14ac:dyDescent="0.3">
      <c r="A784" s="17"/>
      <c r="B784" s="17"/>
      <c r="C784" s="17"/>
      <c r="D784" s="17"/>
      <c r="E784" s="17"/>
      <c r="F784" s="17"/>
      <c r="G784" s="17"/>
    </row>
    <row r="785" spans="1:7" x14ac:dyDescent="0.3">
      <c r="A785" s="17"/>
      <c r="B785" s="17"/>
      <c r="C785" s="17"/>
      <c r="D785" s="17"/>
      <c r="E785" s="17"/>
      <c r="F785" s="17"/>
      <c r="G785" s="17"/>
    </row>
    <row r="786" spans="1:7" x14ac:dyDescent="0.3">
      <c r="A786" s="17"/>
      <c r="B786" s="17"/>
      <c r="C786" s="17"/>
      <c r="D786" s="17"/>
      <c r="E786" s="17"/>
      <c r="F786" s="17"/>
      <c r="G786" s="17"/>
    </row>
    <row r="787" spans="1:7" x14ac:dyDescent="0.3">
      <c r="A787" s="17"/>
      <c r="B787" s="17"/>
      <c r="C787" s="17"/>
      <c r="D787" s="17"/>
      <c r="E787" s="17"/>
      <c r="F787" s="17"/>
      <c r="G787" s="17"/>
    </row>
    <row r="788" spans="1:7" x14ac:dyDescent="0.3">
      <c r="A788" s="17"/>
      <c r="B788" s="17"/>
      <c r="C788" s="17"/>
      <c r="D788" s="17"/>
      <c r="E788" s="17"/>
      <c r="F788" s="17"/>
      <c r="G788" s="17"/>
    </row>
    <row r="789" spans="1:7" x14ac:dyDescent="0.3">
      <c r="A789" s="17"/>
      <c r="B789" s="17"/>
      <c r="C789" s="17"/>
      <c r="D789" s="17"/>
      <c r="E789" s="17"/>
      <c r="F789" s="17"/>
      <c r="G789" s="17"/>
    </row>
    <row r="790" spans="1:7" x14ac:dyDescent="0.3">
      <c r="A790" s="17"/>
      <c r="B790" s="17"/>
      <c r="C790" s="17"/>
      <c r="D790" s="17"/>
      <c r="E790" s="17"/>
      <c r="F790" s="17"/>
      <c r="G790" s="17"/>
    </row>
    <row r="791" spans="1:7" x14ac:dyDescent="0.3">
      <c r="A791" s="17"/>
      <c r="B791" s="17"/>
      <c r="C791" s="17"/>
      <c r="D791" s="17"/>
      <c r="E791" s="17"/>
      <c r="F791" s="17"/>
      <c r="G791" s="17"/>
    </row>
    <row r="792" spans="1:7" x14ac:dyDescent="0.3">
      <c r="A792" s="17"/>
      <c r="B792" s="17"/>
      <c r="C792" s="17"/>
      <c r="D792" s="17"/>
      <c r="E792" s="17"/>
      <c r="F792" s="17"/>
      <c r="G792" s="17"/>
    </row>
    <row r="793" spans="1:7" x14ac:dyDescent="0.3">
      <c r="A793" s="17"/>
      <c r="B793" s="17"/>
      <c r="C793" s="17"/>
      <c r="D793" s="17"/>
      <c r="E793" s="17"/>
      <c r="F793" s="17"/>
      <c r="G793" s="17"/>
    </row>
    <row r="794" spans="1:7" x14ac:dyDescent="0.3">
      <c r="A794" s="17"/>
      <c r="B794" s="17"/>
      <c r="C794" s="17"/>
      <c r="D794" s="17"/>
      <c r="E794" s="17"/>
      <c r="F794" s="17"/>
      <c r="G794" s="17"/>
    </row>
    <row r="795" spans="1:7" x14ac:dyDescent="0.3">
      <c r="A795" s="17"/>
      <c r="B795" s="17"/>
      <c r="C795" s="17"/>
      <c r="D795" s="17"/>
      <c r="E795" s="17"/>
      <c r="F795" s="17"/>
      <c r="G795" s="17"/>
    </row>
    <row r="796" spans="1:7" x14ac:dyDescent="0.3">
      <c r="A796" s="17"/>
      <c r="B796" s="17"/>
      <c r="C796" s="17"/>
      <c r="D796" s="17"/>
      <c r="E796" s="17"/>
      <c r="F796" s="17"/>
      <c r="G796" s="17"/>
    </row>
    <row r="797" spans="1:7" x14ac:dyDescent="0.3">
      <c r="A797" s="17"/>
      <c r="B797" s="17"/>
      <c r="C797" s="17"/>
      <c r="D797" s="17"/>
      <c r="E797" s="17"/>
      <c r="F797" s="17"/>
      <c r="G797" s="17"/>
    </row>
    <row r="798" spans="1:7" x14ac:dyDescent="0.3">
      <c r="A798" s="17"/>
      <c r="B798" s="17"/>
      <c r="C798" s="17"/>
      <c r="D798" s="17"/>
      <c r="E798" s="17"/>
      <c r="F798" s="17"/>
      <c r="G798" s="17"/>
    </row>
    <row r="799" spans="1:7" x14ac:dyDescent="0.3">
      <c r="A799" s="17"/>
      <c r="B799" s="17"/>
      <c r="C799" s="17"/>
      <c r="D799" s="17"/>
      <c r="E799" s="17"/>
      <c r="F799" s="17"/>
      <c r="G799" s="17"/>
    </row>
    <row r="800" spans="1:7" x14ac:dyDescent="0.3">
      <c r="A800" s="17"/>
      <c r="B800" s="17"/>
      <c r="C800" s="17"/>
      <c r="D800" s="17"/>
      <c r="E800" s="17"/>
      <c r="F800" s="17"/>
      <c r="G800" s="17"/>
    </row>
    <row r="801" spans="1:7" x14ac:dyDescent="0.3">
      <c r="A801" s="17"/>
      <c r="B801" s="17"/>
      <c r="C801" s="17"/>
      <c r="D801" s="17"/>
      <c r="E801" s="17"/>
      <c r="F801" s="17"/>
      <c r="G801" s="17"/>
    </row>
    <row r="802" spans="1:7" x14ac:dyDescent="0.3">
      <c r="A802" s="17"/>
      <c r="B802" s="17"/>
      <c r="C802" s="17"/>
      <c r="D802" s="17"/>
      <c r="E802" s="17"/>
      <c r="F802" s="17"/>
      <c r="G802" s="17"/>
    </row>
    <row r="803" spans="1:7" x14ac:dyDescent="0.3">
      <c r="A803" s="17"/>
      <c r="B803" s="17"/>
      <c r="C803" s="17"/>
      <c r="D803" s="17"/>
      <c r="E803" s="17"/>
      <c r="F803" s="17"/>
      <c r="G803" s="17"/>
    </row>
    <row r="804" spans="1:7" x14ac:dyDescent="0.3">
      <c r="A804" s="17"/>
      <c r="B804" s="17"/>
      <c r="C804" s="17"/>
      <c r="D804" s="17"/>
      <c r="E804" s="17"/>
      <c r="F804" s="17"/>
      <c r="G804" s="17"/>
    </row>
    <row r="805" spans="1:7" x14ac:dyDescent="0.3">
      <c r="A805" s="17"/>
      <c r="B805" s="17"/>
      <c r="C805" s="17"/>
      <c r="D805" s="17"/>
      <c r="E805" s="17"/>
      <c r="F805" s="17"/>
      <c r="G805" s="17"/>
    </row>
    <row r="806" spans="1:7" x14ac:dyDescent="0.3">
      <c r="A806" s="17"/>
      <c r="B806" s="17"/>
      <c r="C806" s="17"/>
      <c r="D806" s="17"/>
      <c r="E806" s="17"/>
      <c r="F806" s="17"/>
      <c r="G806" s="17"/>
    </row>
    <row r="807" spans="1:7" x14ac:dyDescent="0.3">
      <c r="A807" s="17"/>
      <c r="B807" s="17"/>
      <c r="C807" s="17"/>
      <c r="D807" s="17"/>
      <c r="E807" s="17"/>
      <c r="F807" s="17"/>
      <c r="G807" s="17"/>
    </row>
    <row r="808" spans="1:7" x14ac:dyDescent="0.3">
      <c r="A808" s="17"/>
      <c r="B808" s="17"/>
      <c r="C808" s="17"/>
      <c r="D808" s="17"/>
      <c r="E808" s="17"/>
      <c r="F808" s="17"/>
      <c r="G808" s="17"/>
    </row>
    <row r="809" spans="1:7" x14ac:dyDescent="0.3">
      <c r="A809" s="17"/>
      <c r="B809" s="17"/>
      <c r="C809" s="17"/>
      <c r="D809" s="17"/>
      <c r="E809" s="17"/>
      <c r="F809" s="17"/>
      <c r="G809" s="17"/>
    </row>
    <row r="810" spans="1:7" x14ac:dyDescent="0.3">
      <c r="A810" s="17"/>
      <c r="B810" s="17"/>
      <c r="C810" s="17"/>
      <c r="D810" s="17"/>
      <c r="E810" s="17"/>
      <c r="F810" s="17"/>
      <c r="G810" s="17"/>
    </row>
    <row r="811" spans="1:7" x14ac:dyDescent="0.3">
      <c r="A811" s="17"/>
      <c r="B811" s="17"/>
      <c r="C811" s="17"/>
      <c r="D811" s="17"/>
      <c r="E811" s="17"/>
      <c r="F811" s="17"/>
      <c r="G811" s="17"/>
    </row>
    <row r="812" spans="1:7" x14ac:dyDescent="0.3">
      <c r="A812" s="17"/>
      <c r="B812" s="17"/>
      <c r="C812" s="17"/>
      <c r="D812" s="17"/>
      <c r="E812" s="17"/>
      <c r="F812" s="17"/>
      <c r="G812" s="17"/>
    </row>
    <row r="813" spans="1:7" x14ac:dyDescent="0.3">
      <c r="A813" s="17"/>
      <c r="B813" s="17"/>
      <c r="C813" s="17"/>
      <c r="D813" s="17"/>
      <c r="E813" s="17"/>
      <c r="F813" s="17"/>
      <c r="G813" s="17"/>
    </row>
    <row r="814" spans="1:7" x14ac:dyDescent="0.3">
      <c r="A814" s="17"/>
      <c r="B814" s="17"/>
      <c r="C814" s="17"/>
      <c r="D814" s="17"/>
      <c r="E814" s="17"/>
      <c r="F814" s="17"/>
      <c r="G814" s="17"/>
    </row>
    <row r="815" spans="1:7" x14ac:dyDescent="0.3">
      <c r="A815" s="17"/>
      <c r="B815" s="17"/>
      <c r="C815" s="17"/>
      <c r="D815" s="17"/>
      <c r="E815" s="17"/>
      <c r="F815" s="17"/>
      <c r="G815" s="17"/>
    </row>
    <row r="816" spans="1:7" x14ac:dyDescent="0.3">
      <c r="A816" s="17"/>
      <c r="B816" s="17"/>
      <c r="C816" s="17"/>
      <c r="D816" s="17"/>
      <c r="E816" s="17"/>
      <c r="F816" s="17"/>
      <c r="G816" s="17"/>
    </row>
    <row r="817" spans="1:7" x14ac:dyDescent="0.3">
      <c r="A817" s="17"/>
      <c r="B817" s="17"/>
      <c r="C817" s="17"/>
      <c r="D817" s="17"/>
      <c r="E817" s="17"/>
      <c r="F817" s="17"/>
      <c r="G817" s="17"/>
    </row>
    <row r="818" spans="1:7" x14ac:dyDescent="0.3">
      <c r="A818" s="17"/>
      <c r="B818" s="17"/>
      <c r="C818" s="17"/>
      <c r="D818" s="17"/>
      <c r="E818" s="17"/>
      <c r="F818" s="17"/>
      <c r="G818" s="17"/>
    </row>
    <row r="819" spans="1:7" x14ac:dyDescent="0.3">
      <c r="A819" s="17"/>
      <c r="B819" s="17"/>
      <c r="C819" s="17"/>
      <c r="D819" s="17"/>
      <c r="E819" s="17"/>
      <c r="F819" s="17"/>
      <c r="G819" s="17"/>
    </row>
    <row r="820" spans="1:7" x14ac:dyDescent="0.3">
      <c r="A820" s="17"/>
      <c r="B820" s="17"/>
      <c r="C820" s="17"/>
      <c r="D820" s="17"/>
      <c r="E820" s="17"/>
      <c r="F820" s="17"/>
      <c r="G820" s="17"/>
    </row>
    <row r="821" spans="1:7" x14ac:dyDescent="0.3">
      <c r="A821" s="17"/>
      <c r="B821" s="17"/>
      <c r="C821" s="17"/>
      <c r="D821" s="17"/>
      <c r="E821" s="17"/>
      <c r="F821" s="17"/>
      <c r="G821" s="17"/>
    </row>
    <row r="822" spans="1:7" x14ac:dyDescent="0.3">
      <c r="A822" s="17"/>
      <c r="B822" s="17"/>
      <c r="C822" s="17"/>
      <c r="D822" s="17"/>
      <c r="E822" s="17"/>
      <c r="F822" s="17"/>
      <c r="G822" s="17"/>
    </row>
    <row r="823" spans="1:7" x14ac:dyDescent="0.3">
      <c r="A823" s="17"/>
      <c r="B823" s="17"/>
      <c r="C823" s="17"/>
      <c r="D823" s="17"/>
      <c r="E823" s="17"/>
      <c r="F823" s="17"/>
      <c r="G823" s="17"/>
    </row>
    <row r="824" spans="1:7" x14ac:dyDescent="0.3">
      <c r="A824" s="17"/>
      <c r="B824" s="17"/>
      <c r="C824" s="17"/>
      <c r="D824" s="17"/>
      <c r="E824" s="17"/>
      <c r="F824" s="17"/>
      <c r="G824" s="17"/>
    </row>
    <row r="825" spans="1:7" x14ac:dyDescent="0.3">
      <c r="A825" s="17"/>
      <c r="B825" s="17"/>
      <c r="C825" s="17"/>
      <c r="D825" s="17"/>
      <c r="E825" s="17"/>
      <c r="F825" s="17"/>
      <c r="G825" s="17"/>
    </row>
    <row r="826" spans="1:7" x14ac:dyDescent="0.3">
      <c r="A826" s="17"/>
      <c r="B826" s="17"/>
      <c r="C826" s="17"/>
      <c r="D826" s="17"/>
      <c r="E826" s="17"/>
      <c r="F826" s="17"/>
      <c r="G826" s="17"/>
    </row>
    <row r="827" spans="1:7" x14ac:dyDescent="0.3">
      <c r="A827" s="17"/>
      <c r="B827" s="17"/>
      <c r="C827" s="17"/>
      <c r="D827" s="17"/>
      <c r="E827" s="17"/>
      <c r="F827" s="17"/>
      <c r="G827" s="17"/>
    </row>
    <row r="828" spans="1:7" x14ac:dyDescent="0.3">
      <c r="A828" s="17"/>
      <c r="B828" s="17"/>
      <c r="C828" s="17"/>
      <c r="D828" s="17"/>
      <c r="E828" s="17"/>
      <c r="F828" s="17"/>
      <c r="G828" s="17"/>
    </row>
    <row r="829" spans="1:7" x14ac:dyDescent="0.3">
      <c r="A829" s="17"/>
      <c r="B829" s="17"/>
      <c r="C829" s="17"/>
      <c r="D829" s="17"/>
      <c r="E829" s="17"/>
      <c r="F829" s="17"/>
      <c r="G829" s="17"/>
    </row>
    <row r="830" spans="1:7" x14ac:dyDescent="0.3">
      <c r="A830" s="17"/>
      <c r="B830" s="17"/>
      <c r="C830" s="17"/>
      <c r="D830" s="17"/>
      <c r="E830" s="17"/>
      <c r="F830" s="17"/>
      <c r="G830" s="17"/>
    </row>
    <row r="831" spans="1:7" x14ac:dyDescent="0.3">
      <c r="A831" s="17"/>
      <c r="B831" s="17"/>
      <c r="C831" s="17"/>
      <c r="D831" s="17"/>
      <c r="E831" s="17"/>
      <c r="F831" s="17"/>
      <c r="G831" s="17"/>
    </row>
    <row r="832" spans="1:7" x14ac:dyDescent="0.3">
      <c r="A832" s="17"/>
      <c r="B832" s="17"/>
      <c r="C832" s="17"/>
      <c r="D832" s="17"/>
      <c r="E832" s="17"/>
      <c r="F832" s="17"/>
      <c r="G832" s="17"/>
    </row>
    <row r="833" spans="1:7" x14ac:dyDescent="0.3">
      <c r="A833" s="17"/>
      <c r="B833" s="17"/>
      <c r="C833" s="17"/>
      <c r="D833" s="17"/>
      <c r="E833" s="17"/>
      <c r="F833" s="17"/>
      <c r="G833" s="17"/>
    </row>
    <row r="834" spans="1:7" x14ac:dyDescent="0.3">
      <c r="A834" s="17"/>
      <c r="B834" s="17"/>
      <c r="C834" s="17"/>
      <c r="D834" s="17"/>
      <c r="E834" s="17"/>
      <c r="F834" s="17"/>
      <c r="G834" s="17"/>
    </row>
    <row r="835" spans="1:7" x14ac:dyDescent="0.3">
      <c r="A835" s="17"/>
      <c r="B835" s="17"/>
      <c r="C835" s="17"/>
      <c r="D835" s="17"/>
      <c r="E835" s="17"/>
      <c r="F835" s="17"/>
      <c r="G835" s="17"/>
    </row>
    <row r="836" spans="1:7" x14ac:dyDescent="0.3">
      <c r="A836" s="17"/>
      <c r="B836" s="17"/>
      <c r="C836" s="17"/>
      <c r="D836" s="17"/>
      <c r="E836" s="17"/>
      <c r="F836" s="17"/>
      <c r="G836" s="17"/>
    </row>
    <row r="837" spans="1:7" x14ac:dyDescent="0.3">
      <c r="A837" s="17"/>
      <c r="B837" s="17"/>
      <c r="C837" s="17"/>
      <c r="D837" s="17"/>
      <c r="E837" s="17"/>
      <c r="F837" s="17"/>
      <c r="G837" s="17"/>
    </row>
    <row r="838" spans="1:7" x14ac:dyDescent="0.3">
      <c r="A838" s="17"/>
      <c r="B838" s="17"/>
      <c r="C838" s="17"/>
      <c r="D838" s="17"/>
      <c r="E838" s="17"/>
      <c r="F838" s="17"/>
      <c r="G838" s="17"/>
    </row>
    <row r="839" spans="1:7" x14ac:dyDescent="0.3">
      <c r="A839" s="17"/>
      <c r="B839" s="17"/>
      <c r="C839" s="17"/>
      <c r="D839" s="17"/>
      <c r="E839" s="17"/>
      <c r="F839" s="17"/>
      <c r="G839" s="17"/>
    </row>
    <row r="840" spans="1:7" x14ac:dyDescent="0.3">
      <c r="A840" s="17"/>
      <c r="B840" s="17"/>
      <c r="C840" s="17"/>
      <c r="D840" s="17"/>
      <c r="E840" s="17"/>
      <c r="F840" s="17"/>
      <c r="G840" s="17"/>
    </row>
    <row r="841" spans="1:7" x14ac:dyDescent="0.3">
      <c r="A841" s="17"/>
      <c r="B841" s="17"/>
      <c r="C841" s="17"/>
      <c r="D841" s="17"/>
      <c r="E841" s="17"/>
      <c r="F841" s="17"/>
      <c r="G841" s="17"/>
    </row>
    <row r="842" spans="1:7" x14ac:dyDescent="0.3">
      <c r="A842" s="17"/>
      <c r="B842" s="17"/>
      <c r="C842" s="17"/>
      <c r="D842" s="17"/>
      <c r="E842" s="17"/>
      <c r="F842" s="17"/>
      <c r="G842" s="17"/>
    </row>
    <row r="843" spans="1:7" x14ac:dyDescent="0.3">
      <c r="A843" s="17"/>
      <c r="B843" s="17"/>
      <c r="C843" s="17"/>
      <c r="D843" s="17"/>
      <c r="E843" s="17"/>
      <c r="F843" s="17"/>
      <c r="G843" s="17"/>
    </row>
    <row r="844" spans="1:7" x14ac:dyDescent="0.3">
      <c r="A844" s="17"/>
      <c r="B844" s="17"/>
      <c r="C844" s="17"/>
      <c r="D844" s="17"/>
      <c r="E844" s="17"/>
      <c r="F844" s="17"/>
      <c r="G844" s="17"/>
    </row>
    <row r="845" spans="1:7" x14ac:dyDescent="0.3">
      <c r="A845" s="17"/>
      <c r="B845" s="17"/>
      <c r="C845" s="17"/>
      <c r="D845" s="17"/>
      <c r="E845" s="17"/>
      <c r="F845" s="17"/>
      <c r="G845" s="17"/>
    </row>
    <row r="846" spans="1:7" x14ac:dyDescent="0.3">
      <c r="A846" s="17"/>
      <c r="B846" s="17"/>
      <c r="C846" s="17"/>
      <c r="D846" s="17"/>
      <c r="E846" s="17"/>
      <c r="F846" s="17"/>
      <c r="G846" s="17"/>
    </row>
    <row r="847" spans="1:7" x14ac:dyDescent="0.3">
      <c r="A847" s="17"/>
      <c r="B847" s="17"/>
      <c r="C847" s="17"/>
      <c r="D847" s="17"/>
      <c r="E847" s="17"/>
      <c r="F847" s="17"/>
      <c r="G847" s="17"/>
    </row>
    <row r="848" spans="1:7" x14ac:dyDescent="0.3">
      <c r="A848" s="17"/>
      <c r="B848" s="17"/>
      <c r="C848" s="17"/>
      <c r="D848" s="17"/>
      <c r="E848" s="17"/>
      <c r="F848" s="17"/>
      <c r="G848" s="17"/>
    </row>
    <row r="849" spans="1:7" x14ac:dyDescent="0.3">
      <c r="A849" s="17"/>
      <c r="B849" s="17"/>
      <c r="C849" s="17"/>
      <c r="D849" s="17"/>
      <c r="E849" s="17"/>
      <c r="F849" s="17"/>
      <c r="G849" s="17"/>
    </row>
    <row r="850" spans="1:7" x14ac:dyDescent="0.3">
      <c r="A850" s="17"/>
      <c r="B850" s="17"/>
      <c r="C850" s="17"/>
      <c r="D850" s="17"/>
      <c r="E850" s="17"/>
      <c r="F850" s="17"/>
      <c r="G850" s="17"/>
    </row>
    <row r="851" spans="1:7" x14ac:dyDescent="0.3">
      <c r="A851" s="17"/>
      <c r="B851" s="17"/>
      <c r="C851" s="17"/>
      <c r="D851" s="17"/>
      <c r="E851" s="17"/>
      <c r="F851" s="17"/>
      <c r="G851" s="17"/>
    </row>
    <row r="852" spans="1:7" x14ac:dyDescent="0.3">
      <c r="A852" s="17"/>
      <c r="B852" s="17"/>
      <c r="C852" s="17"/>
      <c r="D852" s="17"/>
      <c r="E852" s="17"/>
      <c r="F852" s="17"/>
      <c r="G852" s="17"/>
    </row>
    <row r="853" spans="1:7" x14ac:dyDescent="0.3">
      <c r="A853" s="17"/>
      <c r="B853" s="17"/>
      <c r="C853" s="17"/>
      <c r="D853" s="17"/>
      <c r="E853" s="17"/>
      <c r="F853" s="17"/>
      <c r="G853" s="17"/>
    </row>
    <row r="854" spans="1:7" x14ac:dyDescent="0.3">
      <c r="A854" s="17"/>
      <c r="B854" s="17"/>
      <c r="C854" s="17"/>
      <c r="D854" s="17"/>
      <c r="E854" s="17"/>
      <c r="F854" s="17"/>
      <c r="G854" s="17"/>
    </row>
    <row r="855" spans="1:7" x14ac:dyDescent="0.3">
      <c r="A855" s="17"/>
      <c r="B855" s="17"/>
      <c r="C855" s="17"/>
      <c r="D855" s="17"/>
      <c r="E855" s="17"/>
      <c r="F855" s="17"/>
      <c r="G855" s="17"/>
    </row>
    <row r="856" spans="1:7" x14ac:dyDescent="0.3">
      <c r="A856" s="17"/>
      <c r="B856" s="17"/>
      <c r="C856" s="17"/>
      <c r="D856" s="17"/>
      <c r="E856" s="17"/>
      <c r="F856" s="17"/>
      <c r="G856" s="17"/>
    </row>
    <row r="857" spans="1:7" x14ac:dyDescent="0.3">
      <c r="A857" s="17"/>
      <c r="B857" s="17"/>
      <c r="C857" s="17"/>
      <c r="D857" s="17"/>
      <c r="E857" s="17"/>
      <c r="F857" s="17"/>
      <c r="G857" s="17"/>
    </row>
    <row r="858" spans="1:7" x14ac:dyDescent="0.3">
      <c r="A858" s="17"/>
      <c r="B858" s="17"/>
      <c r="C858" s="17"/>
      <c r="D858" s="17"/>
      <c r="E858" s="17"/>
      <c r="F858" s="17"/>
      <c r="G858" s="17"/>
    </row>
    <row r="859" spans="1:7" x14ac:dyDescent="0.3">
      <c r="A859" s="17"/>
      <c r="B859" s="17"/>
      <c r="C859" s="17"/>
      <c r="D859" s="17"/>
      <c r="E859" s="17"/>
      <c r="F859" s="17"/>
      <c r="G859" s="17"/>
    </row>
    <row r="860" spans="1:7" x14ac:dyDescent="0.3">
      <c r="A860" s="17"/>
      <c r="B860" s="17"/>
      <c r="C860" s="17"/>
      <c r="D860" s="17"/>
      <c r="E860" s="17"/>
      <c r="F860" s="17"/>
      <c r="G860" s="17"/>
    </row>
    <row r="861" spans="1:7" x14ac:dyDescent="0.3">
      <c r="A861" s="17"/>
      <c r="B861" s="17"/>
      <c r="C861" s="17"/>
      <c r="D861" s="17"/>
      <c r="E861" s="17"/>
      <c r="F861" s="17"/>
      <c r="G861" s="17"/>
    </row>
    <row r="862" spans="1:7" x14ac:dyDescent="0.3">
      <c r="A862" s="17"/>
      <c r="B862" s="17"/>
      <c r="C862" s="17"/>
      <c r="D862" s="17"/>
      <c r="E862" s="17"/>
      <c r="F862" s="17"/>
      <c r="G862" s="17"/>
    </row>
    <row r="863" spans="1:7" x14ac:dyDescent="0.3">
      <c r="A863" s="17"/>
      <c r="B863" s="17"/>
      <c r="C863" s="17"/>
      <c r="D863" s="17"/>
      <c r="E863" s="17"/>
      <c r="F863" s="17"/>
      <c r="G863" s="17"/>
    </row>
    <row r="864" spans="1:7" x14ac:dyDescent="0.3">
      <c r="A864" s="17"/>
      <c r="B864" s="17"/>
      <c r="C864" s="17"/>
      <c r="D864" s="17"/>
      <c r="E864" s="17"/>
      <c r="F864" s="17"/>
      <c r="G864" s="17"/>
    </row>
    <row r="865" spans="1:7" x14ac:dyDescent="0.3">
      <c r="A865" s="17"/>
      <c r="B865" s="17"/>
      <c r="C865" s="17"/>
      <c r="D865" s="17"/>
      <c r="E865" s="17"/>
      <c r="F865" s="17"/>
      <c r="G865" s="17"/>
    </row>
    <row r="866" spans="1:7" x14ac:dyDescent="0.3">
      <c r="A866" s="17"/>
      <c r="B866" s="17"/>
      <c r="C866" s="17"/>
      <c r="D866" s="17"/>
      <c r="E866" s="17"/>
      <c r="F866" s="17"/>
      <c r="G866" s="17"/>
    </row>
    <row r="867" spans="1:7" x14ac:dyDescent="0.3">
      <c r="A867" s="17"/>
      <c r="B867" s="17"/>
      <c r="C867" s="17"/>
      <c r="D867" s="17"/>
      <c r="E867" s="17"/>
      <c r="F867" s="17"/>
      <c r="G867" s="17"/>
    </row>
    <row r="868" spans="1:7" s="6" customFormat="1" x14ac:dyDescent="0.3">
      <c r="A868" s="18"/>
      <c r="B868" s="18"/>
      <c r="C868" s="18"/>
      <c r="D868" s="18"/>
      <c r="E868" s="18"/>
      <c r="F868" s="18"/>
      <c r="G868" s="18"/>
    </row>
    <row r="869" spans="1:7" x14ac:dyDescent="0.3">
      <c r="A869" s="17"/>
      <c r="B869" s="17"/>
      <c r="C869" s="17"/>
      <c r="D869" s="17"/>
      <c r="E869" s="17"/>
      <c r="F869" s="17"/>
      <c r="G869" s="17"/>
    </row>
    <row r="870" spans="1:7" x14ac:dyDescent="0.3">
      <c r="A870" s="17"/>
      <c r="B870" s="17"/>
      <c r="C870" s="17"/>
      <c r="D870" s="17"/>
      <c r="E870" s="17"/>
      <c r="F870" s="17"/>
      <c r="G870" s="17"/>
    </row>
    <row r="871" spans="1:7" x14ac:dyDescent="0.3">
      <c r="A871" s="17"/>
      <c r="B871" s="17"/>
      <c r="C871" s="17"/>
      <c r="D871" s="17"/>
      <c r="E871" s="17"/>
      <c r="F871" s="17"/>
      <c r="G871" s="17"/>
    </row>
    <row r="872" spans="1:7" x14ac:dyDescent="0.3">
      <c r="A872" s="17"/>
      <c r="B872" s="17"/>
      <c r="C872" s="17"/>
      <c r="D872" s="17"/>
      <c r="E872" s="17"/>
      <c r="F872" s="17"/>
      <c r="G872" s="17"/>
    </row>
    <row r="873" spans="1:7" x14ac:dyDescent="0.3">
      <c r="A873" s="17"/>
      <c r="B873" s="17"/>
      <c r="C873" s="17"/>
      <c r="D873" s="17"/>
      <c r="E873" s="17"/>
      <c r="F873" s="17"/>
      <c r="G873" s="17"/>
    </row>
    <row r="874" spans="1:7" x14ac:dyDescent="0.3">
      <c r="A874" s="17"/>
      <c r="B874" s="17"/>
      <c r="C874" s="17"/>
      <c r="D874" s="17"/>
      <c r="E874" s="17"/>
      <c r="F874" s="17"/>
      <c r="G874" s="17"/>
    </row>
    <row r="875" spans="1:7" x14ac:dyDescent="0.3">
      <c r="A875" s="17"/>
      <c r="B875" s="17"/>
      <c r="C875" s="17"/>
      <c r="D875" s="17"/>
      <c r="E875" s="17"/>
      <c r="F875" s="17"/>
      <c r="G875" s="17"/>
    </row>
    <row r="876" spans="1:7" x14ac:dyDescent="0.3">
      <c r="A876" s="17"/>
      <c r="B876" s="17"/>
      <c r="C876" s="17"/>
      <c r="D876" s="17"/>
      <c r="E876" s="17"/>
      <c r="F876" s="17"/>
      <c r="G876" s="17"/>
    </row>
    <row r="877" spans="1:7" x14ac:dyDescent="0.3">
      <c r="A877" s="17"/>
      <c r="B877" s="17"/>
      <c r="C877" s="17"/>
      <c r="D877" s="17"/>
      <c r="E877" s="17"/>
      <c r="F877" s="17"/>
      <c r="G877" s="17"/>
    </row>
    <row r="878" spans="1:7" x14ac:dyDescent="0.3">
      <c r="A878" s="17"/>
      <c r="B878" s="17"/>
      <c r="C878" s="17"/>
      <c r="D878" s="17"/>
      <c r="E878" s="17"/>
      <c r="F878" s="17"/>
      <c r="G878" s="17"/>
    </row>
    <row r="879" spans="1:7" x14ac:dyDescent="0.3">
      <c r="A879" s="17"/>
      <c r="B879" s="17"/>
      <c r="C879" s="17"/>
      <c r="D879" s="17"/>
      <c r="E879" s="17"/>
      <c r="F879" s="17"/>
      <c r="G879" s="17"/>
    </row>
    <row r="880" spans="1:7" x14ac:dyDescent="0.3">
      <c r="A880" s="17"/>
      <c r="B880" s="17"/>
      <c r="C880" s="17"/>
      <c r="D880" s="17"/>
      <c r="E880" s="17"/>
      <c r="F880" s="17"/>
      <c r="G880" s="17"/>
    </row>
    <row r="881" spans="1:7" x14ac:dyDescent="0.3">
      <c r="A881" s="17"/>
      <c r="B881" s="17"/>
      <c r="C881" s="17"/>
      <c r="D881" s="17"/>
      <c r="E881" s="17"/>
      <c r="F881" s="17"/>
      <c r="G881" s="17"/>
    </row>
    <row r="882" spans="1:7" x14ac:dyDescent="0.3">
      <c r="A882" s="17"/>
      <c r="B882" s="17"/>
      <c r="C882" s="17"/>
      <c r="D882" s="17"/>
      <c r="E882" s="17"/>
      <c r="F882" s="17"/>
      <c r="G882" s="17"/>
    </row>
    <row r="883" spans="1:7" x14ac:dyDescent="0.3">
      <c r="A883" s="17"/>
      <c r="B883" s="17"/>
      <c r="C883" s="17"/>
      <c r="D883" s="17"/>
      <c r="E883" s="17"/>
      <c r="F883" s="17"/>
      <c r="G883" s="17"/>
    </row>
    <row r="884" spans="1:7" x14ac:dyDescent="0.3">
      <c r="A884" s="17"/>
      <c r="B884" s="17"/>
      <c r="C884" s="17"/>
      <c r="D884" s="17"/>
      <c r="E884" s="17"/>
      <c r="F884" s="17"/>
      <c r="G884" s="17"/>
    </row>
    <row r="885" spans="1:7" x14ac:dyDescent="0.3">
      <c r="A885" s="17"/>
      <c r="B885" s="17"/>
      <c r="C885" s="17"/>
      <c r="D885" s="17"/>
      <c r="E885" s="17"/>
      <c r="F885" s="17"/>
      <c r="G885" s="17"/>
    </row>
    <row r="886" spans="1:7" x14ac:dyDescent="0.3">
      <c r="A886" s="17"/>
      <c r="B886" s="17"/>
      <c r="C886" s="17"/>
      <c r="D886" s="17"/>
      <c r="E886" s="17"/>
      <c r="F886" s="17"/>
      <c r="G886" s="17"/>
    </row>
    <row r="887" spans="1:7" x14ac:dyDescent="0.3">
      <c r="A887" s="17"/>
      <c r="B887" s="17"/>
      <c r="C887" s="17"/>
      <c r="D887" s="17"/>
      <c r="E887" s="17"/>
      <c r="F887" s="17"/>
      <c r="G887" s="17"/>
    </row>
    <row r="888" spans="1:7" x14ac:dyDescent="0.3">
      <c r="A888" s="17"/>
      <c r="B888" s="17"/>
      <c r="C888" s="17"/>
      <c r="D888" s="17"/>
      <c r="E888" s="17"/>
      <c r="F888" s="17"/>
      <c r="G888" s="17"/>
    </row>
    <row r="889" spans="1:7" x14ac:dyDescent="0.3">
      <c r="A889" s="17"/>
      <c r="B889" s="17"/>
      <c r="C889" s="17"/>
      <c r="D889" s="17"/>
      <c r="E889" s="17"/>
      <c r="F889" s="17"/>
      <c r="G889" s="17"/>
    </row>
    <row r="890" spans="1:7" x14ac:dyDescent="0.3">
      <c r="A890" s="17"/>
      <c r="B890" s="17"/>
      <c r="C890" s="17"/>
      <c r="D890" s="17"/>
      <c r="E890" s="17"/>
      <c r="F890" s="17"/>
      <c r="G890" s="17"/>
    </row>
    <row r="891" spans="1:7" x14ac:dyDescent="0.3">
      <c r="A891" s="17"/>
      <c r="B891" s="17"/>
      <c r="C891" s="17"/>
      <c r="D891" s="17"/>
      <c r="E891" s="17"/>
      <c r="F891" s="17"/>
      <c r="G891" s="17"/>
    </row>
    <row r="892" spans="1:7" x14ac:dyDescent="0.3">
      <c r="A892" s="17"/>
      <c r="B892" s="17"/>
      <c r="C892" s="17"/>
      <c r="D892" s="17"/>
      <c r="E892" s="17"/>
      <c r="F892" s="17"/>
      <c r="G892" s="17"/>
    </row>
    <row r="893" spans="1:7" x14ac:dyDescent="0.3">
      <c r="A893" s="17"/>
      <c r="B893" s="17"/>
      <c r="C893" s="17"/>
      <c r="D893" s="17"/>
      <c r="E893" s="17"/>
      <c r="F893" s="17"/>
      <c r="G893" s="17"/>
    </row>
    <row r="894" spans="1:7" x14ac:dyDescent="0.3">
      <c r="A894" s="17"/>
      <c r="B894" s="17"/>
      <c r="C894" s="17"/>
      <c r="D894" s="17"/>
      <c r="E894" s="17"/>
      <c r="F894" s="17"/>
      <c r="G894" s="17"/>
    </row>
    <row r="895" spans="1:7" x14ac:dyDescent="0.3">
      <c r="A895" s="17"/>
      <c r="B895" s="17"/>
      <c r="C895" s="17"/>
      <c r="D895" s="17"/>
      <c r="E895" s="17"/>
      <c r="F895" s="17"/>
      <c r="G895" s="17"/>
    </row>
    <row r="896" spans="1:7" x14ac:dyDescent="0.3">
      <c r="A896" s="17"/>
      <c r="B896" s="17"/>
      <c r="C896" s="17"/>
      <c r="D896" s="17"/>
      <c r="E896" s="17"/>
      <c r="F896" s="17"/>
      <c r="G896" s="17"/>
    </row>
    <row r="897" spans="1:7" x14ac:dyDescent="0.3">
      <c r="A897" s="17"/>
      <c r="B897" s="17"/>
      <c r="C897" s="17"/>
      <c r="D897" s="17"/>
      <c r="E897" s="17"/>
      <c r="F897" s="17"/>
      <c r="G897" s="17"/>
    </row>
    <row r="898" spans="1:7" x14ac:dyDescent="0.3">
      <c r="A898" s="17"/>
      <c r="B898" s="17"/>
      <c r="C898" s="17"/>
      <c r="D898" s="17"/>
      <c r="E898" s="17"/>
      <c r="F898" s="17"/>
      <c r="G898" s="17"/>
    </row>
    <row r="899" spans="1:7" x14ac:dyDescent="0.3">
      <c r="A899" s="17"/>
      <c r="B899" s="17"/>
      <c r="C899" s="17"/>
      <c r="D899" s="17"/>
      <c r="E899" s="17"/>
      <c r="F899" s="17"/>
      <c r="G899" s="17"/>
    </row>
    <row r="900" spans="1:7" x14ac:dyDescent="0.3">
      <c r="A900" s="17"/>
      <c r="B900" s="17"/>
      <c r="C900" s="17"/>
      <c r="D900" s="17"/>
      <c r="E900" s="17"/>
      <c r="F900" s="17"/>
      <c r="G900" s="17"/>
    </row>
    <row r="901" spans="1:7" x14ac:dyDescent="0.3">
      <c r="A901" s="17"/>
      <c r="B901" s="17"/>
      <c r="C901" s="17"/>
      <c r="D901" s="17"/>
      <c r="E901" s="17"/>
      <c r="F901" s="17"/>
      <c r="G901" s="17"/>
    </row>
    <row r="902" spans="1:7" x14ac:dyDescent="0.3">
      <c r="A902" s="17"/>
      <c r="B902" s="17"/>
      <c r="C902" s="17"/>
      <c r="D902" s="17"/>
      <c r="E902" s="17"/>
      <c r="F902" s="17"/>
      <c r="G902" s="17"/>
    </row>
    <row r="903" spans="1:7" x14ac:dyDescent="0.3">
      <c r="A903" s="17"/>
      <c r="B903" s="17"/>
      <c r="C903" s="17"/>
      <c r="D903" s="17"/>
      <c r="E903" s="17"/>
      <c r="F903" s="17"/>
      <c r="G903" s="17"/>
    </row>
    <row r="904" spans="1:7" x14ac:dyDescent="0.3">
      <c r="A904" s="17"/>
      <c r="B904" s="17"/>
      <c r="C904" s="17"/>
      <c r="D904" s="17"/>
      <c r="E904" s="17"/>
      <c r="F904" s="17"/>
      <c r="G904" s="17"/>
    </row>
    <row r="905" spans="1:7" x14ac:dyDescent="0.3">
      <c r="A905" s="17"/>
      <c r="B905" s="17"/>
      <c r="C905" s="17"/>
      <c r="D905" s="17"/>
      <c r="E905" s="17"/>
      <c r="F905" s="17"/>
      <c r="G905" s="17"/>
    </row>
    <row r="906" spans="1:7" x14ac:dyDescent="0.3">
      <c r="A906" s="17"/>
      <c r="B906" s="17"/>
      <c r="C906" s="17"/>
      <c r="D906" s="17"/>
      <c r="E906" s="17"/>
      <c r="F906" s="17"/>
      <c r="G906" s="17"/>
    </row>
    <row r="907" spans="1:7" x14ac:dyDescent="0.3">
      <c r="A907" s="17"/>
      <c r="B907" s="17"/>
      <c r="C907" s="17"/>
      <c r="D907" s="17"/>
      <c r="E907" s="17"/>
      <c r="F907" s="17"/>
      <c r="G907" s="17"/>
    </row>
    <row r="908" spans="1:7" x14ac:dyDescent="0.3">
      <c r="A908" s="17"/>
      <c r="B908" s="17"/>
      <c r="C908" s="17"/>
      <c r="D908" s="17"/>
      <c r="E908" s="17"/>
      <c r="F908" s="17"/>
      <c r="G908" s="17"/>
    </row>
    <row r="909" spans="1:7" x14ac:dyDescent="0.3">
      <c r="A909" s="17"/>
      <c r="B909" s="17"/>
      <c r="C909" s="17"/>
      <c r="D909" s="17"/>
      <c r="E909" s="17"/>
      <c r="F909" s="17"/>
      <c r="G909" s="17"/>
    </row>
    <row r="910" spans="1:7" x14ac:dyDescent="0.3">
      <c r="A910" s="17"/>
      <c r="B910" s="17"/>
      <c r="C910" s="17"/>
      <c r="D910" s="17"/>
      <c r="E910" s="17"/>
      <c r="F910" s="17"/>
      <c r="G910" s="17"/>
    </row>
    <row r="911" spans="1:7" x14ac:dyDescent="0.3">
      <c r="A911" s="17"/>
      <c r="B911" s="17"/>
      <c r="C911" s="17"/>
      <c r="D911" s="17"/>
      <c r="E911" s="17"/>
      <c r="F911" s="17"/>
      <c r="G911" s="17"/>
    </row>
    <row r="912" spans="1:7" x14ac:dyDescent="0.3">
      <c r="A912" s="17"/>
      <c r="B912" s="17"/>
      <c r="C912" s="17"/>
      <c r="D912" s="17"/>
      <c r="E912" s="17"/>
      <c r="F912" s="17"/>
      <c r="G912" s="17"/>
    </row>
    <row r="913" spans="1:7" x14ac:dyDescent="0.3">
      <c r="A913" s="17"/>
      <c r="B913" s="17"/>
      <c r="C913" s="17"/>
      <c r="D913" s="17"/>
      <c r="E913" s="17"/>
      <c r="F913" s="17"/>
      <c r="G913" s="17"/>
    </row>
    <row r="914" spans="1:7" x14ac:dyDescent="0.3">
      <c r="A914" s="17"/>
      <c r="B914" s="17"/>
      <c r="C914" s="17"/>
      <c r="D914" s="17"/>
      <c r="E914" s="17"/>
      <c r="F914" s="17"/>
      <c r="G914" s="17"/>
    </row>
    <row r="915" spans="1:7" x14ac:dyDescent="0.3">
      <c r="A915" s="17"/>
      <c r="B915" s="17"/>
      <c r="C915" s="17"/>
      <c r="D915" s="17"/>
      <c r="E915" s="17"/>
      <c r="F915" s="17"/>
      <c r="G915" s="17"/>
    </row>
    <row r="916" spans="1:7" x14ac:dyDescent="0.3">
      <c r="A916" s="17"/>
      <c r="B916" s="17"/>
      <c r="C916" s="17"/>
      <c r="D916" s="17"/>
      <c r="E916" s="17"/>
      <c r="F916" s="17"/>
      <c r="G916" s="17"/>
    </row>
    <row r="917" spans="1:7" x14ac:dyDescent="0.3">
      <c r="A917" s="17"/>
      <c r="B917" s="17"/>
      <c r="C917" s="17"/>
      <c r="D917" s="17"/>
      <c r="E917" s="17"/>
      <c r="F917" s="17"/>
      <c r="G917" s="17"/>
    </row>
    <row r="918" spans="1:7" x14ac:dyDescent="0.3">
      <c r="A918" s="17"/>
      <c r="B918" s="17"/>
      <c r="C918" s="17"/>
      <c r="D918" s="17"/>
      <c r="E918" s="17"/>
      <c r="F918" s="17"/>
      <c r="G918" s="17"/>
    </row>
    <row r="919" spans="1:7" x14ac:dyDescent="0.3">
      <c r="A919" s="17"/>
      <c r="B919" s="17"/>
      <c r="C919" s="17"/>
      <c r="D919" s="17"/>
      <c r="E919" s="17"/>
      <c r="F919" s="17"/>
      <c r="G919" s="17"/>
    </row>
    <row r="920" spans="1:7" x14ac:dyDescent="0.3">
      <c r="A920" s="17"/>
      <c r="B920" s="17"/>
      <c r="C920" s="17"/>
      <c r="D920" s="17"/>
      <c r="E920" s="17"/>
      <c r="F920" s="17"/>
      <c r="G920" s="17"/>
    </row>
    <row r="921" spans="1:7" x14ac:dyDescent="0.3">
      <c r="A921" s="17"/>
      <c r="B921" s="17"/>
      <c r="C921" s="17"/>
      <c r="D921" s="17"/>
      <c r="E921" s="17"/>
      <c r="F921" s="17"/>
      <c r="G921" s="17"/>
    </row>
    <row r="922" spans="1:7" x14ac:dyDescent="0.3">
      <c r="A922" s="17"/>
      <c r="B922" s="17"/>
      <c r="C922" s="17"/>
      <c r="D922" s="17"/>
      <c r="E922" s="17"/>
      <c r="F922" s="17"/>
      <c r="G922" s="17"/>
    </row>
    <row r="923" spans="1:7" x14ac:dyDescent="0.3">
      <c r="A923" s="17"/>
      <c r="B923" s="17"/>
      <c r="C923" s="17"/>
      <c r="D923" s="17"/>
      <c r="E923" s="17"/>
      <c r="F923" s="17"/>
      <c r="G923" s="17"/>
    </row>
    <row r="924" spans="1:7" x14ac:dyDescent="0.3">
      <c r="A924" s="17"/>
      <c r="B924" s="17"/>
      <c r="C924" s="17"/>
      <c r="D924" s="17"/>
      <c r="E924" s="17"/>
      <c r="F924" s="17"/>
      <c r="G924" s="17"/>
    </row>
    <row r="925" spans="1:7" x14ac:dyDescent="0.3">
      <c r="A925" s="17"/>
      <c r="B925" s="17"/>
      <c r="C925" s="17"/>
      <c r="D925" s="17"/>
      <c r="E925" s="17"/>
      <c r="F925" s="17"/>
      <c r="G925" s="17"/>
    </row>
    <row r="926" spans="1:7" x14ac:dyDescent="0.3">
      <c r="A926" s="17"/>
      <c r="B926" s="17"/>
      <c r="C926" s="17"/>
      <c r="D926" s="17"/>
      <c r="E926" s="17"/>
      <c r="F926" s="17"/>
      <c r="G926" s="17"/>
    </row>
    <row r="927" spans="1:7" x14ac:dyDescent="0.3">
      <c r="A927" s="17"/>
      <c r="B927" s="17"/>
      <c r="C927" s="17"/>
      <c r="D927" s="17"/>
      <c r="E927" s="17"/>
      <c r="F927" s="17"/>
      <c r="G927" s="17"/>
    </row>
    <row r="928" spans="1:7" x14ac:dyDescent="0.3">
      <c r="A928" s="17"/>
      <c r="B928" s="17"/>
      <c r="C928" s="17"/>
      <c r="D928" s="17"/>
      <c r="E928" s="17"/>
      <c r="F928" s="17"/>
      <c r="G928" s="17"/>
    </row>
    <row r="929" spans="1:7" x14ac:dyDescent="0.3">
      <c r="A929" s="17"/>
      <c r="B929" s="17"/>
      <c r="C929" s="17"/>
      <c r="D929" s="17"/>
      <c r="E929" s="17"/>
      <c r="F929" s="17"/>
      <c r="G929" s="17"/>
    </row>
    <row r="930" spans="1:7" x14ac:dyDescent="0.3">
      <c r="A930" s="17"/>
      <c r="B930" s="17"/>
      <c r="C930" s="17"/>
      <c r="D930" s="17"/>
      <c r="E930" s="17"/>
      <c r="F930" s="17"/>
      <c r="G930" s="17"/>
    </row>
    <row r="931" spans="1:7" x14ac:dyDescent="0.3">
      <c r="A931" s="17"/>
      <c r="B931" s="17"/>
      <c r="C931" s="17"/>
      <c r="D931" s="17"/>
      <c r="E931" s="17"/>
      <c r="F931" s="17"/>
      <c r="G931" s="17"/>
    </row>
    <row r="932" spans="1:7" x14ac:dyDescent="0.3">
      <c r="A932" s="17"/>
      <c r="B932" s="17"/>
      <c r="C932" s="17"/>
      <c r="D932" s="17"/>
      <c r="E932" s="17"/>
      <c r="F932" s="17"/>
      <c r="G932" s="17"/>
    </row>
    <row r="933" spans="1:7" x14ac:dyDescent="0.3">
      <c r="A933" s="17"/>
      <c r="B933" s="17"/>
      <c r="C933" s="17"/>
      <c r="D933" s="17"/>
      <c r="E933" s="17"/>
      <c r="F933" s="17"/>
      <c r="G933" s="17"/>
    </row>
    <row r="934" spans="1:7" x14ac:dyDescent="0.3">
      <c r="A934" s="17"/>
      <c r="B934" s="17"/>
      <c r="C934" s="17"/>
      <c r="D934" s="17"/>
      <c r="E934" s="17"/>
      <c r="F934" s="17"/>
      <c r="G934" s="17"/>
    </row>
    <row r="935" spans="1:7" x14ac:dyDescent="0.3">
      <c r="A935" s="17"/>
      <c r="B935" s="17"/>
      <c r="C935" s="17"/>
      <c r="D935" s="17"/>
      <c r="E935" s="17"/>
      <c r="F935" s="17"/>
      <c r="G935" s="17"/>
    </row>
    <row r="936" spans="1:7" x14ac:dyDescent="0.3">
      <c r="A936" s="17"/>
      <c r="B936" s="17"/>
      <c r="C936" s="17"/>
      <c r="D936" s="17"/>
      <c r="E936" s="17"/>
      <c r="F936" s="17"/>
      <c r="G936" s="17"/>
    </row>
    <row r="937" spans="1:7" x14ac:dyDescent="0.3">
      <c r="A937" s="17"/>
      <c r="B937" s="17"/>
      <c r="C937" s="17"/>
      <c r="D937" s="17"/>
      <c r="E937" s="17"/>
      <c r="F937" s="17"/>
      <c r="G937" s="17"/>
    </row>
    <row r="938" spans="1:7" x14ac:dyDescent="0.3">
      <c r="A938" s="17"/>
      <c r="B938" s="17"/>
      <c r="C938" s="17"/>
      <c r="D938" s="17"/>
      <c r="E938" s="17"/>
      <c r="F938" s="17"/>
      <c r="G938" s="17"/>
    </row>
    <row r="939" spans="1:7" x14ac:dyDescent="0.3">
      <c r="A939" s="17"/>
      <c r="B939" s="17"/>
      <c r="C939" s="17"/>
      <c r="D939" s="17"/>
      <c r="E939" s="17"/>
      <c r="F939" s="17"/>
      <c r="G939" s="17"/>
    </row>
    <row r="940" spans="1:7" x14ac:dyDescent="0.3">
      <c r="A940" s="17"/>
      <c r="B940" s="17"/>
      <c r="C940" s="17"/>
      <c r="D940" s="17"/>
      <c r="E940" s="17"/>
      <c r="F940" s="17"/>
      <c r="G940" s="17"/>
    </row>
    <row r="941" spans="1:7" x14ac:dyDescent="0.3">
      <c r="A941" s="17"/>
      <c r="B941" s="17"/>
      <c r="C941" s="17"/>
      <c r="D941" s="17"/>
      <c r="E941" s="17"/>
      <c r="F941" s="17"/>
      <c r="G941" s="17"/>
    </row>
    <row r="942" spans="1:7" x14ac:dyDescent="0.3">
      <c r="A942" s="17"/>
      <c r="B942" s="17"/>
      <c r="C942" s="17"/>
      <c r="D942" s="17"/>
      <c r="E942" s="17"/>
      <c r="F942" s="17"/>
      <c r="G942" s="17"/>
    </row>
    <row r="943" spans="1:7" x14ac:dyDescent="0.3">
      <c r="A943" s="17"/>
      <c r="B943" s="17"/>
      <c r="C943" s="17"/>
      <c r="D943" s="17"/>
      <c r="E943" s="17"/>
      <c r="F943" s="17"/>
      <c r="G943" s="17"/>
    </row>
    <row r="944" spans="1:7" x14ac:dyDescent="0.3">
      <c r="A944" s="17"/>
      <c r="B944" s="17"/>
      <c r="C944" s="17"/>
      <c r="D944" s="17"/>
      <c r="E944" s="17"/>
      <c r="F944" s="17"/>
      <c r="G944" s="17"/>
    </row>
    <row r="945" spans="1:7" x14ac:dyDescent="0.3">
      <c r="A945" s="17"/>
      <c r="B945" s="17"/>
      <c r="C945" s="17"/>
      <c r="D945" s="17"/>
      <c r="E945" s="17"/>
      <c r="F945" s="17"/>
      <c r="G945" s="17"/>
    </row>
    <row r="946" spans="1:7" x14ac:dyDescent="0.3">
      <c r="A946" s="17"/>
      <c r="B946" s="17"/>
      <c r="C946" s="17"/>
      <c r="D946" s="17"/>
      <c r="E946" s="17"/>
      <c r="F946" s="17"/>
      <c r="G946" s="17"/>
    </row>
    <row r="947" spans="1:7" x14ac:dyDescent="0.3">
      <c r="A947" s="17"/>
      <c r="B947" s="17"/>
      <c r="C947" s="17"/>
      <c r="D947" s="17"/>
      <c r="E947" s="17"/>
      <c r="F947" s="17"/>
      <c r="G947" s="17"/>
    </row>
    <row r="948" spans="1:7" x14ac:dyDescent="0.3">
      <c r="A948" s="17"/>
      <c r="B948" s="17"/>
      <c r="C948" s="17"/>
      <c r="D948" s="17"/>
      <c r="E948" s="17"/>
      <c r="F948" s="17"/>
      <c r="G948" s="17"/>
    </row>
    <row r="949" spans="1:7" x14ac:dyDescent="0.3">
      <c r="A949" s="17"/>
      <c r="B949" s="17"/>
      <c r="C949" s="17"/>
      <c r="D949" s="17"/>
      <c r="E949" s="17"/>
      <c r="F949" s="17"/>
      <c r="G949" s="17"/>
    </row>
    <row r="950" spans="1:7" x14ac:dyDescent="0.3">
      <c r="A950" s="17"/>
      <c r="B950" s="17"/>
      <c r="C950" s="17"/>
      <c r="D950" s="17"/>
      <c r="E950" s="17"/>
      <c r="F950" s="17"/>
      <c r="G950" s="17"/>
    </row>
    <row r="951" spans="1:7" x14ac:dyDescent="0.3">
      <c r="A951" s="17"/>
      <c r="B951" s="17"/>
      <c r="C951" s="17"/>
      <c r="D951" s="17"/>
      <c r="E951" s="17"/>
      <c r="F951" s="17"/>
      <c r="G951" s="17"/>
    </row>
    <row r="952" spans="1:7" x14ac:dyDescent="0.3">
      <c r="A952" s="17"/>
      <c r="B952" s="17"/>
      <c r="C952" s="17"/>
      <c r="D952" s="17"/>
      <c r="E952" s="17"/>
      <c r="F952" s="17"/>
      <c r="G952" s="17"/>
    </row>
    <row r="953" spans="1:7" x14ac:dyDescent="0.3">
      <c r="A953" s="17"/>
      <c r="B953" s="17"/>
      <c r="C953" s="17"/>
      <c r="D953" s="17"/>
      <c r="E953" s="17"/>
      <c r="F953" s="17"/>
      <c r="G953" s="17"/>
    </row>
    <row r="954" spans="1:7" x14ac:dyDescent="0.3">
      <c r="A954" s="17"/>
      <c r="B954" s="17"/>
      <c r="C954" s="17"/>
      <c r="D954" s="17"/>
      <c r="E954" s="17"/>
      <c r="F954" s="17"/>
      <c r="G954" s="17"/>
    </row>
    <row r="955" spans="1:7" x14ac:dyDescent="0.3">
      <c r="A955" s="17"/>
      <c r="B955" s="17"/>
      <c r="C955" s="17"/>
      <c r="D955" s="17"/>
      <c r="E955" s="17"/>
      <c r="F955" s="17"/>
      <c r="G955" s="17"/>
    </row>
    <row r="956" spans="1:7" x14ac:dyDescent="0.3">
      <c r="A956" s="17"/>
      <c r="B956" s="17"/>
      <c r="C956" s="17"/>
      <c r="D956" s="17"/>
      <c r="E956" s="17"/>
      <c r="F956" s="17"/>
      <c r="G956" s="17"/>
    </row>
    <row r="957" spans="1:7" x14ac:dyDescent="0.3">
      <c r="A957" s="17"/>
      <c r="B957" s="17"/>
      <c r="C957" s="17"/>
      <c r="D957" s="17"/>
      <c r="E957" s="17"/>
      <c r="F957" s="17"/>
      <c r="G957" s="17"/>
    </row>
    <row r="958" spans="1:7" x14ac:dyDescent="0.3">
      <c r="A958" s="17"/>
      <c r="B958" s="17"/>
      <c r="C958" s="17"/>
      <c r="D958" s="17"/>
      <c r="E958" s="17"/>
      <c r="F958" s="17"/>
      <c r="G958" s="17"/>
    </row>
    <row r="959" spans="1:7" x14ac:dyDescent="0.3">
      <c r="A959" s="17"/>
      <c r="B959" s="17"/>
      <c r="C959" s="17"/>
      <c r="D959" s="17"/>
      <c r="E959" s="17"/>
      <c r="F959" s="17"/>
      <c r="G959" s="17"/>
    </row>
    <row r="960" spans="1:7" x14ac:dyDescent="0.3">
      <c r="A960" s="17"/>
      <c r="B960" s="17"/>
      <c r="C960" s="17"/>
      <c r="D960" s="17"/>
      <c r="E960" s="17"/>
      <c r="F960" s="17"/>
      <c r="G960" s="17"/>
    </row>
    <row r="961" spans="1:7" x14ac:dyDescent="0.3">
      <c r="A961" s="17"/>
      <c r="B961" s="17"/>
      <c r="C961" s="17"/>
      <c r="D961" s="17"/>
      <c r="E961" s="17"/>
      <c r="F961" s="17"/>
      <c r="G961" s="17"/>
    </row>
    <row r="962" spans="1:7" s="15" customFormat="1" x14ac:dyDescent="0.3">
      <c r="A962" s="19"/>
      <c r="B962" s="19"/>
      <c r="C962" s="19"/>
      <c r="D962" s="19"/>
      <c r="E962" s="19"/>
      <c r="F962" s="19"/>
      <c r="G962" s="19"/>
    </row>
    <row r="963" spans="1:7" x14ac:dyDescent="0.3">
      <c r="A963" s="17"/>
      <c r="B963" s="17"/>
      <c r="C963" s="17"/>
      <c r="D963" s="17"/>
      <c r="E963" s="17"/>
      <c r="F963" s="17"/>
      <c r="G963" s="17"/>
    </row>
    <row r="964" spans="1:7" s="6" customFormat="1" x14ac:dyDescent="0.3">
      <c r="A964" s="18"/>
      <c r="B964" s="18"/>
      <c r="C964" s="18"/>
      <c r="D964" s="18"/>
      <c r="E964" s="18"/>
      <c r="F964" s="18"/>
      <c r="G964" s="18"/>
    </row>
    <row r="965" spans="1:7" x14ac:dyDescent="0.3">
      <c r="A965" s="17"/>
      <c r="B965" s="17"/>
      <c r="C965" s="17"/>
      <c r="D965" s="17"/>
      <c r="E965" s="17"/>
      <c r="F965" s="17"/>
      <c r="G965" s="17"/>
    </row>
    <row r="966" spans="1:7" x14ac:dyDescent="0.3">
      <c r="A966" s="17"/>
      <c r="B966" s="17"/>
      <c r="C966" s="17"/>
      <c r="D966" s="17"/>
      <c r="E966" s="17"/>
      <c r="F966" s="17"/>
      <c r="G966" s="17"/>
    </row>
    <row r="967" spans="1:7" x14ac:dyDescent="0.3">
      <c r="A967" s="17"/>
      <c r="B967" s="17"/>
      <c r="C967" s="17"/>
      <c r="D967" s="17"/>
      <c r="E967" s="17"/>
      <c r="F967" s="17"/>
      <c r="G967" s="17"/>
    </row>
    <row r="968" spans="1:7" x14ac:dyDescent="0.3">
      <c r="A968" s="17"/>
      <c r="B968" s="17"/>
      <c r="C968" s="17"/>
      <c r="D968" s="17"/>
      <c r="E968" s="17"/>
      <c r="F968" s="17"/>
      <c r="G968" s="17"/>
    </row>
    <row r="969" spans="1:7" x14ac:dyDescent="0.3">
      <c r="A969" s="17"/>
      <c r="B969" s="17"/>
      <c r="C969" s="17"/>
      <c r="D969" s="17"/>
      <c r="E969" s="17"/>
      <c r="F969" s="17"/>
      <c r="G969" s="17"/>
    </row>
    <row r="970" spans="1:7" x14ac:dyDescent="0.3">
      <c r="A970" s="17"/>
      <c r="B970" s="17"/>
      <c r="C970" s="17"/>
      <c r="D970" s="17"/>
      <c r="E970" s="17"/>
      <c r="F970" s="17"/>
      <c r="G970" s="17"/>
    </row>
    <row r="971" spans="1:7" x14ac:dyDescent="0.3">
      <c r="A971" s="17"/>
      <c r="B971" s="17"/>
      <c r="C971" s="17"/>
      <c r="D971" s="17"/>
      <c r="E971" s="17"/>
      <c r="F971" s="17"/>
      <c r="G971" s="17"/>
    </row>
    <row r="972" spans="1:7" x14ac:dyDescent="0.3">
      <c r="A972" s="17"/>
      <c r="B972" s="17"/>
      <c r="C972" s="17"/>
      <c r="D972" s="17"/>
      <c r="E972" s="17"/>
      <c r="F972" s="17"/>
      <c r="G972" s="17"/>
    </row>
    <row r="973" spans="1:7" x14ac:dyDescent="0.3">
      <c r="A973" s="17"/>
      <c r="B973" s="17"/>
      <c r="C973" s="17"/>
      <c r="D973" s="17"/>
      <c r="E973" s="17"/>
      <c r="F973" s="17"/>
      <c r="G973" s="17"/>
    </row>
    <row r="974" spans="1:7" x14ac:dyDescent="0.3">
      <c r="A974" s="17"/>
      <c r="B974" s="17"/>
      <c r="C974" s="17"/>
      <c r="D974" s="17"/>
      <c r="E974" s="17"/>
      <c r="F974" s="17"/>
      <c r="G974" s="17"/>
    </row>
    <row r="975" spans="1:7" x14ac:dyDescent="0.3">
      <c r="A975" s="17"/>
      <c r="B975" s="17"/>
      <c r="C975" s="17"/>
      <c r="D975" s="17"/>
      <c r="E975" s="17"/>
      <c r="F975" s="17"/>
      <c r="G975" s="17"/>
    </row>
    <row r="976" spans="1:7" x14ac:dyDescent="0.3">
      <c r="A976" s="17"/>
      <c r="B976" s="17"/>
      <c r="C976" s="17"/>
      <c r="D976" s="17"/>
      <c r="E976" s="17"/>
      <c r="F976" s="17"/>
      <c r="G976" s="17"/>
    </row>
    <row r="977" spans="1:7" x14ac:dyDescent="0.3">
      <c r="A977" s="17"/>
      <c r="B977" s="17"/>
      <c r="C977" s="17"/>
      <c r="D977" s="17"/>
      <c r="E977" s="17"/>
      <c r="F977" s="17"/>
      <c r="G977" s="17"/>
    </row>
    <row r="978" spans="1:7" x14ac:dyDescent="0.3">
      <c r="A978" s="17"/>
      <c r="B978" s="17"/>
      <c r="C978" s="17"/>
      <c r="D978" s="17"/>
      <c r="E978" s="17"/>
      <c r="F978" s="17"/>
      <c r="G978" s="17"/>
    </row>
    <row r="979" spans="1:7" x14ac:dyDescent="0.3">
      <c r="A979" s="17"/>
      <c r="B979" s="17"/>
      <c r="C979" s="17"/>
      <c r="D979" s="17"/>
      <c r="E979" s="17"/>
      <c r="F979" s="17"/>
      <c r="G979" s="17"/>
    </row>
    <row r="980" spans="1:7" x14ac:dyDescent="0.3">
      <c r="A980" s="17"/>
      <c r="B980" s="17"/>
      <c r="C980" s="17"/>
      <c r="D980" s="17"/>
      <c r="E980" s="17"/>
      <c r="F980" s="17"/>
      <c r="G980" s="17"/>
    </row>
    <row r="981" spans="1:7" x14ac:dyDescent="0.3">
      <c r="A981" s="17"/>
      <c r="B981" s="17"/>
      <c r="C981" s="17"/>
      <c r="D981" s="17"/>
      <c r="E981" s="17"/>
      <c r="F981" s="17"/>
      <c r="G981" s="17"/>
    </row>
    <row r="982" spans="1:7" x14ac:dyDescent="0.3">
      <c r="A982" s="17"/>
      <c r="B982" s="17"/>
      <c r="C982" s="17"/>
      <c r="D982" s="17"/>
      <c r="E982" s="17"/>
      <c r="F982" s="17"/>
      <c r="G982" s="17"/>
    </row>
    <row r="983" spans="1:7" x14ac:dyDescent="0.3">
      <c r="A983" s="17"/>
      <c r="B983" s="17"/>
      <c r="C983" s="17"/>
      <c r="D983" s="17"/>
      <c r="E983" s="17"/>
      <c r="F983" s="17"/>
      <c r="G983" s="17"/>
    </row>
    <row r="984" spans="1:7" x14ac:dyDescent="0.3">
      <c r="A984" s="17"/>
      <c r="B984" s="17"/>
      <c r="C984" s="17"/>
      <c r="D984" s="17"/>
      <c r="E984" s="17"/>
      <c r="F984" s="17"/>
      <c r="G984" s="17"/>
    </row>
    <row r="985" spans="1:7" x14ac:dyDescent="0.3">
      <c r="A985" s="17"/>
      <c r="B985" s="17"/>
      <c r="C985" s="17"/>
      <c r="D985" s="17"/>
      <c r="E985" s="17"/>
      <c r="F985" s="17"/>
      <c r="G985" s="17"/>
    </row>
    <row r="986" spans="1:7" x14ac:dyDescent="0.3">
      <c r="A986" s="17"/>
      <c r="B986" s="17"/>
      <c r="C986" s="17"/>
      <c r="D986" s="17"/>
      <c r="E986" s="17"/>
      <c r="F986" s="17"/>
      <c r="G986" s="17"/>
    </row>
    <row r="987" spans="1:7" x14ac:dyDescent="0.3">
      <c r="A987" s="17"/>
      <c r="B987" s="17"/>
      <c r="C987" s="17"/>
      <c r="D987" s="17"/>
      <c r="E987" s="17"/>
      <c r="F987" s="17"/>
      <c r="G987" s="17"/>
    </row>
    <row r="988" spans="1:7" x14ac:dyDescent="0.3">
      <c r="A988" s="17"/>
      <c r="B988" s="17"/>
      <c r="C988" s="17"/>
      <c r="D988" s="17"/>
      <c r="E988" s="17"/>
      <c r="F988" s="17"/>
      <c r="G988" s="17"/>
    </row>
    <row r="989" spans="1:7" x14ac:dyDescent="0.3">
      <c r="A989" s="17"/>
      <c r="B989" s="17"/>
      <c r="C989" s="17"/>
      <c r="D989" s="17"/>
      <c r="E989" s="17"/>
      <c r="F989" s="17"/>
      <c r="G989" s="17"/>
    </row>
    <row r="990" spans="1:7" x14ac:dyDescent="0.3">
      <c r="A990" s="17"/>
      <c r="B990" s="17"/>
      <c r="C990" s="17"/>
      <c r="D990" s="17"/>
      <c r="E990" s="17"/>
      <c r="F990" s="17"/>
      <c r="G990" s="17"/>
    </row>
    <row r="991" spans="1:7" x14ac:dyDescent="0.3">
      <c r="A991" s="17"/>
      <c r="B991" s="17"/>
      <c r="C991" s="17"/>
      <c r="D991" s="17"/>
      <c r="E991" s="17"/>
      <c r="F991" s="17"/>
      <c r="G991" s="17"/>
    </row>
    <row r="992" spans="1:7" x14ac:dyDescent="0.3">
      <c r="A992" s="17"/>
      <c r="B992" s="17"/>
      <c r="C992" s="17"/>
      <c r="D992" s="17"/>
      <c r="E992" s="17"/>
      <c r="F992" s="17"/>
      <c r="G992" s="17"/>
    </row>
    <row r="993" spans="1:7" x14ac:dyDescent="0.3">
      <c r="A993" s="17"/>
      <c r="B993" s="17"/>
      <c r="C993" s="17"/>
      <c r="D993" s="17"/>
      <c r="E993" s="17"/>
      <c r="F993" s="17"/>
      <c r="G993" s="17"/>
    </row>
    <row r="994" spans="1:7" x14ac:dyDescent="0.3">
      <c r="A994" s="17"/>
      <c r="B994" s="17"/>
      <c r="C994" s="17"/>
      <c r="D994" s="17"/>
      <c r="E994" s="17"/>
      <c r="F994" s="17"/>
      <c r="G994" s="17"/>
    </row>
    <row r="995" spans="1:7" x14ac:dyDescent="0.3">
      <c r="A995" s="17"/>
      <c r="B995" s="17"/>
      <c r="C995" s="17"/>
      <c r="D995" s="17"/>
      <c r="E995" s="17"/>
      <c r="F995" s="17"/>
      <c r="G995" s="17"/>
    </row>
    <row r="996" spans="1:7" x14ac:dyDescent="0.3">
      <c r="A996" s="17"/>
      <c r="B996" s="17"/>
      <c r="C996" s="17"/>
      <c r="D996" s="17"/>
      <c r="E996" s="17"/>
      <c r="F996" s="17"/>
      <c r="G996" s="17"/>
    </row>
    <row r="997" spans="1:7" x14ac:dyDescent="0.3">
      <c r="A997" s="17"/>
      <c r="B997" s="17"/>
      <c r="C997" s="17"/>
      <c r="D997" s="17"/>
      <c r="E997" s="17"/>
      <c r="F997" s="17"/>
      <c r="G997" s="17"/>
    </row>
    <row r="998" spans="1:7" x14ac:dyDescent="0.3">
      <c r="A998" s="17"/>
      <c r="B998" s="17"/>
      <c r="C998" s="17"/>
      <c r="D998" s="17"/>
      <c r="E998" s="17"/>
      <c r="F998" s="17"/>
      <c r="G998" s="17"/>
    </row>
    <row r="999" spans="1:7" x14ac:dyDescent="0.3">
      <c r="A999" s="17"/>
      <c r="B999" s="17"/>
      <c r="C999" s="17"/>
      <c r="D999" s="17"/>
      <c r="E999" s="17"/>
      <c r="F999" s="17"/>
      <c r="G999" s="17"/>
    </row>
    <row r="1000" spans="1:7" x14ac:dyDescent="0.3">
      <c r="A1000" s="17"/>
      <c r="B1000" s="17"/>
      <c r="C1000" s="17"/>
      <c r="D1000" s="17"/>
      <c r="E1000" s="17"/>
      <c r="F1000" s="17"/>
      <c r="G1000" s="17"/>
    </row>
    <row r="1001" spans="1:7" x14ac:dyDescent="0.3">
      <c r="A1001" s="17"/>
      <c r="B1001" s="17"/>
      <c r="C1001" s="17"/>
      <c r="D1001" s="17"/>
      <c r="E1001" s="17"/>
      <c r="F1001" s="17"/>
      <c r="G1001" s="17"/>
    </row>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row r="1054" customFormat="1" x14ac:dyDescent="0.3"/>
    <row r="1055" customFormat="1" x14ac:dyDescent="0.3"/>
    <row r="1056" customFormat="1" x14ac:dyDescent="0.3"/>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row r="1175" customFormat="1" x14ac:dyDescent="0.3"/>
    <row r="1176" customFormat="1" x14ac:dyDescent="0.3"/>
    <row r="1177" customFormat="1" x14ac:dyDescent="0.3"/>
    <row r="1178" customFormat="1" x14ac:dyDescent="0.3"/>
    <row r="1179" customFormat="1" x14ac:dyDescent="0.3"/>
    <row r="1180" customFormat="1" x14ac:dyDescent="0.3"/>
    <row r="1181" customFormat="1" x14ac:dyDescent="0.3"/>
    <row r="1182" customFormat="1" x14ac:dyDescent="0.3"/>
    <row r="1183" customFormat="1" x14ac:dyDescent="0.3"/>
    <row r="1184" customFormat="1" x14ac:dyDescent="0.3"/>
    <row r="1185" customFormat="1" x14ac:dyDescent="0.3"/>
    <row r="1186" customFormat="1" x14ac:dyDescent="0.3"/>
    <row r="1187" customFormat="1" x14ac:dyDescent="0.3"/>
    <row r="1188" customFormat="1" x14ac:dyDescent="0.3"/>
    <row r="1189" customFormat="1" x14ac:dyDescent="0.3"/>
    <row r="1190" customFormat="1" x14ac:dyDescent="0.3"/>
    <row r="1191" customFormat="1" x14ac:dyDescent="0.3"/>
    <row r="1192" customFormat="1" x14ac:dyDescent="0.3"/>
    <row r="1193" customFormat="1" x14ac:dyDescent="0.3"/>
    <row r="1194" customFormat="1" x14ac:dyDescent="0.3"/>
    <row r="1195" customFormat="1" x14ac:dyDescent="0.3"/>
    <row r="1196" customFormat="1" x14ac:dyDescent="0.3"/>
    <row r="1197" customFormat="1" x14ac:dyDescent="0.3"/>
    <row r="1198" customFormat="1" x14ac:dyDescent="0.3"/>
    <row r="1199" customFormat="1" x14ac:dyDescent="0.3"/>
    <row r="1200" customFormat="1" x14ac:dyDescent="0.3"/>
    <row r="1201" customFormat="1" x14ac:dyDescent="0.3"/>
    <row r="1202" customFormat="1" x14ac:dyDescent="0.3"/>
    <row r="1203" customFormat="1" x14ac:dyDescent="0.3"/>
    <row r="1204" customFormat="1" x14ac:dyDescent="0.3"/>
    <row r="1205" customFormat="1" x14ac:dyDescent="0.3"/>
    <row r="1206" customFormat="1" x14ac:dyDescent="0.3"/>
    <row r="1207" customFormat="1" x14ac:dyDescent="0.3"/>
    <row r="1208" customFormat="1" x14ac:dyDescent="0.3"/>
    <row r="1209" customFormat="1" x14ac:dyDescent="0.3"/>
    <row r="1210" customFormat="1" x14ac:dyDescent="0.3"/>
    <row r="1211" customFormat="1" x14ac:dyDescent="0.3"/>
    <row r="1212" customFormat="1" x14ac:dyDescent="0.3"/>
    <row r="1213" customFormat="1" x14ac:dyDescent="0.3"/>
    <row r="1214" customFormat="1" x14ac:dyDescent="0.3"/>
    <row r="1215" customFormat="1" x14ac:dyDescent="0.3"/>
    <row r="1216" customFormat="1" x14ac:dyDescent="0.3"/>
    <row r="1217" customFormat="1" x14ac:dyDescent="0.3"/>
    <row r="1218" customFormat="1" x14ac:dyDescent="0.3"/>
    <row r="1219" customFormat="1" x14ac:dyDescent="0.3"/>
    <row r="1220" customFormat="1" x14ac:dyDescent="0.3"/>
    <row r="1221" customFormat="1" x14ac:dyDescent="0.3"/>
    <row r="1222" customFormat="1" x14ac:dyDescent="0.3"/>
    <row r="1223" customFormat="1" x14ac:dyDescent="0.3"/>
    <row r="1224" customFormat="1" x14ac:dyDescent="0.3"/>
    <row r="1225" customFormat="1" x14ac:dyDescent="0.3"/>
    <row r="1226" customFormat="1" x14ac:dyDescent="0.3"/>
    <row r="1227" customFormat="1" x14ac:dyDescent="0.3"/>
    <row r="1228" customFormat="1" x14ac:dyDescent="0.3"/>
    <row r="1229" customFormat="1" x14ac:dyDescent="0.3"/>
    <row r="1230" customFormat="1" x14ac:dyDescent="0.3"/>
    <row r="1231" customFormat="1" x14ac:dyDescent="0.3"/>
    <row r="1232" customFormat="1" x14ac:dyDescent="0.3"/>
    <row r="1233" customFormat="1" x14ac:dyDescent="0.3"/>
    <row r="1234" customFormat="1" x14ac:dyDescent="0.3"/>
    <row r="1235" customFormat="1" x14ac:dyDescent="0.3"/>
    <row r="1236" customFormat="1" x14ac:dyDescent="0.3"/>
    <row r="1237" customFormat="1" x14ac:dyDescent="0.3"/>
    <row r="1238" customFormat="1" x14ac:dyDescent="0.3"/>
    <row r="1239" customFormat="1" x14ac:dyDescent="0.3"/>
    <row r="1240" customFormat="1" x14ac:dyDescent="0.3"/>
    <row r="1241" customFormat="1" x14ac:dyDescent="0.3"/>
    <row r="1242" customFormat="1" x14ac:dyDescent="0.3"/>
    <row r="1243" customFormat="1" x14ac:dyDescent="0.3"/>
    <row r="1244" customFormat="1" x14ac:dyDescent="0.3"/>
    <row r="1245" customFormat="1" x14ac:dyDescent="0.3"/>
    <row r="1246" customFormat="1" x14ac:dyDescent="0.3"/>
    <row r="1247" customFormat="1" x14ac:dyDescent="0.3"/>
    <row r="1248" customFormat="1" x14ac:dyDescent="0.3"/>
    <row r="1249" customFormat="1" x14ac:dyDescent="0.3"/>
    <row r="1250" customFormat="1" x14ac:dyDescent="0.3"/>
    <row r="1251" customFormat="1" x14ac:dyDescent="0.3"/>
    <row r="1252" customFormat="1" x14ac:dyDescent="0.3"/>
    <row r="1253" customFormat="1" x14ac:dyDescent="0.3"/>
    <row r="1254" customFormat="1" x14ac:dyDescent="0.3"/>
    <row r="1255" customFormat="1" x14ac:dyDescent="0.3"/>
    <row r="1256" customFormat="1" x14ac:dyDescent="0.3"/>
    <row r="1257" customFormat="1" x14ac:dyDescent="0.3"/>
    <row r="1258" customFormat="1" x14ac:dyDescent="0.3"/>
    <row r="1259" customFormat="1" x14ac:dyDescent="0.3"/>
    <row r="1260" customFormat="1" x14ac:dyDescent="0.3"/>
    <row r="1261" customFormat="1" x14ac:dyDescent="0.3"/>
    <row r="1262" customFormat="1" x14ac:dyDescent="0.3"/>
    <row r="1263" customFormat="1" x14ac:dyDescent="0.3"/>
    <row r="1264" customFormat="1" x14ac:dyDescent="0.3"/>
    <row r="1265" customFormat="1" x14ac:dyDescent="0.3"/>
    <row r="1266" customFormat="1" x14ac:dyDescent="0.3"/>
    <row r="1267" customFormat="1" x14ac:dyDescent="0.3"/>
    <row r="1268" customFormat="1" x14ac:dyDescent="0.3"/>
    <row r="1269" customFormat="1" x14ac:dyDescent="0.3"/>
    <row r="1270" customFormat="1" x14ac:dyDescent="0.3"/>
    <row r="1271" customFormat="1" x14ac:dyDescent="0.3"/>
    <row r="1272" customFormat="1" x14ac:dyDescent="0.3"/>
    <row r="1273" customFormat="1" x14ac:dyDescent="0.3"/>
    <row r="1274" customFormat="1" x14ac:dyDescent="0.3"/>
    <row r="1275" customFormat="1" x14ac:dyDescent="0.3"/>
    <row r="1276" customFormat="1" x14ac:dyDescent="0.3"/>
    <row r="1277" customFormat="1" x14ac:dyDescent="0.3"/>
    <row r="1278" customFormat="1" x14ac:dyDescent="0.3"/>
    <row r="1279" customFormat="1" x14ac:dyDescent="0.3"/>
    <row r="1280" customFormat="1" x14ac:dyDescent="0.3"/>
    <row r="1281" customFormat="1" x14ac:dyDescent="0.3"/>
    <row r="1282" customFormat="1" x14ac:dyDescent="0.3"/>
    <row r="1283" customFormat="1" x14ac:dyDescent="0.3"/>
    <row r="1284" customFormat="1" x14ac:dyDescent="0.3"/>
    <row r="1285" customFormat="1" x14ac:dyDescent="0.3"/>
    <row r="1286" customFormat="1" x14ac:dyDescent="0.3"/>
    <row r="1287" customFormat="1" x14ac:dyDescent="0.3"/>
    <row r="1288" customFormat="1" x14ac:dyDescent="0.3"/>
    <row r="1289" customFormat="1" x14ac:dyDescent="0.3"/>
    <row r="1290" customFormat="1" x14ac:dyDescent="0.3"/>
    <row r="1291" customFormat="1" x14ac:dyDescent="0.3"/>
    <row r="1292" customFormat="1" x14ac:dyDescent="0.3"/>
    <row r="1293" customFormat="1" x14ac:dyDescent="0.3"/>
    <row r="1294" customFormat="1" x14ac:dyDescent="0.3"/>
    <row r="1295" customFormat="1" x14ac:dyDescent="0.3"/>
    <row r="1296" customFormat="1" x14ac:dyDescent="0.3"/>
    <row r="1297" customFormat="1" x14ac:dyDescent="0.3"/>
    <row r="1298" customFormat="1" x14ac:dyDescent="0.3"/>
    <row r="1299" customFormat="1" x14ac:dyDescent="0.3"/>
    <row r="1300" customFormat="1" x14ac:dyDescent="0.3"/>
    <row r="1301" customFormat="1" x14ac:dyDescent="0.3"/>
    <row r="1302" customFormat="1" x14ac:dyDescent="0.3"/>
    <row r="1303" customFormat="1" x14ac:dyDescent="0.3"/>
    <row r="1304" customFormat="1" x14ac:dyDescent="0.3"/>
    <row r="1305" customFormat="1" x14ac:dyDescent="0.3"/>
    <row r="1306" customFormat="1" x14ac:dyDescent="0.3"/>
    <row r="1307" customFormat="1" x14ac:dyDescent="0.3"/>
    <row r="1308" customFormat="1" x14ac:dyDescent="0.3"/>
    <row r="1309" customFormat="1" x14ac:dyDescent="0.3"/>
    <row r="1310" customFormat="1" x14ac:dyDescent="0.3"/>
    <row r="1311" customFormat="1" x14ac:dyDescent="0.3"/>
    <row r="1312" customFormat="1" x14ac:dyDescent="0.3"/>
    <row r="1313" customFormat="1" x14ac:dyDescent="0.3"/>
    <row r="1314" customFormat="1" x14ac:dyDescent="0.3"/>
    <row r="1315" customFormat="1" x14ac:dyDescent="0.3"/>
    <row r="1316" customFormat="1" x14ac:dyDescent="0.3"/>
    <row r="1317" customFormat="1" x14ac:dyDescent="0.3"/>
    <row r="1318" customFormat="1" x14ac:dyDescent="0.3"/>
    <row r="1319" customFormat="1" x14ac:dyDescent="0.3"/>
    <row r="1320" customFormat="1" x14ac:dyDescent="0.3"/>
    <row r="1321" customFormat="1" x14ac:dyDescent="0.3"/>
    <row r="1322" customFormat="1" x14ac:dyDescent="0.3"/>
    <row r="1323" customFormat="1" x14ac:dyDescent="0.3"/>
    <row r="1324" customFormat="1" x14ac:dyDescent="0.3"/>
    <row r="1325" customFormat="1" x14ac:dyDescent="0.3"/>
    <row r="1326" customFormat="1" x14ac:dyDescent="0.3"/>
    <row r="1327" customFormat="1" x14ac:dyDescent="0.3"/>
    <row r="1328" customFormat="1" x14ac:dyDescent="0.3"/>
    <row r="1329" customFormat="1" x14ac:dyDescent="0.3"/>
    <row r="1330" customFormat="1" x14ac:dyDescent="0.3"/>
    <row r="1331" customFormat="1" x14ac:dyDescent="0.3"/>
    <row r="1332" customFormat="1" x14ac:dyDescent="0.3"/>
    <row r="1333" customFormat="1" x14ac:dyDescent="0.3"/>
    <row r="1334" customFormat="1" x14ac:dyDescent="0.3"/>
    <row r="1335" customFormat="1" x14ac:dyDescent="0.3"/>
    <row r="1336" customFormat="1" x14ac:dyDescent="0.3"/>
    <row r="1337" customFormat="1" x14ac:dyDescent="0.3"/>
    <row r="1338" customFormat="1" x14ac:dyDescent="0.3"/>
    <row r="1339" customFormat="1" x14ac:dyDescent="0.3"/>
    <row r="1340" customFormat="1" x14ac:dyDescent="0.3"/>
    <row r="1341" customFormat="1" x14ac:dyDescent="0.3"/>
    <row r="1342" customFormat="1" x14ac:dyDescent="0.3"/>
    <row r="1343" customFormat="1" x14ac:dyDescent="0.3"/>
    <row r="1344" customFormat="1" x14ac:dyDescent="0.3"/>
    <row r="1345" customFormat="1" x14ac:dyDescent="0.3"/>
    <row r="1346" customFormat="1" x14ac:dyDescent="0.3"/>
    <row r="1347" customFormat="1" x14ac:dyDescent="0.3"/>
    <row r="1348" customFormat="1" x14ac:dyDescent="0.3"/>
    <row r="1349" customFormat="1" x14ac:dyDescent="0.3"/>
    <row r="1350" customFormat="1" x14ac:dyDescent="0.3"/>
    <row r="1351" customFormat="1" x14ac:dyDescent="0.3"/>
    <row r="1352" customFormat="1" x14ac:dyDescent="0.3"/>
    <row r="1353" customFormat="1" x14ac:dyDescent="0.3"/>
    <row r="1354" customFormat="1" x14ac:dyDescent="0.3"/>
    <row r="1355" customFormat="1" x14ac:dyDescent="0.3"/>
    <row r="1356" customFormat="1" x14ac:dyDescent="0.3"/>
    <row r="1357" customFormat="1" x14ac:dyDescent="0.3"/>
    <row r="1358" customFormat="1" x14ac:dyDescent="0.3"/>
    <row r="1359" customFormat="1" x14ac:dyDescent="0.3"/>
    <row r="1360" customFormat="1" x14ac:dyDescent="0.3"/>
    <row r="1361" customFormat="1" x14ac:dyDescent="0.3"/>
    <row r="1362" customFormat="1" x14ac:dyDescent="0.3"/>
    <row r="1363" customFormat="1" x14ac:dyDescent="0.3"/>
    <row r="1364" customFormat="1" x14ac:dyDescent="0.3"/>
    <row r="1365" customFormat="1" x14ac:dyDescent="0.3"/>
    <row r="1366" customFormat="1" x14ac:dyDescent="0.3"/>
    <row r="1367" customFormat="1" x14ac:dyDescent="0.3"/>
    <row r="1368" customFormat="1" x14ac:dyDescent="0.3"/>
    <row r="1369" customFormat="1" x14ac:dyDescent="0.3"/>
    <row r="1370" customFormat="1" x14ac:dyDescent="0.3"/>
    <row r="1371" customFormat="1" x14ac:dyDescent="0.3"/>
    <row r="1372" customFormat="1" x14ac:dyDescent="0.3"/>
    <row r="1373" customFormat="1" x14ac:dyDescent="0.3"/>
    <row r="1374" customFormat="1" x14ac:dyDescent="0.3"/>
    <row r="1375" customFormat="1" x14ac:dyDescent="0.3"/>
    <row r="1376" customFormat="1" x14ac:dyDescent="0.3"/>
    <row r="1377" customFormat="1" x14ac:dyDescent="0.3"/>
    <row r="1378" customFormat="1" x14ac:dyDescent="0.3"/>
    <row r="1379" customFormat="1" x14ac:dyDescent="0.3"/>
    <row r="1380" customFormat="1" x14ac:dyDescent="0.3"/>
    <row r="1381" customFormat="1" x14ac:dyDescent="0.3"/>
    <row r="1382" customFormat="1" x14ac:dyDescent="0.3"/>
    <row r="1383" customFormat="1" x14ac:dyDescent="0.3"/>
    <row r="1384" customFormat="1" x14ac:dyDescent="0.3"/>
    <row r="1385" customFormat="1" x14ac:dyDescent="0.3"/>
    <row r="1386" customFormat="1" x14ac:dyDescent="0.3"/>
    <row r="1387" customFormat="1" x14ac:dyDescent="0.3"/>
    <row r="1388" customFormat="1" x14ac:dyDescent="0.3"/>
    <row r="1389" customFormat="1" x14ac:dyDescent="0.3"/>
    <row r="1390" customFormat="1" x14ac:dyDescent="0.3"/>
    <row r="1391" customFormat="1" x14ac:dyDescent="0.3"/>
    <row r="1392" customFormat="1" x14ac:dyDescent="0.3"/>
    <row r="1393" customFormat="1" x14ac:dyDescent="0.3"/>
    <row r="1394" customFormat="1" x14ac:dyDescent="0.3"/>
    <row r="1395" customFormat="1" x14ac:dyDescent="0.3"/>
    <row r="1396" customFormat="1" x14ac:dyDescent="0.3"/>
    <row r="1397" customFormat="1" x14ac:dyDescent="0.3"/>
    <row r="1398" customFormat="1" x14ac:dyDescent="0.3"/>
    <row r="1399" customFormat="1" x14ac:dyDescent="0.3"/>
    <row r="1400" customFormat="1" x14ac:dyDescent="0.3"/>
    <row r="1401" customFormat="1" x14ac:dyDescent="0.3"/>
    <row r="1402" customFormat="1" x14ac:dyDescent="0.3"/>
    <row r="1403" customFormat="1" x14ac:dyDescent="0.3"/>
    <row r="1404" customFormat="1" x14ac:dyDescent="0.3"/>
    <row r="1405" customFormat="1" x14ac:dyDescent="0.3"/>
    <row r="1406" customFormat="1" x14ac:dyDescent="0.3"/>
    <row r="1407" customFormat="1" x14ac:dyDescent="0.3"/>
    <row r="1408" customFormat="1" x14ac:dyDescent="0.3"/>
    <row r="1409" customFormat="1" x14ac:dyDescent="0.3"/>
    <row r="1410" customFormat="1" x14ac:dyDescent="0.3"/>
    <row r="1411" customFormat="1" x14ac:dyDescent="0.3"/>
    <row r="1412" customFormat="1" x14ac:dyDescent="0.3"/>
    <row r="1413" customFormat="1" x14ac:dyDescent="0.3"/>
    <row r="1414" customFormat="1" x14ac:dyDescent="0.3"/>
    <row r="1415" customFormat="1" x14ac:dyDescent="0.3"/>
    <row r="1416" customFormat="1" x14ac:dyDescent="0.3"/>
    <row r="1417" customFormat="1" x14ac:dyDescent="0.3"/>
    <row r="1418" customFormat="1" x14ac:dyDescent="0.3"/>
    <row r="1419" customFormat="1" x14ac:dyDescent="0.3"/>
    <row r="1420" customFormat="1" x14ac:dyDescent="0.3"/>
    <row r="1421" customFormat="1" x14ac:dyDescent="0.3"/>
    <row r="1422" customFormat="1" x14ac:dyDescent="0.3"/>
    <row r="1423" customFormat="1" x14ac:dyDescent="0.3"/>
    <row r="1424" customFormat="1" x14ac:dyDescent="0.3"/>
    <row r="1425" customFormat="1" x14ac:dyDescent="0.3"/>
    <row r="1426" customFormat="1" x14ac:dyDescent="0.3"/>
    <row r="1427" customFormat="1" x14ac:dyDescent="0.3"/>
    <row r="1428" customFormat="1" x14ac:dyDescent="0.3"/>
    <row r="1429" customFormat="1" x14ac:dyDescent="0.3"/>
    <row r="1430" customFormat="1" x14ac:dyDescent="0.3"/>
    <row r="1431" customFormat="1" x14ac:dyDescent="0.3"/>
    <row r="1432" customFormat="1" x14ac:dyDescent="0.3"/>
    <row r="1433" customFormat="1" x14ac:dyDescent="0.3"/>
    <row r="1434" customFormat="1" x14ac:dyDescent="0.3"/>
    <row r="1435" customFormat="1" x14ac:dyDescent="0.3"/>
    <row r="1436" customFormat="1" x14ac:dyDescent="0.3"/>
    <row r="1437" customFormat="1" x14ac:dyDescent="0.3"/>
    <row r="1438" customFormat="1" x14ac:dyDescent="0.3"/>
    <row r="1439" customFormat="1" x14ac:dyDescent="0.3"/>
    <row r="1440" customFormat="1" x14ac:dyDescent="0.3"/>
    <row r="1441" customFormat="1" x14ac:dyDescent="0.3"/>
    <row r="1442" customFormat="1" x14ac:dyDescent="0.3"/>
    <row r="1443" customFormat="1" x14ac:dyDescent="0.3"/>
    <row r="1444" customFormat="1" x14ac:dyDescent="0.3"/>
    <row r="1445" customFormat="1" x14ac:dyDescent="0.3"/>
    <row r="1446" customFormat="1" x14ac:dyDescent="0.3"/>
    <row r="1447" customFormat="1" x14ac:dyDescent="0.3"/>
    <row r="1448" customFormat="1" x14ac:dyDescent="0.3"/>
    <row r="1449" customFormat="1" x14ac:dyDescent="0.3"/>
    <row r="1450" customFormat="1" x14ac:dyDescent="0.3"/>
    <row r="1451" customFormat="1" x14ac:dyDescent="0.3"/>
    <row r="1452" customFormat="1" x14ac:dyDescent="0.3"/>
    <row r="1453" customFormat="1" x14ac:dyDescent="0.3"/>
    <row r="1454" customFormat="1" x14ac:dyDescent="0.3"/>
    <row r="1455" customFormat="1" x14ac:dyDescent="0.3"/>
    <row r="1456" customFormat="1" x14ac:dyDescent="0.3"/>
    <row r="1457" customFormat="1" x14ac:dyDescent="0.3"/>
    <row r="1458" customFormat="1" x14ac:dyDescent="0.3"/>
    <row r="1459" customFormat="1" x14ac:dyDescent="0.3"/>
    <row r="1460" customFormat="1" x14ac:dyDescent="0.3"/>
    <row r="1461" customFormat="1" x14ac:dyDescent="0.3"/>
    <row r="1462" customFormat="1" x14ac:dyDescent="0.3"/>
    <row r="1463" customFormat="1" x14ac:dyDescent="0.3"/>
    <row r="1464" customFormat="1" x14ac:dyDescent="0.3"/>
    <row r="1465" customFormat="1" x14ac:dyDescent="0.3"/>
    <row r="1466" customFormat="1" x14ac:dyDescent="0.3"/>
    <row r="1467" customFormat="1" x14ac:dyDescent="0.3"/>
    <row r="1468" customFormat="1" x14ac:dyDescent="0.3"/>
    <row r="1469" customFormat="1" x14ac:dyDescent="0.3"/>
    <row r="1470" customFormat="1" x14ac:dyDescent="0.3"/>
    <row r="1471" customFormat="1" x14ac:dyDescent="0.3"/>
    <row r="1472" customFormat="1" x14ac:dyDescent="0.3"/>
    <row r="1473" customFormat="1" x14ac:dyDescent="0.3"/>
    <row r="1474" customFormat="1" x14ac:dyDescent="0.3"/>
    <row r="1475" customFormat="1" x14ac:dyDescent="0.3"/>
    <row r="1476" customFormat="1" x14ac:dyDescent="0.3"/>
    <row r="1477" customFormat="1" x14ac:dyDescent="0.3"/>
    <row r="1478" customFormat="1" x14ac:dyDescent="0.3"/>
    <row r="1479" customFormat="1" x14ac:dyDescent="0.3"/>
    <row r="1480" customFormat="1" x14ac:dyDescent="0.3"/>
    <row r="1481" customFormat="1" x14ac:dyDescent="0.3"/>
    <row r="1482" customFormat="1" x14ac:dyDescent="0.3"/>
    <row r="1483" customFormat="1" x14ac:dyDescent="0.3"/>
    <row r="1484" customFormat="1" x14ac:dyDescent="0.3"/>
    <row r="1485" customFormat="1" x14ac:dyDescent="0.3"/>
    <row r="1486" customFormat="1" x14ac:dyDescent="0.3"/>
    <row r="1487" customFormat="1" x14ac:dyDescent="0.3"/>
    <row r="1488" customFormat="1" x14ac:dyDescent="0.3"/>
  </sheetData>
  <autoFilter ref="A1:G4158" xr:uid="{00000000-0009-0000-0000-000000000000}"/>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4F07B-2EC4-4406-9C79-6D9FA3C4E6CA}">
  <dimension ref="A3:B12"/>
  <sheetViews>
    <sheetView workbookViewId="0">
      <selection activeCell="A3" sqref="A3"/>
    </sheetView>
  </sheetViews>
  <sheetFormatPr defaultRowHeight="14.4" x14ac:dyDescent="0.3"/>
  <cols>
    <col min="1" max="1" width="16.33203125" bestFit="1" customWidth="1"/>
    <col min="2" max="2" width="14.88671875" bestFit="1" customWidth="1"/>
  </cols>
  <sheetData>
    <row r="3" spans="1:2" x14ac:dyDescent="0.3">
      <c r="A3" s="4" t="s">
        <v>205</v>
      </c>
      <c r="B3" t="s">
        <v>204</v>
      </c>
    </row>
    <row r="4" spans="1:2" x14ac:dyDescent="0.3">
      <c r="A4" s="5" t="s">
        <v>14</v>
      </c>
      <c r="B4">
        <v>1</v>
      </c>
    </row>
    <row r="5" spans="1:2" x14ac:dyDescent="0.3">
      <c r="A5" s="5" t="s">
        <v>18</v>
      </c>
      <c r="B5">
        <v>6</v>
      </c>
    </row>
    <row r="6" spans="1:2" x14ac:dyDescent="0.3">
      <c r="A6" s="5" t="s">
        <v>62</v>
      </c>
      <c r="B6">
        <v>3</v>
      </c>
    </row>
    <row r="7" spans="1:2" x14ac:dyDescent="0.3">
      <c r="A7" s="5" t="s">
        <v>10</v>
      </c>
      <c r="B7">
        <v>3</v>
      </c>
    </row>
    <row r="8" spans="1:2" x14ac:dyDescent="0.3">
      <c r="A8" s="5" t="s">
        <v>28</v>
      </c>
      <c r="B8">
        <v>2</v>
      </c>
    </row>
    <row r="9" spans="1:2" x14ac:dyDescent="0.3">
      <c r="A9" s="5" t="s">
        <v>19</v>
      </c>
      <c r="B9">
        <v>7</v>
      </c>
    </row>
    <row r="10" spans="1:2" x14ac:dyDescent="0.3">
      <c r="A10" s="5" t="s">
        <v>52</v>
      </c>
      <c r="B10">
        <v>11</v>
      </c>
    </row>
    <row r="11" spans="1:2" x14ac:dyDescent="0.3">
      <c r="A11" s="5" t="s">
        <v>47</v>
      </c>
      <c r="B11">
        <v>1</v>
      </c>
    </row>
    <row r="12" spans="1:2" x14ac:dyDescent="0.3">
      <c r="A12" s="5" t="s">
        <v>206</v>
      </c>
      <c r="B12">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00300-BE0A-4BB5-A303-31169C61C6D8}">
  <dimension ref="A1:G35"/>
  <sheetViews>
    <sheetView workbookViewId="0">
      <selection sqref="A1:G35"/>
    </sheetView>
  </sheetViews>
  <sheetFormatPr defaultRowHeight="14.4" x14ac:dyDescent="0.3"/>
  <sheetData>
    <row r="1" spans="1:7" x14ac:dyDescent="0.3">
      <c r="A1" t="s">
        <v>0</v>
      </c>
      <c r="B1" t="s">
        <v>1</v>
      </c>
      <c r="C1" t="s">
        <v>2</v>
      </c>
      <c r="D1" t="s">
        <v>3</v>
      </c>
      <c r="E1" t="s">
        <v>4</v>
      </c>
      <c r="F1" t="s">
        <v>5</v>
      </c>
      <c r="G1" t="s">
        <v>7</v>
      </c>
    </row>
    <row r="2" spans="1:7" x14ac:dyDescent="0.3">
      <c r="A2" s="2" t="s">
        <v>87</v>
      </c>
      <c r="B2" s="2" t="s">
        <v>51</v>
      </c>
      <c r="C2" s="2" t="s">
        <v>14</v>
      </c>
      <c r="D2" s="2" t="s">
        <v>88</v>
      </c>
      <c r="E2" s="2" t="s">
        <v>70</v>
      </c>
      <c r="F2" s="2" t="s">
        <v>89</v>
      </c>
      <c r="G2" s="2" t="s">
        <v>32</v>
      </c>
    </row>
    <row r="3" spans="1:7" x14ac:dyDescent="0.3">
      <c r="A3" s="2" t="s">
        <v>144</v>
      </c>
      <c r="B3" s="2" t="s">
        <v>34</v>
      </c>
      <c r="C3" s="2" t="s">
        <v>18</v>
      </c>
      <c r="D3" s="2" t="s">
        <v>35</v>
      </c>
      <c r="E3" s="2" t="s">
        <v>36</v>
      </c>
      <c r="F3" s="2" t="s">
        <v>58</v>
      </c>
      <c r="G3" s="2" t="s">
        <v>24</v>
      </c>
    </row>
    <row r="4" spans="1:7" x14ac:dyDescent="0.3">
      <c r="A4" s="2" t="s">
        <v>108</v>
      </c>
      <c r="B4" s="2" t="s">
        <v>109</v>
      </c>
      <c r="C4" s="2" t="s">
        <v>28</v>
      </c>
      <c r="D4" s="2" t="s">
        <v>20</v>
      </c>
      <c r="E4" s="2" t="s">
        <v>21</v>
      </c>
      <c r="F4" s="2" t="s">
        <v>110</v>
      </c>
      <c r="G4" s="2" t="s">
        <v>55</v>
      </c>
    </row>
    <row r="5" spans="1:7" x14ac:dyDescent="0.3">
      <c r="A5" s="2" t="s">
        <v>90</v>
      </c>
      <c r="B5" s="2" t="s">
        <v>83</v>
      </c>
      <c r="C5" s="2" t="s">
        <v>28</v>
      </c>
      <c r="D5" s="2" t="s">
        <v>78</v>
      </c>
      <c r="E5" s="2" t="s">
        <v>76</v>
      </c>
      <c r="F5" s="2" t="s">
        <v>91</v>
      </c>
      <c r="G5" s="2" t="s">
        <v>48</v>
      </c>
    </row>
    <row r="6" spans="1:7" x14ac:dyDescent="0.3">
      <c r="A6" s="2" t="s">
        <v>139</v>
      </c>
      <c r="B6" s="2" t="s">
        <v>140</v>
      </c>
      <c r="C6" s="2" t="s">
        <v>52</v>
      </c>
      <c r="D6" s="2" t="s">
        <v>56</v>
      </c>
      <c r="E6" s="2" t="s">
        <v>40</v>
      </c>
      <c r="F6" s="2" t="s">
        <v>141</v>
      </c>
      <c r="G6" s="2" t="s">
        <v>72</v>
      </c>
    </row>
    <row r="7" spans="1:7" x14ac:dyDescent="0.3">
      <c r="A7" s="2" t="s">
        <v>147</v>
      </c>
      <c r="B7" s="2" t="s">
        <v>148</v>
      </c>
      <c r="C7" s="2" t="s">
        <v>19</v>
      </c>
      <c r="D7" s="2" t="s">
        <v>77</v>
      </c>
      <c r="E7" s="2" t="s">
        <v>36</v>
      </c>
      <c r="F7" s="2" t="s">
        <v>149</v>
      </c>
      <c r="G7" s="2" t="s">
        <v>72</v>
      </c>
    </row>
    <row r="8" spans="1:7" x14ac:dyDescent="0.3">
      <c r="A8" s="2" t="s">
        <v>115</v>
      </c>
      <c r="B8" s="2" t="s">
        <v>71</v>
      </c>
      <c r="C8" s="2" t="s">
        <v>52</v>
      </c>
      <c r="D8" s="2" t="s">
        <v>39</v>
      </c>
      <c r="E8" s="2" t="s">
        <v>40</v>
      </c>
      <c r="F8" s="2" t="s">
        <v>116</v>
      </c>
      <c r="G8" s="2" t="s">
        <v>41</v>
      </c>
    </row>
    <row r="9" spans="1:7" x14ac:dyDescent="0.3">
      <c r="A9" s="2" t="s">
        <v>145</v>
      </c>
      <c r="B9" s="2" t="s">
        <v>101</v>
      </c>
      <c r="C9" s="2" t="s">
        <v>62</v>
      </c>
      <c r="D9" s="2" t="s">
        <v>25</v>
      </c>
      <c r="E9" s="2" t="s">
        <v>37</v>
      </c>
      <c r="F9" s="2" t="s">
        <v>146</v>
      </c>
      <c r="G9" s="2" t="s">
        <v>12</v>
      </c>
    </row>
    <row r="10" spans="1:7" x14ac:dyDescent="0.3">
      <c r="A10" s="2" t="s">
        <v>135</v>
      </c>
      <c r="B10" s="2" t="s">
        <v>38</v>
      </c>
      <c r="C10" s="2" t="s">
        <v>10</v>
      </c>
      <c r="D10" s="2" t="s">
        <v>49</v>
      </c>
      <c r="E10" s="2" t="s">
        <v>50</v>
      </c>
      <c r="F10" s="2" t="s">
        <v>136</v>
      </c>
      <c r="G10" s="2" t="s">
        <v>55</v>
      </c>
    </row>
    <row r="11" spans="1:7" x14ac:dyDescent="0.3">
      <c r="A11" s="2" t="s">
        <v>187</v>
      </c>
      <c r="B11" s="2" t="s">
        <v>38</v>
      </c>
      <c r="C11" s="2" t="s">
        <v>19</v>
      </c>
      <c r="D11" s="2" t="s">
        <v>150</v>
      </c>
      <c r="E11" s="2" t="s">
        <v>60</v>
      </c>
      <c r="F11" s="2" t="s">
        <v>188</v>
      </c>
      <c r="G11" s="2" t="s">
        <v>41</v>
      </c>
    </row>
    <row r="12" spans="1:7" x14ac:dyDescent="0.3">
      <c r="A12" s="2" t="s">
        <v>131</v>
      </c>
      <c r="B12" s="2" t="s">
        <v>119</v>
      </c>
      <c r="C12" s="2" t="s">
        <v>62</v>
      </c>
      <c r="D12" s="2" t="s">
        <v>69</v>
      </c>
      <c r="E12" s="2" t="s">
        <v>70</v>
      </c>
      <c r="F12" s="2" t="s">
        <v>132</v>
      </c>
      <c r="G12" s="2" t="s">
        <v>32</v>
      </c>
    </row>
    <row r="13" spans="1:7" x14ac:dyDescent="0.3">
      <c r="A13" s="2" t="s">
        <v>79</v>
      </c>
      <c r="B13" s="2" t="s">
        <v>80</v>
      </c>
      <c r="C13" s="2" t="s">
        <v>10</v>
      </c>
      <c r="D13" s="2" t="s">
        <v>22</v>
      </c>
      <c r="E13" s="2" t="s">
        <v>23</v>
      </c>
      <c r="F13" s="2" t="s">
        <v>81</v>
      </c>
      <c r="G13" s="2" t="s">
        <v>32</v>
      </c>
    </row>
    <row r="14" spans="1:7" x14ac:dyDescent="0.3">
      <c r="A14" s="7" t="s">
        <v>113</v>
      </c>
      <c r="B14" s="7" t="s">
        <v>51</v>
      </c>
      <c r="C14" s="7" t="s">
        <v>47</v>
      </c>
      <c r="D14" s="7" t="s">
        <v>22</v>
      </c>
      <c r="E14" s="7" t="s">
        <v>23</v>
      </c>
      <c r="F14" s="7" t="s">
        <v>114</v>
      </c>
      <c r="G14" s="7" t="s">
        <v>32</v>
      </c>
    </row>
    <row r="15" spans="1:7" x14ac:dyDescent="0.3">
      <c r="A15" s="2" t="s">
        <v>190</v>
      </c>
      <c r="B15" s="2" t="s">
        <v>117</v>
      </c>
      <c r="C15" s="2" t="s">
        <v>18</v>
      </c>
      <c r="D15" s="2" t="s">
        <v>67</v>
      </c>
      <c r="E15" s="2" t="s">
        <v>17</v>
      </c>
      <c r="F15" s="2" t="s">
        <v>191</v>
      </c>
      <c r="G15" s="2" t="s">
        <v>16</v>
      </c>
    </row>
    <row r="16" spans="1:7" x14ac:dyDescent="0.3">
      <c r="A16" s="2" t="s">
        <v>192</v>
      </c>
      <c r="B16" s="2" t="s">
        <v>117</v>
      </c>
      <c r="C16" s="2" t="s">
        <v>18</v>
      </c>
      <c r="D16" s="2" t="s">
        <v>67</v>
      </c>
      <c r="E16" s="2" t="s">
        <v>17</v>
      </c>
      <c r="F16" s="2" t="s">
        <v>193</v>
      </c>
      <c r="G16" s="2" t="s">
        <v>16</v>
      </c>
    </row>
    <row r="17" spans="1:7" x14ac:dyDescent="0.3">
      <c r="A17" s="2" t="s">
        <v>194</v>
      </c>
      <c r="B17" s="2" t="s">
        <v>117</v>
      </c>
      <c r="C17" s="2" t="s">
        <v>18</v>
      </c>
      <c r="D17" s="2" t="s">
        <v>67</v>
      </c>
      <c r="E17" s="2" t="s">
        <v>17</v>
      </c>
      <c r="F17" s="2" t="s">
        <v>193</v>
      </c>
      <c r="G17" s="2" t="s">
        <v>16</v>
      </c>
    </row>
    <row r="18" spans="1:7" x14ac:dyDescent="0.3">
      <c r="A18" s="2" t="s">
        <v>111</v>
      </c>
      <c r="B18" s="2" t="s">
        <v>98</v>
      </c>
      <c r="C18" s="2" t="s">
        <v>10</v>
      </c>
      <c r="D18" s="2" t="s">
        <v>66</v>
      </c>
      <c r="E18" s="2" t="s">
        <v>53</v>
      </c>
      <c r="F18" s="2" t="s">
        <v>112</v>
      </c>
      <c r="G18" s="2" t="s">
        <v>41</v>
      </c>
    </row>
    <row r="19" spans="1:7" x14ac:dyDescent="0.3">
      <c r="A19" s="2" t="s">
        <v>161</v>
      </c>
      <c r="B19" s="2" t="s">
        <v>38</v>
      </c>
      <c r="C19" s="2" t="s">
        <v>52</v>
      </c>
      <c r="D19" s="2" t="s">
        <v>74</v>
      </c>
      <c r="E19" s="2" t="s">
        <v>53</v>
      </c>
      <c r="F19" s="2" t="s">
        <v>162</v>
      </c>
      <c r="G19" s="2" t="s">
        <v>41</v>
      </c>
    </row>
    <row r="20" spans="1:7" x14ac:dyDescent="0.3">
      <c r="A20" s="2" t="s">
        <v>163</v>
      </c>
      <c r="B20" s="2" t="s">
        <v>38</v>
      </c>
      <c r="C20" s="2" t="s">
        <v>52</v>
      </c>
      <c r="D20" s="2" t="s">
        <v>74</v>
      </c>
      <c r="E20" s="2" t="s">
        <v>53</v>
      </c>
      <c r="F20" s="2" t="s">
        <v>162</v>
      </c>
      <c r="G20" s="2" t="s">
        <v>41</v>
      </c>
    </row>
    <row r="21" spans="1:7" x14ac:dyDescent="0.3">
      <c r="A21" s="2" t="s">
        <v>165</v>
      </c>
      <c r="B21" s="2" t="s">
        <v>38</v>
      </c>
      <c r="C21" s="2" t="s">
        <v>52</v>
      </c>
      <c r="D21" s="2" t="s">
        <v>74</v>
      </c>
      <c r="E21" s="2" t="s">
        <v>53</v>
      </c>
      <c r="F21" s="2" t="s">
        <v>162</v>
      </c>
      <c r="G21" s="2" t="s">
        <v>41</v>
      </c>
    </row>
    <row r="22" spans="1:7" x14ac:dyDescent="0.3">
      <c r="A22" s="2" t="s">
        <v>166</v>
      </c>
      <c r="B22" s="2" t="s">
        <v>38</v>
      </c>
      <c r="C22" s="2" t="s">
        <v>52</v>
      </c>
      <c r="D22" s="2" t="s">
        <v>74</v>
      </c>
      <c r="E22" s="2" t="s">
        <v>53</v>
      </c>
      <c r="F22" s="2" t="s">
        <v>162</v>
      </c>
      <c r="G22" s="2" t="s">
        <v>41</v>
      </c>
    </row>
    <row r="23" spans="1:7" x14ac:dyDescent="0.3">
      <c r="A23" s="2" t="s">
        <v>170</v>
      </c>
      <c r="B23" s="2" t="s">
        <v>38</v>
      </c>
      <c r="C23" s="2" t="s">
        <v>52</v>
      </c>
      <c r="D23" s="2" t="s">
        <v>74</v>
      </c>
      <c r="E23" s="2" t="s">
        <v>53</v>
      </c>
      <c r="F23" s="2" t="s">
        <v>162</v>
      </c>
      <c r="G23" s="2" t="s">
        <v>41</v>
      </c>
    </row>
    <row r="24" spans="1:7" x14ac:dyDescent="0.3">
      <c r="A24" s="2" t="s">
        <v>179</v>
      </c>
      <c r="B24" s="2" t="s">
        <v>38</v>
      </c>
      <c r="C24" s="2" t="s">
        <v>52</v>
      </c>
      <c r="D24" s="2" t="s">
        <v>74</v>
      </c>
      <c r="E24" s="2" t="s">
        <v>53</v>
      </c>
      <c r="F24" s="2" t="s">
        <v>162</v>
      </c>
      <c r="G24" s="2" t="s">
        <v>41</v>
      </c>
    </row>
    <row r="25" spans="1:7" x14ac:dyDescent="0.3">
      <c r="A25" s="2" t="s">
        <v>189</v>
      </c>
      <c r="B25" s="2" t="s">
        <v>38</v>
      </c>
      <c r="C25" s="2" t="s">
        <v>52</v>
      </c>
      <c r="D25" s="2" t="s">
        <v>74</v>
      </c>
      <c r="E25" s="2" t="s">
        <v>53</v>
      </c>
      <c r="F25" s="2" t="s">
        <v>162</v>
      </c>
      <c r="G25" s="2" t="s">
        <v>41</v>
      </c>
    </row>
    <row r="26" spans="1:7" x14ac:dyDescent="0.3">
      <c r="A26" s="2" t="s">
        <v>151</v>
      </c>
      <c r="B26" s="2" t="s">
        <v>38</v>
      </c>
      <c r="C26" s="2" t="s">
        <v>52</v>
      </c>
      <c r="D26" s="2" t="s">
        <v>74</v>
      </c>
      <c r="E26" s="2" t="s">
        <v>26</v>
      </c>
      <c r="F26" s="2" t="s">
        <v>152</v>
      </c>
      <c r="G26" s="2" t="s">
        <v>48</v>
      </c>
    </row>
    <row r="27" spans="1:7" x14ac:dyDescent="0.3">
      <c r="A27" s="2" t="s">
        <v>120</v>
      </c>
      <c r="B27" s="2" t="s">
        <v>119</v>
      </c>
      <c r="C27" s="2" t="s">
        <v>62</v>
      </c>
      <c r="D27" s="2" t="s">
        <v>73</v>
      </c>
      <c r="E27" s="2" t="s">
        <v>57</v>
      </c>
      <c r="F27" s="2" t="s">
        <v>121</v>
      </c>
      <c r="G27" s="2" t="s">
        <v>32</v>
      </c>
    </row>
    <row r="28" spans="1:7" x14ac:dyDescent="0.3">
      <c r="A28" s="2" t="s">
        <v>171</v>
      </c>
      <c r="B28" s="2" t="s">
        <v>38</v>
      </c>
      <c r="C28" s="2" t="s">
        <v>52</v>
      </c>
      <c r="D28" s="2" t="s">
        <v>74</v>
      </c>
      <c r="E28" s="2" t="s">
        <v>65</v>
      </c>
      <c r="F28" s="2" t="s">
        <v>162</v>
      </c>
      <c r="G28" s="2" t="s">
        <v>41</v>
      </c>
    </row>
    <row r="29" spans="1:7" x14ac:dyDescent="0.3">
      <c r="A29" s="2" t="s">
        <v>127</v>
      </c>
      <c r="B29" s="2" t="s">
        <v>51</v>
      </c>
      <c r="C29" s="2" t="s">
        <v>19</v>
      </c>
      <c r="D29" s="2" t="s">
        <v>118</v>
      </c>
      <c r="E29" s="2" t="s">
        <v>82</v>
      </c>
      <c r="F29" s="2" t="s">
        <v>128</v>
      </c>
      <c r="G29" s="2" t="s">
        <v>32</v>
      </c>
    </row>
    <row r="30" spans="1:7" x14ac:dyDescent="0.3">
      <c r="A30" s="2" t="s">
        <v>129</v>
      </c>
      <c r="B30" s="2" t="s">
        <v>51</v>
      </c>
      <c r="C30" s="2" t="s">
        <v>19</v>
      </c>
      <c r="D30" s="2" t="s">
        <v>118</v>
      </c>
      <c r="E30" s="2" t="s">
        <v>82</v>
      </c>
      <c r="F30" s="2" t="s">
        <v>130</v>
      </c>
      <c r="G30" s="2" t="s">
        <v>32</v>
      </c>
    </row>
    <row r="31" spans="1:7" x14ac:dyDescent="0.3">
      <c r="A31" s="2" t="s">
        <v>142</v>
      </c>
      <c r="B31" s="2" t="s">
        <v>51</v>
      </c>
      <c r="C31" s="2" t="s">
        <v>19</v>
      </c>
      <c r="D31" s="2" t="s">
        <v>118</v>
      </c>
      <c r="E31" s="2" t="s">
        <v>82</v>
      </c>
      <c r="F31" s="2" t="s">
        <v>143</v>
      </c>
      <c r="G31" s="2" t="s">
        <v>32</v>
      </c>
    </row>
    <row r="32" spans="1:7" x14ac:dyDescent="0.3">
      <c r="A32" s="2" t="s">
        <v>102</v>
      </c>
      <c r="B32" s="2" t="s">
        <v>75</v>
      </c>
      <c r="C32" s="2" t="s">
        <v>19</v>
      </c>
      <c r="D32" s="2" t="s">
        <v>77</v>
      </c>
      <c r="E32" s="2" t="s">
        <v>36</v>
      </c>
      <c r="F32" s="2" t="s">
        <v>103</v>
      </c>
      <c r="G32" s="2" t="s">
        <v>16</v>
      </c>
    </row>
    <row r="33" spans="1:7" x14ac:dyDescent="0.3">
      <c r="A33" s="2" t="s">
        <v>122</v>
      </c>
      <c r="B33" s="2" t="s">
        <v>92</v>
      </c>
      <c r="C33" s="2" t="s">
        <v>18</v>
      </c>
      <c r="D33" s="2" t="s">
        <v>30</v>
      </c>
      <c r="E33" s="2" t="s">
        <v>31</v>
      </c>
      <c r="F33" s="2" t="s">
        <v>123</v>
      </c>
      <c r="G33" s="2" t="s">
        <v>32</v>
      </c>
    </row>
    <row r="34" spans="1:7" x14ac:dyDescent="0.3">
      <c r="A34" s="2" t="s">
        <v>137</v>
      </c>
      <c r="B34" s="2" t="s">
        <v>92</v>
      </c>
      <c r="C34" s="2" t="s">
        <v>18</v>
      </c>
      <c r="D34" s="2" t="s">
        <v>30</v>
      </c>
      <c r="E34" s="2" t="s">
        <v>31</v>
      </c>
      <c r="F34" s="2" t="s">
        <v>138</v>
      </c>
      <c r="G34" s="2" t="s">
        <v>32</v>
      </c>
    </row>
    <row r="35" spans="1:7" x14ac:dyDescent="0.3">
      <c r="A35" s="2" t="s">
        <v>133</v>
      </c>
      <c r="B35" s="2" t="s">
        <v>51</v>
      </c>
      <c r="C35" s="2" t="s">
        <v>19</v>
      </c>
      <c r="D35" s="2" t="s">
        <v>31</v>
      </c>
      <c r="E35" s="2" t="s">
        <v>99</v>
      </c>
      <c r="F35" s="2" t="s">
        <v>134</v>
      </c>
      <c r="G35" s="2" t="s">
        <v>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EE346-FB54-43D7-8E49-743D96842285}">
  <dimension ref="A3:B9"/>
  <sheetViews>
    <sheetView workbookViewId="0">
      <selection activeCell="A3" sqref="A3"/>
    </sheetView>
  </sheetViews>
  <sheetFormatPr defaultRowHeight="14.4" x14ac:dyDescent="0.3"/>
  <cols>
    <col min="1" max="1" width="16.109375" bestFit="1" customWidth="1"/>
    <col min="2" max="2" width="14.88671875" bestFit="1" customWidth="1"/>
  </cols>
  <sheetData>
    <row r="3" spans="1:2" x14ac:dyDescent="0.3">
      <c r="A3" s="4" t="s">
        <v>205</v>
      </c>
      <c r="B3" t="s">
        <v>204</v>
      </c>
    </row>
    <row r="4" spans="1:2" x14ac:dyDescent="0.3">
      <c r="A4" s="5" t="s">
        <v>18</v>
      </c>
      <c r="B4">
        <v>4</v>
      </c>
    </row>
    <row r="5" spans="1:2" x14ac:dyDescent="0.3">
      <c r="A5" s="5" t="s">
        <v>10</v>
      </c>
      <c r="B5">
        <v>3</v>
      </c>
    </row>
    <row r="6" spans="1:2" x14ac:dyDescent="0.3">
      <c r="A6" s="5" t="s">
        <v>28</v>
      </c>
      <c r="B6">
        <v>2</v>
      </c>
    </row>
    <row r="7" spans="1:2" x14ac:dyDescent="0.3">
      <c r="A7" s="5" t="s">
        <v>52</v>
      </c>
      <c r="B7">
        <v>20</v>
      </c>
    </row>
    <row r="8" spans="1:2" x14ac:dyDescent="0.3">
      <c r="A8" s="5" t="s">
        <v>47</v>
      </c>
      <c r="B8">
        <v>1</v>
      </c>
    </row>
    <row r="9" spans="1:2" x14ac:dyDescent="0.3">
      <c r="A9" s="5" t="s">
        <v>206</v>
      </c>
      <c r="B9">
        <v>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EC24D-DB36-42D6-8372-0EE7DAA170D7}">
  <dimension ref="A1:E31"/>
  <sheetViews>
    <sheetView workbookViewId="0">
      <selection sqref="A1:E31"/>
    </sheetView>
  </sheetViews>
  <sheetFormatPr defaultRowHeight="14.4" x14ac:dyDescent="0.3"/>
  <sheetData>
    <row r="1" spans="1:5" x14ac:dyDescent="0.3">
      <c r="A1" t="s">
        <v>0</v>
      </c>
      <c r="B1" t="s">
        <v>1</v>
      </c>
      <c r="C1" t="s">
        <v>2</v>
      </c>
      <c r="D1" t="s">
        <v>3</v>
      </c>
      <c r="E1" t="s">
        <v>4</v>
      </c>
    </row>
    <row r="2" spans="1:5" x14ac:dyDescent="0.3">
      <c r="A2" s="1" t="s">
        <v>124</v>
      </c>
      <c r="B2" s="1" t="s">
        <v>125</v>
      </c>
      <c r="C2" s="1" t="s">
        <v>28</v>
      </c>
      <c r="D2" s="1" t="s">
        <v>9</v>
      </c>
      <c r="E2" s="1" t="s">
        <v>9</v>
      </c>
    </row>
    <row r="3" spans="1:5" x14ac:dyDescent="0.3">
      <c r="A3" s="1" t="s">
        <v>156</v>
      </c>
      <c r="B3" s="1" t="s">
        <v>61</v>
      </c>
      <c r="C3" s="1" t="s">
        <v>47</v>
      </c>
      <c r="D3" s="1" t="s">
        <v>9</v>
      </c>
      <c r="E3" s="1" t="s">
        <v>9</v>
      </c>
    </row>
    <row r="4" spans="1:5" x14ac:dyDescent="0.3">
      <c r="A4" s="1" t="s">
        <v>104</v>
      </c>
      <c r="B4" s="1" t="s">
        <v>96</v>
      </c>
      <c r="C4" s="1" t="s">
        <v>10</v>
      </c>
      <c r="D4" s="1" t="s">
        <v>105</v>
      </c>
      <c r="E4" s="1" t="s">
        <v>54</v>
      </c>
    </row>
    <row r="5" spans="1:5" x14ac:dyDescent="0.3">
      <c r="A5" s="1" t="s">
        <v>94</v>
      </c>
      <c r="B5" s="1" t="s">
        <v>95</v>
      </c>
      <c r="C5" s="1" t="s">
        <v>10</v>
      </c>
      <c r="D5" s="1" t="s">
        <v>68</v>
      </c>
      <c r="E5" s="1" t="s">
        <v>63</v>
      </c>
    </row>
    <row r="6" spans="1:5" x14ac:dyDescent="0.3">
      <c r="A6" s="1" t="s">
        <v>158</v>
      </c>
      <c r="B6" s="1" t="s">
        <v>159</v>
      </c>
      <c r="C6" s="1" t="s">
        <v>52</v>
      </c>
      <c r="D6" s="1" t="s">
        <v>86</v>
      </c>
      <c r="E6" s="1" t="s">
        <v>13</v>
      </c>
    </row>
    <row r="7" spans="1:5" x14ac:dyDescent="0.3">
      <c r="A7" s="1" t="s">
        <v>173</v>
      </c>
      <c r="B7" s="1" t="s">
        <v>61</v>
      </c>
      <c r="C7" s="1" t="s">
        <v>18</v>
      </c>
      <c r="D7" s="1" t="s">
        <v>174</v>
      </c>
      <c r="E7" s="1" t="s">
        <v>42</v>
      </c>
    </row>
    <row r="8" spans="1:5" x14ac:dyDescent="0.3">
      <c r="A8" s="1" t="s">
        <v>106</v>
      </c>
      <c r="B8" s="1" t="s">
        <v>93</v>
      </c>
      <c r="C8" s="1" t="s">
        <v>18</v>
      </c>
      <c r="D8" s="1" t="s">
        <v>107</v>
      </c>
      <c r="E8" s="1" t="s">
        <v>37</v>
      </c>
    </row>
    <row r="9" spans="1:5" x14ac:dyDescent="0.3">
      <c r="A9" s="1" t="s">
        <v>126</v>
      </c>
      <c r="B9" s="1" t="s">
        <v>100</v>
      </c>
      <c r="C9" s="1" t="s">
        <v>18</v>
      </c>
      <c r="D9" s="1" t="s">
        <v>11</v>
      </c>
      <c r="E9" s="1" t="s">
        <v>60</v>
      </c>
    </row>
    <row r="10" spans="1:5" x14ac:dyDescent="0.3">
      <c r="A10" s="1" t="s">
        <v>59</v>
      </c>
      <c r="B10" s="1" t="s">
        <v>45</v>
      </c>
      <c r="C10" s="1" t="s">
        <v>10</v>
      </c>
      <c r="D10" s="1" t="s">
        <v>43</v>
      </c>
      <c r="E10" s="1" t="s">
        <v>44</v>
      </c>
    </row>
    <row r="11" spans="1:5" x14ac:dyDescent="0.3">
      <c r="A11" s="1" t="s">
        <v>153</v>
      </c>
      <c r="B11" s="1" t="s">
        <v>154</v>
      </c>
      <c r="C11" s="1" t="s">
        <v>52</v>
      </c>
      <c r="D11" s="1" t="s">
        <v>86</v>
      </c>
      <c r="E11" s="1" t="s">
        <v>53</v>
      </c>
    </row>
    <row r="12" spans="1:5" x14ac:dyDescent="0.3">
      <c r="A12" s="1" t="s">
        <v>155</v>
      </c>
      <c r="B12" s="1" t="s">
        <v>154</v>
      </c>
      <c r="C12" s="1" t="s">
        <v>52</v>
      </c>
      <c r="D12" s="1" t="s">
        <v>86</v>
      </c>
      <c r="E12" s="1" t="s">
        <v>53</v>
      </c>
    </row>
    <row r="13" spans="1:5" x14ac:dyDescent="0.3">
      <c r="A13" s="1" t="s">
        <v>157</v>
      </c>
      <c r="B13" s="1" t="s">
        <v>154</v>
      </c>
      <c r="C13" s="1" t="s">
        <v>52</v>
      </c>
      <c r="D13" s="1" t="s">
        <v>86</v>
      </c>
      <c r="E13" s="1" t="s">
        <v>53</v>
      </c>
    </row>
    <row r="14" spans="1:5" x14ac:dyDescent="0.3">
      <c r="A14" s="1" t="s">
        <v>160</v>
      </c>
      <c r="B14" s="1" t="s">
        <v>154</v>
      </c>
      <c r="C14" s="1" t="s">
        <v>52</v>
      </c>
      <c r="D14" s="1" t="s">
        <v>86</v>
      </c>
      <c r="E14" s="1" t="s">
        <v>53</v>
      </c>
    </row>
    <row r="15" spans="1:5" x14ac:dyDescent="0.3">
      <c r="A15" s="1" t="s">
        <v>167</v>
      </c>
      <c r="B15" s="1" t="s">
        <v>154</v>
      </c>
      <c r="C15" s="1" t="s">
        <v>52</v>
      </c>
      <c r="D15" s="1" t="s">
        <v>86</v>
      </c>
      <c r="E15" s="1" t="s">
        <v>53</v>
      </c>
    </row>
    <row r="16" spans="1:5" x14ac:dyDescent="0.3">
      <c r="A16" s="1" t="s">
        <v>168</v>
      </c>
      <c r="B16" s="1" t="s">
        <v>154</v>
      </c>
      <c r="C16" s="1" t="s">
        <v>52</v>
      </c>
      <c r="D16" s="1" t="s">
        <v>86</v>
      </c>
      <c r="E16" s="1" t="s">
        <v>53</v>
      </c>
    </row>
    <row r="17" spans="1:5" x14ac:dyDescent="0.3">
      <c r="A17" s="1" t="s">
        <v>169</v>
      </c>
      <c r="B17" s="1" t="s">
        <v>154</v>
      </c>
      <c r="C17" s="1" t="s">
        <v>52</v>
      </c>
      <c r="D17" s="1" t="s">
        <v>86</v>
      </c>
      <c r="E17" s="1" t="s">
        <v>53</v>
      </c>
    </row>
    <row r="18" spans="1:5" x14ac:dyDescent="0.3">
      <c r="A18" s="1" t="s">
        <v>172</v>
      </c>
      <c r="B18" s="1" t="s">
        <v>154</v>
      </c>
      <c r="C18" s="1" t="s">
        <v>52</v>
      </c>
      <c r="D18" s="1" t="s">
        <v>86</v>
      </c>
      <c r="E18" s="1" t="s">
        <v>53</v>
      </c>
    </row>
    <row r="19" spans="1:5" x14ac:dyDescent="0.3">
      <c r="A19" s="1" t="s">
        <v>175</v>
      </c>
      <c r="B19" s="1" t="s">
        <v>154</v>
      </c>
      <c r="C19" s="1" t="s">
        <v>52</v>
      </c>
      <c r="D19" s="1" t="s">
        <v>86</v>
      </c>
      <c r="E19" s="1" t="s">
        <v>53</v>
      </c>
    </row>
    <row r="20" spans="1:5" x14ac:dyDescent="0.3">
      <c r="A20" s="1" t="s">
        <v>176</v>
      </c>
      <c r="B20" s="1" t="s">
        <v>154</v>
      </c>
      <c r="C20" s="1" t="s">
        <v>52</v>
      </c>
      <c r="D20" s="1" t="s">
        <v>86</v>
      </c>
      <c r="E20" s="1" t="s">
        <v>53</v>
      </c>
    </row>
    <row r="21" spans="1:5" x14ac:dyDescent="0.3">
      <c r="A21" s="1" t="s">
        <v>177</v>
      </c>
      <c r="B21" s="1" t="s">
        <v>154</v>
      </c>
      <c r="C21" s="1" t="s">
        <v>52</v>
      </c>
      <c r="D21" s="1" t="s">
        <v>86</v>
      </c>
      <c r="E21" s="1" t="s">
        <v>53</v>
      </c>
    </row>
    <row r="22" spans="1:5" x14ac:dyDescent="0.3">
      <c r="A22" s="1" t="s">
        <v>178</v>
      </c>
      <c r="B22" s="1" t="s">
        <v>154</v>
      </c>
      <c r="C22" s="1" t="s">
        <v>52</v>
      </c>
      <c r="D22" s="1" t="s">
        <v>86</v>
      </c>
      <c r="E22" s="1" t="s">
        <v>53</v>
      </c>
    </row>
    <row r="23" spans="1:5" x14ac:dyDescent="0.3">
      <c r="A23" s="1" t="s">
        <v>180</v>
      </c>
      <c r="B23" s="1" t="s">
        <v>154</v>
      </c>
      <c r="C23" s="1" t="s">
        <v>52</v>
      </c>
      <c r="D23" s="1" t="s">
        <v>86</v>
      </c>
      <c r="E23" s="1" t="s">
        <v>53</v>
      </c>
    </row>
    <row r="24" spans="1:5" x14ac:dyDescent="0.3">
      <c r="A24" s="1" t="s">
        <v>181</v>
      </c>
      <c r="B24" s="1" t="s">
        <v>154</v>
      </c>
      <c r="C24" s="1" t="s">
        <v>52</v>
      </c>
      <c r="D24" s="1" t="s">
        <v>86</v>
      </c>
      <c r="E24" s="1" t="s">
        <v>53</v>
      </c>
    </row>
    <row r="25" spans="1:5" x14ac:dyDescent="0.3">
      <c r="A25" s="1" t="s">
        <v>182</v>
      </c>
      <c r="B25" s="1" t="s">
        <v>154</v>
      </c>
      <c r="C25" s="1" t="s">
        <v>52</v>
      </c>
      <c r="D25" s="1" t="s">
        <v>86</v>
      </c>
      <c r="E25" s="1" t="s">
        <v>53</v>
      </c>
    </row>
    <row r="26" spans="1:5" x14ac:dyDescent="0.3">
      <c r="A26" s="1" t="s">
        <v>183</v>
      </c>
      <c r="B26" s="1" t="s">
        <v>154</v>
      </c>
      <c r="C26" s="1" t="s">
        <v>52</v>
      </c>
      <c r="D26" s="1" t="s">
        <v>86</v>
      </c>
      <c r="E26" s="1" t="s">
        <v>53</v>
      </c>
    </row>
    <row r="27" spans="1:5" x14ac:dyDescent="0.3">
      <c r="A27" s="1" t="s">
        <v>184</v>
      </c>
      <c r="B27" s="1" t="s">
        <v>154</v>
      </c>
      <c r="C27" s="1" t="s">
        <v>52</v>
      </c>
      <c r="D27" s="1" t="s">
        <v>86</v>
      </c>
      <c r="E27" s="1" t="s">
        <v>53</v>
      </c>
    </row>
    <row r="28" spans="1:5" x14ac:dyDescent="0.3">
      <c r="A28" s="1" t="s">
        <v>185</v>
      </c>
      <c r="B28" s="1" t="s">
        <v>154</v>
      </c>
      <c r="C28" s="1" t="s">
        <v>52</v>
      </c>
      <c r="D28" s="1" t="s">
        <v>86</v>
      </c>
      <c r="E28" s="1" t="s">
        <v>53</v>
      </c>
    </row>
    <row r="29" spans="1:5" x14ac:dyDescent="0.3">
      <c r="A29" s="1" t="s">
        <v>186</v>
      </c>
      <c r="B29" s="1" t="s">
        <v>154</v>
      </c>
      <c r="C29" s="1" t="s">
        <v>52</v>
      </c>
      <c r="D29" s="1" t="s">
        <v>86</v>
      </c>
      <c r="E29" s="1" t="s">
        <v>53</v>
      </c>
    </row>
    <row r="30" spans="1:5" x14ac:dyDescent="0.3">
      <c r="A30" s="1" t="s">
        <v>85</v>
      </c>
      <c r="B30" s="1" t="s">
        <v>84</v>
      </c>
      <c r="C30" s="1" t="s">
        <v>28</v>
      </c>
      <c r="D30" s="1" t="s">
        <v>65</v>
      </c>
      <c r="E30" s="1" t="s">
        <v>29</v>
      </c>
    </row>
    <row r="31" spans="1:5" x14ac:dyDescent="0.3">
      <c r="A31" s="1" t="s">
        <v>164</v>
      </c>
      <c r="B31" s="1" t="s">
        <v>148</v>
      </c>
      <c r="C31" s="1" t="s">
        <v>18</v>
      </c>
      <c r="D31" s="1" t="s">
        <v>36</v>
      </c>
      <c r="E31" s="1" t="s">
        <v>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
  <sheetViews>
    <sheetView workbookViewId="0"/>
  </sheetViews>
  <sheetFormatPr defaultRowHeight="14.4" x14ac:dyDescent="0.3"/>
  <sheetData>
    <row r="1" spans="1:1" x14ac:dyDescent="0.3">
      <c r="A1" t="s">
        <v>195</v>
      </c>
    </row>
    <row r="2" spans="1:1" x14ac:dyDescent="0.3">
      <c r="A2" t="s">
        <v>196</v>
      </c>
    </row>
    <row r="3" spans="1:1" x14ac:dyDescent="0.3">
      <c r="A3" t="s">
        <v>197</v>
      </c>
    </row>
    <row r="4" spans="1:1" x14ac:dyDescent="0.3">
      <c r="A4" t="s">
        <v>198</v>
      </c>
    </row>
    <row r="5" spans="1:1" x14ac:dyDescent="0.3">
      <c r="A5" t="s">
        <v>199</v>
      </c>
    </row>
    <row r="6" spans="1:1" x14ac:dyDescent="0.3">
      <c r="A6" t="s">
        <v>200</v>
      </c>
    </row>
    <row r="7" spans="1:1" x14ac:dyDescent="0.3">
      <c r="A7" t="s">
        <v>201</v>
      </c>
    </row>
    <row r="8" spans="1:1" x14ac:dyDescent="0.3">
      <c r="A8" t="s">
        <v>202</v>
      </c>
    </row>
    <row r="9" spans="1:1" x14ac:dyDescent="0.3">
      <c r="A9" t="s">
        <v>203</v>
      </c>
    </row>
    <row r="10" spans="1:1" x14ac:dyDescent="0.3">
      <c r="A10" t="s">
        <v>9</v>
      </c>
    </row>
    <row r="11" spans="1:1" x14ac:dyDescent="0.3">
      <c r="A11" t="s">
        <v>9</v>
      </c>
    </row>
    <row r="12" spans="1:1" x14ac:dyDescent="0.3">
      <c r="A12" t="s">
        <v>9</v>
      </c>
    </row>
    <row r="13" spans="1:1" x14ac:dyDescent="0.3">
      <c r="A13"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Results</vt:lpstr>
      <vt:lpstr>Sheet5</vt:lpstr>
      <vt:lpstr>Sheet4</vt:lpstr>
      <vt:lpstr>Sheet3</vt:lpstr>
      <vt:lpstr>Sheet2</vt:lpstr>
      <vt:lpstr>Search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Richard King</cp:lastModifiedBy>
  <dcterms:created xsi:type="dcterms:W3CDTF">2025-10-15T12:37:39Z</dcterms:created>
  <dcterms:modified xsi:type="dcterms:W3CDTF">2025-12-10T14:42:06Z</dcterms:modified>
</cp:coreProperties>
</file>